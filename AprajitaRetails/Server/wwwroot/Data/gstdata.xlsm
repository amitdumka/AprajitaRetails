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 hidePivotFieldList="1"/>
  <bookViews>
    <workbookView windowWidth="25600" windowHeight="9800" activeTab="3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44525"/>
</workbook>
</file>

<file path=xl/sharedStrings.xml><?xml version="1.0" encoding="utf-8"?>
<sst xmlns="http://schemas.openxmlformats.org/spreadsheetml/2006/main" count="16412" uniqueCount="6859">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</sst>
</file>

<file path=xl/styles.xml><?xml version="1.0" encoding="utf-8"?>
<styleSheet xmlns="http://schemas.openxmlformats.org/spreadsheetml/2006/main">
  <numFmts count="9">
    <numFmt numFmtId="176" formatCode="#\ ?/?"/>
    <numFmt numFmtId="177" formatCode="&quot;₹&quot;\ #,##0.00;&quot;₹&quot;\ \-#,##0.00"/>
    <numFmt numFmtId="178" formatCode="0;[Red]0"/>
    <numFmt numFmtId="179" formatCode="_ &quot;₹&quot;\ * #,##0.00_ ;_ &quot;₹&quot;\ * \-#,##0.00_ ;_ &quot;₹&quot;\ * &quot;-&quot;??_ ;_ @_ "/>
    <numFmt numFmtId="42" formatCode="_-&quot;£&quot;* #,##0_-;\-&quot;£&quot;* #,##0_-;_-&quot;£&quot;* &quot;-&quot;_-;_-@_-"/>
    <numFmt numFmtId="41" formatCode="_-* #,##0_-;\-* #,##0_-;_-* &quot;-&quot;_-;_-@_-"/>
    <numFmt numFmtId="180" formatCode="mmm\-yy"/>
    <numFmt numFmtId="181" formatCode="&quot;₹&quot;\ #,##0.00"/>
    <numFmt numFmtId="43" formatCode="_-* #,##0.00_-;\-* #,##0.00_-;_-* &quot;-&quot;??_-;_-@_-"/>
  </numFmts>
  <fonts count="48">
    <font>
      <sz val="11"/>
      <color theme="1"/>
      <name val="Calibri"/>
      <charset val="134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1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134"/>
      <scheme val="minor"/>
    </font>
    <font>
      <b/>
      <sz val="11"/>
      <color theme="1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sz val="11"/>
      <color rgb="FF006100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sz val="11"/>
      <color rgb="FF000000"/>
      <name val="Calibri"/>
      <charset val="134"/>
    </font>
  </fonts>
  <fills count="42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theme="4" tint="0.799981688894314"/>
      </patternFill>
    </fill>
    <fill>
      <patternFill patternType="solid">
        <fgColor rgb="FF00B050"/>
        <bgColor theme="4" tint="0.79998168889431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</fills>
  <borders count="65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 style="medium">
        <color theme="5" tint="0.399975585192419"/>
      </bottom>
      <diagonal/>
    </border>
    <border>
      <left style="medium">
        <color theme="5" tint="0.399975585192419"/>
      </left>
      <right style="medium">
        <color theme="5" tint="0.399975585192419"/>
      </right>
      <top style="medium">
        <color theme="5" tint="0.399975585192419"/>
      </top>
      <bottom/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thin">
        <color auto="1"/>
      </bottom>
      <diagonal/>
    </border>
    <border>
      <left style="medium">
        <color theme="5" tint="0.399975585192419"/>
      </left>
      <right style="medium">
        <color theme="5" tint="0.399975585192419"/>
      </right>
      <top style="thin">
        <color auto="1"/>
      </top>
      <bottom style="medium">
        <color theme="5" tint="0.399975585192419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thin">
        <color theme="4" tint="0.399975585192419"/>
      </bottom>
      <diagonal/>
    </border>
    <border>
      <left/>
      <right/>
      <top style="thin">
        <color theme="4" tint="0.399975585192419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0" fontId="47" fillId="0" borderId="0"/>
    <xf numFmtId="0" fontId="32" fillId="33" borderId="0" applyNumberFormat="0" applyBorder="0" applyAlignment="0" applyProtection="0">
      <alignment vertical="center"/>
    </xf>
    <xf numFmtId="0" fontId="36" fillId="37" borderId="0" applyNumberFormat="0" applyBorder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6" fillId="18" borderId="0" applyNumberFormat="0" applyBorder="0" applyAlignment="0" applyProtection="0">
      <alignment vertical="center"/>
    </xf>
    <xf numFmtId="0" fontId="36" fillId="31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6" fillId="21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44" fillId="0" borderId="64" applyNumberFormat="0" applyFill="0" applyAlignment="0" applyProtection="0">
      <alignment vertical="center"/>
    </xf>
    <xf numFmtId="0" fontId="36" fillId="30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36" fillId="27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6" fillId="23" borderId="0" applyNumberFormat="0" applyBorder="0" applyAlignment="0" applyProtection="0">
      <alignment vertical="center"/>
    </xf>
    <xf numFmtId="0" fontId="36" fillId="39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9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16" borderId="0" applyNumberFormat="0" applyBorder="0" applyAlignment="0" applyProtection="0">
      <alignment vertical="center"/>
    </xf>
    <xf numFmtId="0" fontId="35" fillId="0" borderId="60" applyNumberFormat="0" applyFill="0" applyAlignment="0" applyProtection="0">
      <alignment vertical="center"/>
    </xf>
    <xf numFmtId="0" fontId="34" fillId="11" borderId="59" applyNumberFormat="0" applyAlignment="0" applyProtection="0"/>
    <xf numFmtId="179" fontId="0" fillId="0" borderId="0" applyFont="0" applyFill="0" applyBorder="0" applyAlignment="0" applyProtection="0"/>
    <xf numFmtId="0" fontId="0" fillId="12" borderId="0" applyNumberFormat="0" applyBorder="0" applyAlignment="0" applyProtection="0"/>
    <xf numFmtId="0" fontId="0" fillId="4" borderId="61" applyNumberFormat="0" applyFont="0" applyAlignment="0" applyProtection="0"/>
    <xf numFmtId="0" fontId="42" fillId="28" borderId="63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6" fillId="41" borderId="63" applyNumberFormat="0" applyAlignment="0" applyProtection="0">
      <alignment vertical="center"/>
    </xf>
    <xf numFmtId="0" fontId="40" fillId="2" borderId="0" applyNumberFormat="0" applyBorder="0" applyAlignment="0" applyProtection="0"/>
    <xf numFmtId="0" fontId="31" fillId="0" borderId="58" applyNumberFormat="0" applyFill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9" fillId="0" borderId="57" applyNumberFormat="0" applyFill="0" applyAlignment="0" applyProtection="0">
      <alignment vertical="center"/>
    </xf>
    <xf numFmtId="41" fontId="28" fillId="0" borderId="0" applyFont="0" applyFill="0" applyBorder="0" applyAlignment="0" applyProtection="0">
      <alignment vertical="center"/>
    </xf>
    <xf numFmtId="0" fontId="36" fillId="40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42" fontId="28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8" fillId="0" borderId="57" applyNumberFormat="0" applyFill="0" applyAlignment="0" applyProtection="0">
      <alignment vertical="center"/>
    </xf>
    <xf numFmtId="43" fontId="28" fillId="0" borderId="0" applyFont="0" applyFill="0" applyBorder="0" applyAlignment="0" applyProtection="0">
      <alignment vertical="center"/>
    </xf>
    <xf numFmtId="0" fontId="41" fillId="24" borderId="62" applyNumberFormat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9" fontId="28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</cellStyleXfs>
  <cellXfs count="2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3" fillId="0" borderId="3" xfId="0" applyFont="1" applyBorder="1" applyAlignment="1">
      <alignment horizontal="center"/>
    </xf>
    <xf numFmtId="177" fontId="3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77" fontId="2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78" fontId="6" fillId="0" borderId="13" xfId="0" applyNumberFormat="1" applyFont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2" fillId="0" borderId="14" xfId="0" applyFont="1" applyBorder="1"/>
    <xf numFmtId="0" fontId="4" fillId="0" borderId="15" xfId="0" applyFont="1" applyBorder="1" applyAlignment="1">
      <alignment horizontal="center"/>
    </xf>
    <xf numFmtId="177" fontId="2" fillId="0" borderId="8" xfId="0" applyNumberFormat="1" applyFont="1" applyBorder="1" applyAlignment="1">
      <alignment horizontal="center" vertical="center"/>
    </xf>
    <xf numFmtId="0" fontId="8" fillId="0" borderId="16" xfId="0" applyFont="1" applyBorder="1"/>
    <xf numFmtId="180" fontId="0" fillId="0" borderId="0" xfId="0" applyNumberFormat="1"/>
    <xf numFmtId="0" fontId="4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9" fillId="2" borderId="19" xfId="34" applyFont="1" applyBorder="1" applyAlignment="1">
      <alignment horizontal="center" vertical="center"/>
    </xf>
    <xf numFmtId="0" fontId="3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0" fillId="0" borderId="8" xfId="0" applyFont="1" applyBorder="1" applyAlignment="1">
      <alignment horizontal="center" vertical="center"/>
    </xf>
    <xf numFmtId="0" fontId="2" fillId="0" borderId="0" xfId="0" applyFont="1"/>
    <xf numFmtId="0" fontId="0" fillId="4" borderId="21" xfId="30" applyFont="1" applyBorder="1"/>
    <xf numFmtId="0" fontId="11" fillId="4" borderId="22" xfId="30" applyFont="1" applyBorder="1"/>
    <xf numFmtId="0" fontId="1" fillId="0" borderId="12" xfId="0" applyFont="1" applyBorder="1"/>
    <xf numFmtId="0" fontId="11" fillId="0" borderId="6" xfId="0" applyFont="1" applyBorder="1"/>
    <xf numFmtId="0" fontId="11" fillId="0" borderId="9" xfId="0" applyFont="1" applyBorder="1"/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" fillId="4" borderId="22" xfId="30" applyFont="1" applyBorder="1" applyAlignment="1">
      <alignment horizontal="center"/>
    </xf>
    <xf numFmtId="0" fontId="11" fillId="0" borderId="13" xfId="0" applyFont="1" applyBorder="1"/>
    <xf numFmtId="0" fontId="1" fillId="0" borderId="20" xfId="0" applyFont="1" applyBorder="1" applyAlignment="1">
      <alignment horizontal="center"/>
    </xf>
    <xf numFmtId="0" fontId="11" fillId="0" borderId="7" xfId="0" applyFont="1" applyBorder="1"/>
    <xf numFmtId="0" fontId="11" fillId="0" borderId="18" xfId="0" applyFont="1" applyBorder="1" applyAlignment="1">
      <alignment horizontal="center"/>
    </xf>
    <xf numFmtId="0" fontId="11" fillId="0" borderId="23" xfId="0" applyFont="1" applyBorder="1"/>
    <xf numFmtId="0" fontId="11" fillId="0" borderId="24" xfId="0" applyFont="1" applyBorder="1"/>
    <xf numFmtId="0" fontId="11" fillId="0" borderId="19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0" fillId="0" borderId="0" xfId="0" applyNumberFormat="1"/>
    <xf numFmtId="1" fontId="13" fillId="0" borderId="7" xfId="1" applyNumberFormat="1" applyFont="1" applyBorder="1" applyAlignment="1">
      <alignment horizontal="left"/>
    </xf>
    <xf numFmtId="0" fontId="13" fillId="0" borderId="7" xfId="1" applyFont="1" applyBorder="1" applyAlignment="1">
      <alignment horizontal="left"/>
    </xf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0" fontId="0" fillId="0" borderId="7" xfId="0" applyBorder="1"/>
    <xf numFmtId="0" fontId="14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4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81" fontId="15" fillId="7" borderId="0" xfId="0" applyNumberFormat="1" applyFont="1" applyFill="1"/>
    <xf numFmtId="58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58" fontId="16" fillId="8" borderId="28" xfId="0" applyNumberFormat="1" applyFont="1" applyFill="1" applyBorder="1" applyAlignment="1">
      <alignment horizontal="center" vertical="center"/>
    </xf>
    <xf numFmtId="0" fontId="16" fillId="8" borderId="28" xfId="0" applyFont="1" applyFill="1" applyBorder="1" applyAlignment="1">
      <alignment horizontal="center" vertical="center"/>
    </xf>
    <xf numFmtId="176" fontId="16" fillId="8" borderId="28" xfId="0" applyNumberFormat="1" applyFont="1" applyFill="1" applyBorder="1" applyAlignment="1">
      <alignment horizontal="center" vertical="center"/>
    </xf>
    <xf numFmtId="0" fontId="16" fillId="0" borderId="28" xfId="0" applyFont="1" applyBorder="1" applyAlignment="1">
      <alignment horizontal="center" vertical="center"/>
    </xf>
    <xf numFmtId="181" fontId="16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81" fontId="16" fillId="0" borderId="28" xfId="0" applyNumberFormat="1" applyFont="1" applyBorder="1" applyAlignment="1">
      <alignment horizontal="center" vertical="center"/>
    </xf>
    <xf numFmtId="2" fontId="16" fillId="8" borderId="28" xfId="0" applyNumberFormat="1" applyFont="1" applyFill="1" applyBorder="1" applyAlignment="1">
      <alignment horizontal="center" vertical="center"/>
    </xf>
    <xf numFmtId="181" fontId="18" fillId="7" borderId="0" xfId="0" applyNumberFormat="1" applyFont="1" applyFill="1" applyAlignment="1">
      <alignment horizontal="center" vertical="center"/>
    </xf>
    <xf numFmtId="181" fontId="17" fillId="7" borderId="28" xfId="0" applyNumberFormat="1" applyFont="1" applyFill="1" applyBorder="1" applyAlignment="1">
      <alignment horizontal="center" vertical="center"/>
    </xf>
    <xf numFmtId="177" fontId="16" fillId="8" borderId="28" xfId="0" applyNumberFormat="1" applyFont="1" applyFill="1" applyBorder="1" applyAlignment="1">
      <alignment horizontal="center" vertical="center"/>
    </xf>
    <xf numFmtId="177" fontId="16" fillId="0" borderId="28" xfId="0" applyNumberFormat="1" applyFont="1" applyBorder="1" applyAlignment="1">
      <alignment horizontal="center" vertical="center"/>
    </xf>
    <xf numFmtId="177" fontId="19" fillId="8" borderId="29" xfId="0" applyNumberFormat="1" applyFont="1" applyFill="1" applyBorder="1" applyAlignment="1">
      <alignment horizontal="center" vertical="center"/>
    </xf>
    <xf numFmtId="177" fontId="19" fillId="8" borderId="28" xfId="0" applyNumberFormat="1" applyFont="1" applyFill="1" applyBorder="1" applyAlignment="1">
      <alignment horizontal="center" vertical="center"/>
    </xf>
    <xf numFmtId="58" fontId="20" fillId="8" borderId="28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58" fontId="16" fillId="9" borderId="28" xfId="0" applyNumberFormat="1" applyFont="1" applyFill="1" applyBorder="1" applyAlignment="1">
      <alignment horizontal="center" vertical="center"/>
    </xf>
    <xf numFmtId="0" fontId="16" fillId="9" borderId="28" xfId="0" applyFont="1" applyFill="1" applyBorder="1" applyAlignment="1">
      <alignment horizontal="center" vertical="center"/>
    </xf>
    <xf numFmtId="176" fontId="16" fillId="9" borderId="28" xfId="0" applyNumberFormat="1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58" fontId="16" fillId="0" borderId="28" xfId="0" applyNumberFormat="1" applyFont="1" applyBorder="1" applyAlignment="1">
      <alignment horizontal="center" vertical="center"/>
    </xf>
    <xf numFmtId="2" fontId="16" fillId="9" borderId="28" xfId="0" applyNumberFormat="1" applyFont="1" applyFill="1" applyBorder="1" applyAlignment="1">
      <alignment horizontal="center" vertical="center"/>
    </xf>
    <xf numFmtId="181" fontId="16" fillId="9" borderId="28" xfId="0" applyNumberFormat="1" applyFont="1" applyFill="1" applyBorder="1" applyAlignment="1">
      <alignment horizontal="center" vertical="center"/>
    </xf>
    <xf numFmtId="181" fontId="16" fillId="5" borderId="28" xfId="0" applyNumberFormat="1" applyFont="1" applyFill="1" applyBorder="1" applyAlignment="1">
      <alignment horizontal="center" vertical="center"/>
    </xf>
    <xf numFmtId="181" fontId="17" fillId="5" borderId="28" xfId="0" applyNumberFormat="1" applyFont="1" applyFill="1" applyBorder="1" applyAlignment="1">
      <alignment horizontal="center" vertical="center"/>
    </xf>
    <xf numFmtId="177" fontId="16" fillId="9" borderId="28" xfId="0" applyNumberFormat="1" applyFont="1" applyFill="1" applyBorder="1" applyAlignment="1">
      <alignment horizontal="center" vertical="center"/>
    </xf>
    <xf numFmtId="177" fontId="16" fillId="5" borderId="28" xfId="0" applyNumberFormat="1" applyFont="1" applyFill="1" applyBorder="1" applyAlignment="1">
      <alignment horizontal="center" vertical="center"/>
    </xf>
    <xf numFmtId="177" fontId="19" fillId="9" borderId="28" xfId="0" applyNumberFormat="1" applyFont="1" applyFill="1" applyBorder="1" applyAlignment="1">
      <alignment horizontal="center" vertical="center"/>
    </xf>
    <xf numFmtId="1" fontId="16" fillId="8" borderId="28" xfId="0" applyNumberFormat="1" applyFont="1" applyFill="1" applyBorder="1" applyAlignment="1">
      <alignment horizontal="center" vertical="center"/>
    </xf>
    <xf numFmtId="58" fontId="16" fillId="10" borderId="28" xfId="0" applyNumberFormat="1" applyFont="1" applyFill="1" applyBorder="1" applyAlignment="1">
      <alignment horizontal="center" vertical="center"/>
    </xf>
    <xf numFmtId="0" fontId="16" fillId="10" borderId="28" xfId="0" applyFont="1" applyFill="1" applyBorder="1" applyAlignment="1">
      <alignment horizontal="center" vertical="center"/>
    </xf>
    <xf numFmtId="176" fontId="16" fillId="10" borderId="28" xfId="0" applyNumberFormat="1" applyFont="1" applyFill="1" applyBorder="1" applyAlignment="1">
      <alignment horizontal="center" vertical="center"/>
    </xf>
    <xf numFmtId="2" fontId="16" fillId="10" borderId="28" xfId="0" applyNumberFormat="1" applyFont="1" applyFill="1" applyBorder="1" applyAlignment="1">
      <alignment horizontal="center" vertical="center"/>
    </xf>
    <xf numFmtId="181" fontId="16" fillId="10" borderId="28" xfId="0" applyNumberFormat="1" applyFont="1" applyFill="1" applyBorder="1" applyAlignment="1">
      <alignment horizontal="center" vertical="center"/>
    </xf>
    <xf numFmtId="181" fontId="17" fillId="6" borderId="28" xfId="0" applyNumberFormat="1" applyFont="1" applyFill="1" applyBorder="1" applyAlignment="1">
      <alignment horizontal="center" vertical="center"/>
    </xf>
    <xf numFmtId="177" fontId="16" fillId="10" borderId="28" xfId="0" applyNumberFormat="1" applyFont="1" applyFill="1" applyBorder="1" applyAlignment="1">
      <alignment horizontal="center" vertical="center"/>
    </xf>
    <xf numFmtId="177" fontId="19" fillId="10" borderId="28" xfId="0" applyNumberFormat="1" applyFont="1" applyFill="1" applyBorder="1" applyAlignment="1">
      <alignment horizontal="center" vertical="center"/>
    </xf>
    <xf numFmtId="58" fontId="19" fillId="8" borderId="28" xfId="0" applyNumberFormat="1" applyFont="1" applyFill="1" applyBorder="1" applyAlignment="1">
      <alignment horizontal="center" vertical="center"/>
    </xf>
    <xf numFmtId="0" fontId="19" fillId="8" borderId="28" xfId="0" applyFont="1" applyFill="1" applyBorder="1" applyAlignment="1">
      <alignment horizontal="center" vertical="center"/>
    </xf>
    <xf numFmtId="176" fontId="19" fillId="8" borderId="28" xfId="0" applyNumberFormat="1" applyFont="1" applyFill="1" applyBorder="1" applyAlignment="1">
      <alignment horizontal="center" vertical="center"/>
    </xf>
    <xf numFmtId="1" fontId="19" fillId="8" borderId="28" xfId="0" applyNumberFormat="1" applyFont="1" applyFill="1" applyBorder="1" applyAlignment="1">
      <alignment horizontal="center" vertical="center"/>
    </xf>
    <xf numFmtId="0" fontId="19" fillId="8" borderId="30" xfId="0" applyFont="1" applyFill="1" applyBorder="1" applyAlignment="1">
      <alignment horizontal="center" vertical="center"/>
    </xf>
    <xf numFmtId="0" fontId="8" fillId="8" borderId="28" xfId="0" applyFont="1" applyFill="1" applyBorder="1" applyAlignment="1">
      <alignment horizontal="center" vertical="center"/>
    </xf>
    <xf numFmtId="177" fontId="19" fillId="8" borderId="30" xfId="0" applyNumberFormat="1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181" fontId="18" fillId="7" borderId="28" xfId="0" applyNumberFormat="1" applyFont="1" applyFill="1" applyBorder="1" applyAlignment="1">
      <alignment horizontal="center" vertical="center"/>
    </xf>
    <xf numFmtId="181" fontId="18" fillId="7" borderId="30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58" fontId="0" fillId="0" borderId="0" xfId="0" applyNumberFormat="1"/>
    <xf numFmtId="0" fontId="2" fillId="0" borderId="0" xfId="0" applyFont="1" applyAlignment="1">
      <alignment horizontal="center" vertical="top"/>
    </xf>
    <xf numFmtId="1" fontId="2" fillId="0" borderId="0" xfId="0" applyNumberFormat="1" applyFont="1" applyAlignment="1">
      <alignment horizontal="center" vertical="top"/>
    </xf>
    <xf numFmtId="177" fontId="0" fillId="0" borderId="0" xfId="0" applyNumberFormat="1"/>
    <xf numFmtId="179" fontId="2" fillId="0" borderId="0" xfId="28" applyFont="1" applyBorder="1" applyAlignment="1">
      <alignment horizontal="center" vertical="center"/>
    </xf>
    <xf numFmtId="177" fontId="2" fillId="0" borderId="0" xfId="28" applyNumberFormat="1" applyFont="1" applyBorder="1" applyAlignment="1">
      <alignment horizontal="center" vertical="center"/>
    </xf>
    <xf numFmtId="178" fontId="2" fillId="0" borderId="0" xfId="0" applyNumberFormat="1" applyFont="1" applyAlignment="1">
      <alignment horizontal="center" vertical="top"/>
    </xf>
    <xf numFmtId="179" fontId="21" fillId="11" borderId="0" xfId="27" applyNumberFormat="1" applyFont="1" applyBorder="1" applyAlignment="1">
      <alignment horizontal="center" vertical="center"/>
    </xf>
    <xf numFmtId="177" fontId="21" fillId="11" borderId="0" xfId="27" applyNumberFormat="1" applyFont="1" applyBorder="1" applyAlignment="1">
      <alignment horizontal="center" vertical="center"/>
    </xf>
    <xf numFmtId="0" fontId="0" fillId="0" borderId="31" xfId="0" applyBorder="1"/>
    <xf numFmtId="0" fontId="0" fillId="0" borderId="32" xfId="0" applyBorder="1"/>
    <xf numFmtId="58" fontId="8" fillId="0" borderId="7" xfId="0" applyNumberFormat="1" applyFont="1" applyBorder="1" applyAlignment="1">
      <alignment shrinkToFit="1"/>
    </xf>
    <xf numFmtId="0" fontId="10" fillId="0" borderId="7" xfId="0" applyFont="1" applyBorder="1"/>
    <xf numFmtId="58" fontId="2" fillId="0" borderId="7" xfId="0" applyNumberFormat="1" applyFont="1" applyBorder="1"/>
    <xf numFmtId="0" fontId="2" fillId="0" borderId="7" xfId="0" applyFont="1" applyBorder="1"/>
    <xf numFmtId="0" fontId="4" fillId="0" borderId="7" xfId="0" applyFont="1" applyBorder="1"/>
    <xf numFmtId="0" fontId="0" fillId="0" borderId="33" xfId="0" applyBorder="1"/>
    <xf numFmtId="20" fontId="2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2" fillId="0" borderId="38" xfId="0" applyFont="1" applyBorder="1"/>
    <xf numFmtId="0" fontId="12" fillId="0" borderId="38" xfId="0" applyFont="1" applyBorder="1"/>
    <xf numFmtId="0" fontId="0" fillId="0" borderId="39" xfId="0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3" fillId="0" borderId="39" xfId="0" applyFont="1" applyBorder="1"/>
    <xf numFmtId="0" fontId="24" fillId="0" borderId="0" xfId="0" applyFont="1"/>
    <xf numFmtId="0" fontId="8" fillId="0" borderId="31" xfId="0" applyFont="1" applyBorder="1"/>
    <xf numFmtId="0" fontId="8" fillId="0" borderId="32" xfId="0" applyFont="1" applyBorder="1" applyAlignment="1">
      <alignment horizontal="left"/>
    </xf>
    <xf numFmtId="0" fontId="8" fillId="0" borderId="32" xfId="0" applyFont="1" applyBorder="1"/>
    <xf numFmtId="0" fontId="8" fillId="0" borderId="40" xfId="0" applyFont="1" applyBorder="1"/>
    <xf numFmtId="0" fontId="2" fillId="0" borderId="41" xfId="0" applyFont="1" applyBorder="1"/>
    <xf numFmtId="0" fontId="8" fillId="0" borderId="41" xfId="0" applyFont="1" applyBorder="1" applyAlignment="1">
      <alignment horizontal="right"/>
    </xf>
    <xf numFmtId="0" fontId="0" fillId="0" borderId="40" xfId="0" applyBorder="1"/>
    <xf numFmtId="0" fontId="0" fillId="0" borderId="41" xfId="0" applyBorder="1"/>
    <xf numFmtId="0" fontId="0" fillId="12" borderId="39" xfId="29" applyBorder="1" applyAlignment="1">
      <alignment horizontal="center" vertical="center"/>
    </xf>
    <xf numFmtId="178" fontId="0" fillId="0" borderId="0" xfId="0" applyNumberFormat="1"/>
    <xf numFmtId="1" fontId="2" fillId="0" borderId="0" xfId="0" applyNumberFormat="1" applyFont="1" applyAlignment="1">
      <alignment horizontal="center" vertical="center"/>
    </xf>
    <xf numFmtId="0" fontId="0" fillId="0" borderId="42" xfId="0" applyBorder="1"/>
    <xf numFmtId="0" fontId="4" fillId="5" borderId="0" xfId="0" applyFont="1" applyFill="1"/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8" fillId="0" borderId="41" xfId="0" applyFont="1" applyBorder="1" applyAlignment="1">
      <alignment horizontal="left"/>
    </xf>
    <xf numFmtId="0" fontId="8" fillId="0" borderId="43" xfId="0" applyFont="1" applyBorder="1" applyAlignment="1">
      <alignment horizontal="left"/>
    </xf>
    <xf numFmtId="0" fontId="0" fillId="0" borderId="43" xfId="0" applyBorder="1"/>
    <xf numFmtId="0" fontId="5" fillId="13" borderId="0" xfId="0" applyFont="1" applyFill="1"/>
    <xf numFmtId="179" fontId="21" fillId="11" borderId="44" xfId="27" applyNumberFormat="1" applyFont="1" applyBorder="1" applyAlignment="1">
      <alignment horizontal="center" vertical="center"/>
    </xf>
    <xf numFmtId="179" fontId="21" fillId="11" borderId="44" xfId="27" applyNumberFormat="1" applyFont="1" applyBorder="1"/>
    <xf numFmtId="179" fontId="25" fillId="0" borderId="42" xfId="0" applyNumberFormat="1" applyFont="1" applyBorder="1"/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79" fontId="4" fillId="5" borderId="0" xfId="0" applyNumberFormat="1" applyFont="1" applyFill="1"/>
    <xf numFmtId="0" fontId="7" fillId="5" borderId="0" xfId="0" applyFont="1" applyFill="1"/>
    <xf numFmtId="1" fontId="2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5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58" fontId="8" fillId="0" borderId="0" xfId="0" applyNumberFormat="1" applyFont="1"/>
    <xf numFmtId="0" fontId="8" fillId="0" borderId="0" xfId="0" applyFont="1"/>
    <xf numFmtId="176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58" fontId="19" fillId="0" borderId="0" xfId="0" applyNumberFormat="1" applyFont="1"/>
    <xf numFmtId="0" fontId="19" fillId="0" borderId="0" xfId="0" applyFont="1"/>
    <xf numFmtId="176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177" fontId="19" fillId="0" borderId="0" xfId="0" applyNumberFormat="1" applyFont="1" applyAlignment="1">
      <alignment horizontal="left"/>
    </xf>
    <xf numFmtId="181" fontId="18" fillId="7" borderId="0" xfId="0" applyNumberFormat="1" applyFont="1" applyFill="1" applyAlignment="1">
      <alignment horizontal="left"/>
    </xf>
    <xf numFmtId="0" fontId="18" fillId="7" borderId="0" xfId="0" applyFont="1" applyFill="1" applyAlignment="1">
      <alignment horizontal="left"/>
    </xf>
    <xf numFmtId="58" fontId="26" fillId="0" borderId="0" xfId="0" applyNumberFormat="1" applyFont="1"/>
    <xf numFmtId="0" fontId="16" fillId="0" borderId="0" xfId="0" applyFont="1"/>
    <xf numFmtId="176" fontId="16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58" fontId="16" fillId="0" borderId="0" xfId="0" applyNumberFormat="1" applyFont="1"/>
    <xf numFmtId="181" fontId="16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2" fontId="17" fillId="0" borderId="0" xfId="0" applyNumberFormat="1" applyFont="1" applyAlignment="1">
      <alignment horizontal="left"/>
    </xf>
    <xf numFmtId="2" fontId="16" fillId="0" borderId="0" xfId="0" applyNumberFormat="1" applyFont="1" applyAlignment="1">
      <alignment horizontal="left"/>
    </xf>
    <xf numFmtId="181" fontId="17" fillId="7" borderId="0" xfId="0" applyNumberFormat="1" applyFont="1" applyFill="1" applyAlignment="1">
      <alignment horizontal="left"/>
    </xf>
    <xf numFmtId="177" fontId="16" fillId="0" borderId="0" xfId="0" applyNumberFormat="1" applyFont="1" applyAlignment="1">
      <alignment horizontal="left"/>
    </xf>
    <xf numFmtId="58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58" fontId="16" fillId="0" borderId="0" xfId="0" applyNumberFormat="1" applyFont="1" applyAlignment="1">
      <alignment horizontal="left"/>
    </xf>
    <xf numFmtId="1" fontId="16" fillId="0" borderId="0" xfId="0" applyNumberFormat="1" applyFont="1" applyAlignment="1">
      <alignment horizontal="left"/>
    </xf>
    <xf numFmtId="2" fontId="8" fillId="0" borderId="0" xfId="0" applyNumberFormat="1" applyFont="1" applyAlignment="1">
      <alignment horizontal="left"/>
    </xf>
  </cellXfs>
  <cellStyles count="50">
    <cellStyle name="Normal" xfId="0" builtinId="0"/>
    <cellStyle name="Normal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Accent5" xfId="9" builtinId="45"/>
    <cellStyle name="40% - Accent4" xfId="10" builtinId="43"/>
    <cellStyle name="Accent4" xfId="11" builtinId="41"/>
    <cellStyle name="Linked Cell" xfId="12" builtinId="24"/>
    <cellStyle name="40% - Accent3" xfId="13" builtinId="39"/>
    <cellStyle name="60% - Accent2" xfId="14" builtinId="36"/>
    <cellStyle name="Accent3" xfId="15" builtinId="37"/>
    <cellStyle name="40% - Accent2" xfId="16" builtinId="35"/>
    <cellStyle name="20% - Accent2" xfId="17" builtinId="34"/>
    <cellStyle name="Accent2" xfId="18" builtinId="33"/>
    <cellStyle name="40% - Accent1" xfId="19" builtinId="31"/>
    <cellStyle name="20% - Accent1" xfId="20" builtinId="30"/>
    <cellStyle name="Accent1" xfId="21" builtinId="29"/>
    <cellStyle name="Neutral" xfId="22" builtinId="28"/>
    <cellStyle name="60% - Accent1" xfId="23" builtinId="32"/>
    <cellStyle name="Bad" xfId="24" builtinId="27"/>
    <cellStyle name="20% - Accent4" xfId="25" builtinId="42"/>
    <cellStyle name="Total" xfId="26" builtinId="25"/>
    <cellStyle name="Output" xfId="27" builtinId="21"/>
    <cellStyle name="Currency" xfId="28" builtinId="4"/>
    <cellStyle name="20% - Accent3" xfId="29" builtinId="38"/>
    <cellStyle name="Note" xfId="30" builtinId="10"/>
    <cellStyle name="Input" xfId="31" builtinId="20"/>
    <cellStyle name="Heading 4" xfId="32" builtinId="19"/>
    <cellStyle name="Calculation" xfId="33" builtinId="22"/>
    <cellStyle name="Good" xfId="34" builtinId="26"/>
    <cellStyle name="Heading 3" xfId="35" builtinId="18"/>
    <cellStyle name="CExplanatory Text" xfId="36" builtinId="53"/>
    <cellStyle name="Heading 1" xfId="37" builtinId="16"/>
    <cellStyle name="Comma [0]" xfId="38" builtinId="6"/>
    <cellStyle name="20% - Accent6" xfId="39" builtinId="50"/>
    <cellStyle name="Title" xfId="40" builtinId="15"/>
    <cellStyle name="Currency [0]" xfId="41" builtinId="7"/>
    <cellStyle name="Warning Text" xfId="42" builtinId="11"/>
    <cellStyle name="Followed Hyperlink" xfId="43" builtinId="9"/>
    <cellStyle name="Heading 2" xfId="44" builtinId="17"/>
    <cellStyle name="Comma" xfId="45" builtinId="3"/>
    <cellStyle name="Check Cell" xfId="46" builtinId="23"/>
    <cellStyle name="60% - Accent3" xfId="47" builtinId="40"/>
    <cellStyle name="Percent" xfId="48" builtinId="5"/>
    <cellStyle name="Hyperlink" xfId="49" builtinId="8"/>
  </cellStyles>
  <dxfs count="52"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alignment horizontal="left"/>
    </dxf>
    <dxf>
      <font>
        <name val="Calibri"/>
        <scheme val="none"/>
        <family val="2"/>
        <strike val="0"/>
        <u val="none"/>
        <sz val="12"/>
      </font>
    </dxf>
    <dxf>
      <border>
        <left/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/>
        <top style="thin">
          <color auto="1"/>
        </top>
        <bottom/>
      </border>
    </dxf>
    <dxf>
      <numFmt numFmtId="58" formatCode="dd/mm/yyyy"/>
    </dxf>
    <dxf>
      <font>
        <b val="1"/>
      </font>
      <numFmt numFmtId="1" formatCode="0"/>
      <alignment horizontal="center" vertical="top"/>
    </dxf>
    <dxf>
      <numFmt numFmtId="177" formatCode="&quot;₹&quot;\ #,##0.00;&quot;₹&quot;\ \-#,##0.00"/>
    </dxf>
    <dxf>
      <numFmt numFmtId="177" formatCode="&quot;₹&quot;\ #,##0.00;&quot;₹&quot;\ \-#,##0.00"/>
    </dxf>
    <dxf>
      <numFmt numFmtId="177" formatCode="&quot;₹&quot;\ #,##0.00;&quot;₹&quot;\ \-#,##0.00"/>
    </dxf>
    <dxf>
      <numFmt numFmtId="22" formatCode="dd/mm/yyyy\ hh:mm"/>
    </dxf>
    <dxf>
      <numFmt numFmtId="177" formatCode="&quot;₹&quot;\ #,##0.00;&quot;₹&quot;\ \-#,##0.00"/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58" formatCode="dd/mm/yyyy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6" formatCode="#\ ?/?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2"/>
        <color theme="1"/>
      </font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strike val="0"/>
        <u val="none"/>
        <sz val="12"/>
        <color rgb="FFC00000"/>
      </font>
      <numFmt numFmtId="181" formatCode="&quot;₹&quot;\ #,##0.00"/>
      <fill>
        <patternFill patternType="solid">
          <bgColor theme="7" tint="0.599993896298105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Calibri"/>
        <scheme val="none"/>
        <family val="2"/>
        <b val="1"/>
        <i val="0"/>
        <strike val="0"/>
        <u val="none"/>
        <sz val="11"/>
        <color theme="4" tint="-0.249977111117893"/>
      </font>
      <numFmt numFmtId="177" formatCode="&quot;₹&quot;\ #,##0.00;&quot;₹&quot;\ \-#,##0.00"/>
      <fill>
        <patternFill patternType="solid">
          <fgColor theme="4" tint="0.799981688894314"/>
          <bgColor theme="4" tint="0.799981688894314"/>
        </patternFill>
      </fill>
      <alignment horizontal="center" vertical="center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2" formatCode="dd/mm/yyyy\ hh:mm"/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17698720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[0]!ClearRow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8968105" y="418465"/>
              <a:ext cx="708660" cy="189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[0]!printinv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8190865" y="220345"/>
              <a:ext cx="731520" cy="20066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  <a:endParaRPr lang="en-IN" sz="1200" b="1" i="1" u="none" strike="noStrike" baseline="0">
                <a:solidFill>
                  <a:srgbClr val="FF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[0]!SaveAndPrint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6824980" y="60960"/>
              <a:ext cx="914400" cy="443865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  <a:endParaRPr lang="en-IN" sz="1100" b="1" i="0" u="none" strike="noStrike" baseline="0">
                <a:solidFill>
                  <a:srgbClr val="8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[0]!addexp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15714980" y="235585"/>
              <a:ext cx="83058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[0]!addRecipt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15699740" y="1006475"/>
              <a:ext cx="815340" cy="34544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[0]!AddAttendance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15859760" y="3542665"/>
              <a:ext cx="1120140" cy="3225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[0]!FilterToday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12483465" y="30480"/>
              <a:ext cx="8077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[0]!UpdateProfitLoss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17816195" y="238760"/>
              <a:ext cx="754380" cy="57150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[0]!Reset_Dashboard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0304780" y="3512185"/>
              <a:ext cx="769620" cy="20828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[0]!Add_Sheet_with_Name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10327640" y="3890645"/>
              <a:ext cx="731520" cy="23114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  <a:endParaRPr lang="en-IN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ProfitLossTable11" displayName="ProfitLossTable11" ref="A1:N731" totalsRowCount="1">
  <autoFilter ref="A1:N730"/>
  <tableColumns count="14">
    <tableColumn id="1" name="Date" totalsRowLabel="Total" dataDxfId="0"/>
    <tableColumn id="2" name="InvoiceNo" dataDxfId="1"/>
    <tableColumn id="3" name="Barcode" dataDxfId="2"/>
    <tableColumn id="4" name="Quantity" dataDxfId="3"/>
    <tableColumn id="5" name="MRP" dataDxfId="4"/>
    <tableColumn id="6" name="CostPrice" dataDxfId="5"/>
    <tableColumn id="15" name="Discount %" dataDxfId="6"/>
    <tableColumn id="7" name="DiscountAmount" dataDxfId="7"/>
    <tableColumn id="8" name="BasicPrice" dataDxfId="8"/>
    <tableColumn id="9" name="TaxAmount" dataDxfId="9"/>
    <tableColumn id="10" name="SalePrice" dataDxfId="10"/>
    <tableColumn id="12" name="RoundOff" dataDxfId="11"/>
    <tableColumn id="13" name="BilAmount" dataDxfId="12"/>
    <tableColumn id="14" name="Profit/Loss" totalsRowFunction="sum" dataDxfId="13"/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id="1" name="InvoiceItem" displayName="InvoiceItem" ref="A9:F26" totalsRowCount="1">
  <autoFilter ref="A9:F25"/>
  <tableColumns count="6">
    <tableColumn id="1" name="SN"/>
    <tableColumn id="2" name="Barocode"/>
    <tableColumn id="3" name="MRP" totalsRowLabel="Count"/>
    <tableColumn id="4" name="Qty" totalsRowFunction="count"/>
    <tableColumn id="5" name="Disc(%)" totalsRowLabel="Total *"/>
    <tableColumn id="6" name="Amount" totalsRowFunction="sum" dataDxfId="14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id="8" name="AttendanceTable" displayName="AttendanceTable" ref="I2:M109" totalsRowShown="0">
  <autoFilter ref="I2:M109"/>
  <tableColumns count="5">
    <tableColumn id="1" name="SN" dataDxfId="15"/>
    <tableColumn id="2" name="Date" dataDxfId="16"/>
    <tableColumn id="3" name="EmployeeName" dataDxfId="17"/>
    <tableColumn id="4" name="Timing" dataDxfId="18"/>
    <tableColumn id="5" name="Status" dataDxfId="1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InvoiceListTable" displayName="InvoiceListTable" ref="A1:L262" totalsRowCount="1">
  <autoFilter ref="A1:L261"/>
  <tableColumns count="12">
    <tableColumn id="1" name="SN" totalsRowLabel="Total"/>
    <tableColumn id="2" name="Date" dataDxfId="20"/>
    <tableColumn id="3" name="InvoiceNo"/>
    <tableColumn id="4" name="Customer"/>
    <tableColumn id="5" name="Mobile"/>
    <tableColumn id="6" name="Barcode" dataDxfId="21"/>
    <tableColumn id="7" name="MRP" totalsRowFunction="average" dataDxfId="22"/>
    <tableColumn id="8" name="QTY" totalsRowFunction="sum"/>
    <tableColumn id="9" name="Discount"/>
    <tableColumn id="10" name="LineTotal" totalsRowFunction="sum" dataDxfId="23"/>
    <tableColumn id="11" name="BillAmount" totalsRowFunction="sum" dataDxfId="24"/>
    <tableColumn id="12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id="3" name="InvoiceSummaryTable" displayName="InvoiceSummaryTable" ref="O1:U127" totalsRowCount="1">
  <autoFilter ref="O1:U126"/>
  <tableColumns count="7">
    <tableColumn id="1" name="SN"/>
    <tableColumn id="13" name="Date" dataDxfId="25"/>
    <tableColumn id="2" name="InvoiceNo" totalsRowFunction="count"/>
    <tableColumn id="3" name="Customer"/>
    <tableColumn id="4" name="Mobile"/>
    <tableColumn id="5" name="PayMode"/>
    <tableColumn id="6" name="BillAmount" totalsRowFunction="sum" dataDxfId="26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id="4" name="ProfitLossTable" displayName="ProfitLossTable" ref="A1:O548" totalsRowCount="1">
  <autoFilter ref="A1:O547"/>
  <tableColumns count="15">
    <tableColumn id="1" name="Date" totalsRowLabel="Total" dataDxfId="27"/>
    <tableColumn id="2" name="InvoiceNo" totalsRowFunction="count" dataDxfId="28"/>
    <tableColumn id="3" name="Barcode" dataDxfId="29"/>
    <tableColumn id="4" name="Quantity" dataDxfId="30"/>
    <tableColumn id="5" name="MRP" dataDxfId="31"/>
    <tableColumn id="6" name="CostPrice" dataDxfId="32"/>
    <tableColumn id="15" name="Discount %" dataDxfId="33"/>
    <tableColumn id="7" name="DiscountAmount" dataDxfId="34"/>
    <tableColumn id="8" name="BasicPrice" totalsRowFunction="sum" dataDxfId="35"/>
    <tableColumn id="9" name="TaxAmount" totalsRowFunction="sum" dataDxfId="36"/>
    <tableColumn id="10" name="SalePrice" totalsRowFunction="sum" dataDxfId="37"/>
    <tableColumn id="12" name="RoundOff" totalsRowFunction="sum" dataDxfId="38"/>
    <tableColumn id="13" name="BilAmount" totalsRowFunction="sum" dataDxfId="39"/>
    <tableColumn id="14" name="Profit/Loss" totalsRowFunction="sum" dataDxfId="40"/>
    <tableColumn id="11" name="Column1" dataDxfId="41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id="6" name="exptable" displayName="exptable" ref="A2:E164" totalsRowCount="1">
  <autoFilter ref="A2:E163"/>
  <tableColumns count="5">
    <tableColumn id="1" name="SN" totalsRowLabel="Total" dataDxfId="42"/>
    <tableColumn id="2" name="Date" dataDxfId="43"/>
    <tableColumn id="3" name="Particular" dataDxfId="44"/>
    <tableColumn id="4" name="Remarks" dataDxfId="45"/>
    <tableColumn id="5" name="Amount" totalsRowFunction="sum" dataDxfId="46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id="7" name="RCPTable" displayName="RCPTable" ref="K2:O16" totalsRowCount="1">
  <autoFilter ref="K2:O15"/>
  <tableColumns count="5">
    <tableColumn id="1" name="SN" totalsRowLabel="Total" dataDxfId="47"/>
    <tableColumn id="2" name="Date" dataDxfId="48"/>
    <tableColumn id="3" name="Particular" dataDxfId="49"/>
    <tableColumn id="4" name="Remarks" dataDxfId="50"/>
    <tableColumn id="5" name="Amount" totalsRowFunction="sum" dataDxfId="51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id="5" name="Table5" displayName="Table5" ref="Q2:X4" totalsRowCount="1">
  <autoFilter ref="Q2:X3"/>
  <tableColumns count="8">
    <tableColumn id="1" name="SN" totalsRowLabel="Total"/>
    <tableColumn id="2" name="Date"/>
    <tableColumn id="3" name="FromAccount" totalsRowFunction="count"/>
    <tableColumn id="4" name="ToAcc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id="9" name="Table510" displayName="Table510" ref="AA2:AH4" totalsRowCount="1">
  <autoFilter ref="AA2:AH3"/>
  <tableColumns count="8">
    <tableColumn id="1" name="SN" totalsRowLabel="Total"/>
    <tableColumn id="2" name="Date"/>
    <tableColumn id="3" name="ToAmount" totalsRowFunction="count"/>
    <tableColumn id="4" name="FromAmount"/>
    <tableColumn id="5" name="Remaks"/>
    <tableColumn id="6" name="ChqueNo"/>
    <tableColumn id="7" name="UTNO"/>
    <tableColumn id="8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2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table" Target="../tables/table6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1.xml"/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table" Target="../tables/table10.xml"/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N731"/>
  <sheetViews>
    <sheetView workbookViewId="0">
      <pane ySplit="1" topLeftCell="A721" activePane="bottomLeft" state="frozen"/>
      <selection/>
      <selection pane="bottomLeft" activeCell="G733" sqref="G733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9.664062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4">
      <c r="A1" s="204" t="s">
        <v>0</v>
      </c>
      <c r="B1" s="205" t="s">
        <v>1</v>
      </c>
      <c r="C1" s="206" t="s">
        <v>2</v>
      </c>
      <c r="D1" s="207" t="s">
        <v>3</v>
      </c>
      <c r="E1" s="207" t="s">
        <v>4</v>
      </c>
      <c r="F1" s="207" t="s">
        <v>5</v>
      </c>
      <c r="G1" s="207" t="s">
        <v>6</v>
      </c>
      <c r="H1" s="207" t="s">
        <v>7</v>
      </c>
      <c r="I1" s="213" t="s">
        <v>8</v>
      </c>
      <c r="J1" s="213" t="s">
        <v>9</v>
      </c>
      <c r="K1" s="207" t="s">
        <v>10</v>
      </c>
      <c r="L1" s="207" t="s">
        <v>11</v>
      </c>
      <c r="M1" s="207" t="s">
        <v>12</v>
      </c>
      <c r="N1" s="207" t="s">
        <v>13</v>
      </c>
    </row>
    <row r="2" ht="15.2" spans="1:14">
      <c r="A2" s="208">
        <v>44979.7976041667</v>
      </c>
      <c r="B2" s="209" t="s">
        <v>14</v>
      </c>
      <c r="C2" s="210" t="s">
        <v>15</v>
      </c>
      <c r="D2" s="211">
        <v>1.2</v>
      </c>
      <c r="E2" s="212">
        <v>1850</v>
      </c>
      <c r="F2" s="207">
        <v>614</v>
      </c>
      <c r="G2" s="207">
        <v>50</v>
      </c>
      <c r="H2" s="211">
        <f t="shared" ref="H2:H19" si="0">((D2*E2)*(G2/100))</f>
        <v>1110</v>
      </c>
      <c r="I2" s="214">
        <v>1057.14285714286</v>
      </c>
      <c r="J2" s="214">
        <v>52.8571428571429</v>
      </c>
      <c r="K2" s="212">
        <v>1110</v>
      </c>
      <c r="L2" s="212">
        <v>0</v>
      </c>
      <c r="M2" s="212">
        <v>1766</v>
      </c>
      <c r="N2" s="211">
        <f t="shared" ref="N2:N19" si="1">K2-(D2*F2)</f>
        <v>373.2</v>
      </c>
    </row>
    <row r="3" ht="15.2" spans="1:14">
      <c r="A3" s="208">
        <v>44979.7976041667</v>
      </c>
      <c r="B3" s="209" t="s">
        <v>14</v>
      </c>
      <c r="C3" s="210" t="s">
        <v>16</v>
      </c>
      <c r="D3" s="211">
        <v>1.6</v>
      </c>
      <c r="E3" s="212">
        <v>820</v>
      </c>
      <c r="F3" s="207">
        <v>299</v>
      </c>
      <c r="G3" s="207">
        <v>50</v>
      </c>
      <c r="H3" s="212">
        <f t="shared" si="0"/>
        <v>656</v>
      </c>
      <c r="I3" s="214">
        <v>624.761904761905</v>
      </c>
      <c r="J3" s="214">
        <v>31.2380952380952</v>
      </c>
      <c r="K3" s="212">
        <v>656</v>
      </c>
      <c r="L3" s="212"/>
      <c r="M3" s="212"/>
      <c r="N3" s="212">
        <f t="shared" si="1"/>
        <v>177.6</v>
      </c>
    </row>
    <row r="4" ht="15.2" spans="1:14">
      <c r="A4" s="208">
        <v>44979.8175115741</v>
      </c>
      <c r="B4" s="209" t="s">
        <v>17</v>
      </c>
      <c r="C4" s="210" t="s">
        <v>18</v>
      </c>
      <c r="D4" s="211">
        <v>1.6</v>
      </c>
      <c r="E4" s="212">
        <v>890</v>
      </c>
      <c r="F4" s="207">
        <v>306</v>
      </c>
      <c r="G4" s="207">
        <v>50</v>
      </c>
      <c r="H4" s="212">
        <f t="shared" si="0"/>
        <v>712</v>
      </c>
      <c r="I4" s="214">
        <v>678.095238095238</v>
      </c>
      <c r="J4" s="214">
        <v>33.9047619047619</v>
      </c>
      <c r="K4" s="212">
        <v>712</v>
      </c>
      <c r="L4" s="212">
        <v>0</v>
      </c>
      <c r="M4" s="212">
        <v>1207</v>
      </c>
      <c r="N4" s="212">
        <f t="shared" si="1"/>
        <v>222.4</v>
      </c>
    </row>
    <row r="5" ht="15.2" spans="1:14">
      <c r="A5" s="208">
        <v>44979.8175115741</v>
      </c>
      <c r="B5" s="209" t="s">
        <v>17</v>
      </c>
      <c r="C5" s="210" t="s">
        <v>19</v>
      </c>
      <c r="D5" s="211">
        <v>1.2</v>
      </c>
      <c r="E5" s="212">
        <v>825</v>
      </c>
      <c r="F5" s="207">
        <v>299</v>
      </c>
      <c r="G5" s="207">
        <v>50</v>
      </c>
      <c r="H5" s="212">
        <f t="shared" si="0"/>
        <v>495</v>
      </c>
      <c r="I5" s="214">
        <v>471.428571428571</v>
      </c>
      <c r="J5" s="214">
        <v>23.5714285714286</v>
      </c>
      <c r="K5" s="212">
        <v>495</v>
      </c>
      <c r="L5" s="212"/>
      <c r="M5" s="212"/>
      <c r="N5" s="212">
        <f t="shared" si="1"/>
        <v>136.2</v>
      </c>
    </row>
    <row r="6" ht="15.2" spans="1:14">
      <c r="A6" s="208">
        <v>44981.5220833333</v>
      </c>
      <c r="B6" s="209" t="s">
        <v>20</v>
      </c>
      <c r="C6" s="210" t="s">
        <v>21</v>
      </c>
      <c r="D6" s="211">
        <v>1.5</v>
      </c>
      <c r="E6" s="212">
        <v>1000</v>
      </c>
      <c r="F6" s="207">
        <v>353</v>
      </c>
      <c r="G6" s="207">
        <v>50</v>
      </c>
      <c r="H6" s="212">
        <f t="shared" si="0"/>
        <v>750</v>
      </c>
      <c r="I6" s="214">
        <v>714.285714285714</v>
      </c>
      <c r="J6" s="214">
        <v>35.7142857142857</v>
      </c>
      <c r="K6" s="212">
        <v>750</v>
      </c>
      <c r="L6" s="212">
        <v>0.5</v>
      </c>
      <c r="M6" s="212">
        <v>1523</v>
      </c>
      <c r="N6" s="212">
        <f t="shared" si="1"/>
        <v>220.5</v>
      </c>
    </row>
    <row r="7" ht="15.2" spans="1:14">
      <c r="A7" s="208">
        <v>44981.5220949074</v>
      </c>
      <c r="B7" s="209" t="s">
        <v>20</v>
      </c>
      <c r="C7" s="210" t="s">
        <v>22</v>
      </c>
      <c r="D7" s="211">
        <v>1.5</v>
      </c>
      <c r="E7" s="212">
        <v>1030</v>
      </c>
      <c r="F7" s="207">
        <v>316</v>
      </c>
      <c r="G7" s="207">
        <v>50</v>
      </c>
      <c r="H7" s="212">
        <f t="shared" si="0"/>
        <v>772.5</v>
      </c>
      <c r="I7" s="214">
        <v>735.714285714286</v>
      </c>
      <c r="J7" s="214">
        <v>36.7857142857143</v>
      </c>
      <c r="K7" s="212">
        <v>772.5</v>
      </c>
      <c r="L7" s="212"/>
      <c r="M7" s="212"/>
      <c r="N7" s="212">
        <f t="shared" si="1"/>
        <v>298.5</v>
      </c>
    </row>
    <row r="8" ht="15.2" spans="1:14">
      <c r="A8" s="208">
        <v>44981.7351736111</v>
      </c>
      <c r="B8" s="209" t="s">
        <v>23</v>
      </c>
      <c r="C8" s="210" t="s">
        <v>24</v>
      </c>
      <c r="D8" s="211">
        <v>1.9</v>
      </c>
      <c r="E8" s="212">
        <v>1050</v>
      </c>
      <c r="F8" s="207">
        <v>279</v>
      </c>
      <c r="G8" s="207">
        <v>50</v>
      </c>
      <c r="H8" s="212">
        <f t="shared" si="0"/>
        <v>997.5</v>
      </c>
      <c r="I8" s="213">
        <v>950</v>
      </c>
      <c r="J8" s="213">
        <v>47.5</v>
      </c>
      <c r="K8" s="212">
        <v>997.5</v>
      </c>
      <c r="L8" s="212">
        <v>0.5</v>
      </c>
      <c r="M8" s="212">
        <v>998</v>
      </c>
      <c r="N8" s="212">
        <f t="shared" si="1"/>
        <v>467.4</v>
      </c>
    </row>
    <row r="9" ht="15.2" spans="1:14">
      <c r="A9" s="208">
        <v>44981.7657175926</v>
      </c>
      <c r="B9" s="209" t="s">
        <v>25</v>
      </c>
      <c r="C9" s="210" t="s">
        <v>26</v>
      </c>
      <c r="D9" s="211">
        <v>1.15</v>
      </c>
      <c r="E9" s="212">
        <v>800</v>
      </c>
      <c r="F9" s="207">
        <v>289</v>
      </c>
      <c r="G9" s="207">
        <v>53</v>
      </c>
      <c r="H9" s="212">
        <f t="shared" si="0"/>
        <v>487.6</v>
      </c>
      <c r="I9" s="213">
        <v>411.809523809524</v>
      </c>
      <c r="J9" s="213">
        <v>20.5904761904762</v>
      </c>
      <c r="K9" s="212">
        <v>432.4</v>
      </c>
      <c r="L9" s="212">
        <v>-0.4</v>
      </c>
      <c r="M9" s="212">
        <v>432</v>
      </c>
      <c r="N9" s="212">
        <f t="shared" si="1"/>
        <v>100.05</v>
      </c>
    </row>
    <row r="10" ht="15.2" spans="1:14">
      <c r="A10" s="208">
        <v>44981.832650463</v>
      </c>
      <c r="B10" s="209" t="s">
        <v>27</v>
      </c>
      <c r="C10" s="210" t="s">
        <v>28</v>
      </c>
      <c r="D10" s="211">
        <v>0.8</v>
      </c>
      <c r="E10" s="212">
        <v>2340</v>
      </c>
      <c r="F10" s="207">
        <v>799</v>
      </c>
      <c r="G10" s="207">
        <v>50</v>
      </c>
      <c r="H10" s="212">
        <f t="shared" si="0"/>
        <v>936</v>
      </c>
      <c r="I10" s="213">
        <v>891.428571428571</v>
      </c>
      <c r="J10" s="213">
        <v>44.5714285714286</v>
      </c>
      <c r="K10" s="212">
        <v>936</v>
      </c>
      <c r="L10" s="212"/>
      <c r="M10" s="212">
        <v>936</v>
      </c>
      <c r="N10" s="212">
        <f t="shared" si="1"/>
        <v>296.8</v>
      </c>
    </row>
    <row r="11" ht="15.2" spans="1:14">
      <c r="A11" s="208">
        <v>44982.8087962963</v>
      </c>
      <c r="B11" s="209" t="s">
        <v>29</v>
      </c>
      <c r="C11" s="210" t="s">
        <v>30</v>
      </c>
      <c r="D11" s="211">
        <v>1.25</v>
      </c>
      <c r="E11" s="212">
        <v>1240</v>
      </c>
      <c r="F11" s="207">
        <v>332</v>
      </c>
      <c r="G11" s="207">
        <v>50</v>
      </c>
      <c r="H11" s="212">
        <f t="shared" si="0"/>
        <v>775</v>
      </c>
      <c r="I11" s="213">
        <v>738.095238095238</v>
      </c>
      <c r="J11" s="213">
        <v>36.9047619047619</v>
      </c>
      <c r="K11" s="212">
        <v>775</v>
      </c>
      <c r="L11" s="212">
        <v>0</v>
      </c>
      <c r="M11" s="212">
        <v>775</v>
      </c>
      <c r="N11" s="212">
        <f t="shared" si="1"/>
        <v>360</v>
      </c>
    </row>
    <row r="12" ht="15.2" spans="1:14">
      <c r="A12" s="208">
        <v>44984.5143171296</v>
      </c>
      <c r="B12" s="209" t="s">
        <v>31</v>
      </c>
      <c r="C12" s="210" t="s">
        <v>32</v>
      </c>
      <c r="D12" s="211">
        <v>1.7</v>
      </c>
      <c r="E12" s="212">
        <v>1150</v>
      </c>
      <c r="F12" s="207">
        <v>401</v>
      </c>
      <c r="G12" s="207">
        <v>50</v>
      </c>
      <c r="H12" s="212">
        <f t="shared" si="0"/>
        <v>977.5</v>
      </c>
      <c r="I12" s="213">
        <v>930.952380952381</v>
      </c>
      <c r="J12" s="213">
        <v>46.5476190476191</v>
      </c>
      <c r="K12" s="212">
        <v>977.5</v>
      </c>
      <c r="L12" s="212">
        <v>0</v>
      </c>
      <c r="M12" s="212">
        <v>1387</v>
      </c>
      <c r="N12" s="212">
        <f t="shared" si="1"/>
        <v>295.8</v>
      </c>
    </row>
    <row r="13" ht="15.2" spans="1:14">
      <c r="A13" s="208">
        <v>44984.5143287037</v>
      </c>
      <c r="B13" s="209" t="s">
        <v>31</v>
      </c>
      <c r="C13" s="210" t="s">
        <v>33</v>
      </c>
      <c r="D13" s="211">
        <v>1.3</v>
      </c>
      <c r="E13" s="212">
        <v>630</v>
      </c>
      <c r="F13" s="207">
        <v>263</v>
      </c>
      <c r="G13" s="207">
        <v>50</v>
      </c>
      <c r="H13" s="212">
        <f t="shared" si="0"/>
        <v>409.5</v>
      </c>
      <c r="I13" s="213">
        <v>390</v>
      </c>
      <c r="J13" s="213">
        <v>19.5</v>
      </c>
      <c r="K13" s="212">
        <v>409.5</v>
      </c>
      <c r="L13" s="212"/>
      <c r="M13" s="212"/>
      <c r="N13" s="212">
        <f t="shared" si="1"/>
        <v>67.6</v>
      </c>
    </row>
    <row r="14" ht="15.2" spans="1:14">
      <c r="A14" s="208">
        <v>44984.5210069444</v>
      </c>
      <c r="B14" s="209" t="s">
        <v>34</v>
      </c>
      <c r="C14" s="210" t="s">
        <v>16</v>
      </c>
      <c r="D14" s="211">
        <v>1.6</v>
      </c>
      <c r="E14" s="212">
        <v>820</v>
      </c>
      <c r="F14" s="207">
        <v>299</v>
      </c>
      <c r="G14" s="207">
        <v>50</v>
      </c>
      <c r="H14" s="212">
        <f t="shared" si="0"/>
        <v>656</v>
      </c>
      <c r="I14" s="213">
        <v>624.761904761905</v>
      </c>
      <c r="J14" s="213">
        <v>31.2380952380952</v>
      </c>
      <c r="K14" s="212">
        <v>656</v>
      </c>
      <c r="L14" s="212">
        <v>0.5</v>
      </c>
      <c r="M14" s="212">
        <v>7339</v>
      </c>
      <c r="N14" s="212">
        <f t="shared" si="1"/>
        <v>177.6</v>
      </c>
    </row>
    <row r="15" ht="15.2" spans="1:14">
      <c r="A15" s="208">
        <v>44984.5210069444</v>
      </c>
      <c r="B15" s="209" t="s">
        <v>34</v>
      </c>
      <c r="C15" s="210" t="s">
        <v>35</v>
      </c>
      <c r="D15" s="211">
        <v>1.6</v>
      </c>
      <c r="E15" s="212">
        <v>1310</v>
      </c>
      <c r="F15" s="207">
        <v>499</v>
      </c>
      <c r="G15" s="207">
        <v>50</v>
      </c>
      <c r="H15" s="212">
        <f t="shared" si="0"/>
        <v>1048</v>
      </c>
      <c r="I15" s="213">
        <v>998.095238095238</v>
      </c>
      <c r="J15" s="213">
        <v>49.9047619047619</v>
      </c>
      <c r="K15" s="212">
        <v>1048</v>
      </c>
      <c r="L15" s="212"/>
      <c r="M15" s="212"/>
      <c r="N15" s="212">
        <f t="shared" si="1"/>
        <v>249.6</v>
      </c>
    </row>
    <row r="16" ht="15.2" spans="1:14">
      <c r="A16" s="208">
        <v>44984.5210069444</v>
      </c>
      <c r="B16" s="209" t="s">
        <v>34</v>
      </c>
      <c r="C16" s="210" t="s">
        <v>36</v>
      </c>
      <c r="D16" s="211">
        <v>1.9</v>
      </c>
      <c r="E16" s="212">
        <v>4850</v>
      </c>
      <c r="F16" s="207">
        <v>1619</v>
      </c>
      <c r="G16" s="207">
        <v>50</v>
      </c>
      <c r="H16" s="212">
        <f t="shared" si="0"/>
        <v>4607.5</v>
      </c>
      <c r="I16" s="213">
        <v>4388.09523809524</v>
      </c>
      <c r="J16" s="213">
        <v>219.404761904762</v>
      </c>
      <c r="K16" s="212">
        <v>4607.5</v>
      </c>
      <c r="L16" s="212"/>
      <c r="M16" s="212"/>
      <c r="N16" s="212">
        <f t="shared" si="1"/>
        <v>1531.4</v>
      </c>
    </row>
    <row r="17" ht="15.2" spans="1:14">
      <c r="A17" s="208">
        <v>44984.5210185185</v>
      </c>
      <c r="B17" s="209" t="s">
        <v>34</v>
      </c>
      <c r="C17" s="210" t="s">
        <v>37</v>
      </c>
      <c r="D17" s="211">
        <v>1.3</v>
      </c>
      <c r="E17" s="212">
        <v>1580</v>
      </c>
      <c r="F17" s="207">
        <v>515</v>
      </c>
      <c r="G17" s="207">
        <v>50</v>
      </c>
      <c r="H17" s="212">
        <f t="shared" si="0"/>
        <v>1027</v>
      </c>
      <c r="I17" s="213">
        <v>978.095238095238</v>
      </c>
      <c r="J17" s="213">
        <v>48.9047619047619</v>
      </c>
      <c r="K17" s="212">
        <v>1027</v>
      </c>
      <c r="L17" s="212"/>
      <c r="M17" s="212"/>
      <c r="N17" s="212">
        <f t="shared" si="1"/>
        <v>357.5</v>
      </c>
    </row>
    <row r="18" ht="15.2" spans="1:14">
      <c r="A18" s="208">
        <v>44984.7225462963</v>
      </c>
      <c r="B18" s="209" t="s">
        <v>38</v>
      </c>
      <c r="C18" s="210" t="s">
        <v>39</v>
      </c>
      <c r="D18" s="211">
        <v>1.55</v>
      </c>
      <c r="E18" s="212">
        <v>1780</v>
      </c>
      <c r="F18" s="207">
        <v>564</v>
      </c>
      <c r="G18" s="207">
        <v>50</v>
      </c>
      <c r="H18" s="212">
        <f t="shared" si="0"/>
        <v>1379.5</v>
      </c>
      <c r="I18" s="213">
        <v>1313.80952380952</v>
      </c>
      <c r="J18" s="213">
        <v>65.6904761904762</v>
      </c>
      <c r="K18" s="212">
        <v>1379.5</v>
      </c>
      <c r="L18" s="212">
        <v>0.5</v>
      </c>
      <c r="M18" s="212">
        <v>1380</v>
      </c>
      <c r="N18" s="212">
        <f t="shared" si="1"/>
        <v>505.3</v>
      </c>
    </row>
    <row r="19" ht="15.2" spans="1:14">
      <c r="A19" s="208">
        <v>44985.4586342593</v>
      </c>
      <c r="B19" s="209" t="s">
        <v>40</v>
      </c>
      <c r="C19" s="210" t="s">
        <v>41</v>
      </c>
      <c r="D19" s="211">
        <v>2.2</v>
      </c>
      <c r="E19" s="212">
        <v>1110</v>
      </c>
      <c r="F19" s="207">
        <v>340</v>
      </c>
      <c r="G19" s="207">
        <v>50</v>
      </c>
      <c r="H19" s="212">
        <f t="shared" si="0"/>
        <v>1221</v>
      </c>
      <c r="I19" s="213">
        <v>1162.85714285714</v>
      </c>
      <c r="J19" s="213">
        <v>58.1428571428571</v>
      </c>
      <c r="K19" s="212">
        <v>1221</v>
      </c>
      <c r="L19" s="212">
        <v>0</v>
      </c>
      <c r="M19" s="212">
        <v>1221</v>
      </c>
      <c r="N19" s="212">
        <f t="shared" si="1"/>
        <v>473</v>
      </c>
    </row>
    <row r="20" ht="15.2" spans="1:14">
      <c r="A20" s="208">
        <v>44980</v>
      </c>
      <c r="B20" s="209" t="s">
        <v>42</v>
      </c>
      <c r="C20" s="210" t="s">
        <v>43</v>
      </c>
      <c r="D20" s="211">
        <v>1.2</v>
      </c>
      <c r="E20" s="212">
        <v>2100</v>
      </c>
      <c r="F20" s="207">
        <v>651</v>
      </c>
      <c r="G20" s="207">
        <v>50</v>
      </c>
      <c r="H20" s="212">
        <f t="shared" ref="H20:H71" si="2">((D20*E20)*(G20/100))</f>
        <v>1260</v>
      </c>
      <c r="I20" s="213">
        <v>1200</v>
      </c>
      <c r="J20" s="213">
        <v>60</v>
      </c>
      <c r="K20" s="212">
        <v>1260</v>
      </c>
      <c r="L20" s="212">
        <v>0</v>
      </c>
      <c r="M20" s="212">
        <v>2233</v>
      </c>
      <c r="N20" s="212">
        <f t="shared" ref="N20:N71" si="3">K20-(D20*F20)</f>
        <v>478.8</v>
      </c>
    </row>
    <row r="21" ht="15.2" spans="1:14">
      <c r="A21" s="208">
        <v>44980</v>
      </c>
      <c r="B21" s="209" t="s">
        <v>42</v>
      </c>
      <c r="C21" s="210" t="s">
        <v>44</v>
      </c>
      <c r="D21" s="211">
        <v>1.4</v>
      </c>
      <c r="E21" s="212">
        <v>1390</v>
      </c>
      <c r="F21" s="207">
        <v>330</v>
      </c>
      <c r="G21" s="207">
        <v>50</v>
      </c>
      <c r="H21" s="212">
        <f t="shared" si="2"/>
        <v>973</v>
      </c>
      <c r="I21" s="213">
        <v>926.666666666667</v>
      </c>
      <c r="J21" s="213">
        <v>46.3333333333333</v>
      </c>
      <c r="K21" s="212">
        <v>973</v>
      </c>
      <c r="L21" s="212"/>
      <c r="M21" s="212"/>
      <c r="N21" s="212">
        <f t="shared" si="3"/>
        <v>511</v>
      </c>
    </row>
    <row r="22" ht="15.2" spans="1:14">
      <c r="A22" s="208">
        <v>44980</v>
      </c>
      <c r="B22" s="209" t="s">
        <v>45</v>
      </c>
      <c r="C22" s="210" t="s">
        <v>46</v>
      </c>
      <c r="D22" s="211">
        <v>1.9</v>
      </c>
      <c r="E22" s="212">
        <v>820</v>
      </c>
      <c r="F22" s="207">
        <v>299</v>
      </c>
      <c r="G22" s="207">
        <v>50</v>
      </c>
      <c r="H22" s="212">
        <f t="shared" si="2"/>
        <v>779</v>
      </c>
      <c r="I22" s="213">
        <v>741.904761904762</v>
      </c>
      <c r="J22" s="213">
        <v>37.0952380952381</v>
      </c>
      <c r="K22" s="212">
        <v>779</v>
      </c>
      <c r="L22" s="212">
        <v>0.5</v>
      </c>
      <c r="M22" s="212">
        <v>4677</v>
      </c>
      <c r="N22" s="212">
        <f t="shared" si="3"/>
        <v>210.9</v>
      </c>
    </row>
    <row r="23" ht="15.2" spans="1:14">
      <c r="A23" s="208">
        <v>44980</v>
      </c>
      <c r="B23" s="209" t="s">
        <v>45</v>
      </c>
      <c r="C23" s="210" t="s">
        <v>47</v>
      </c>
      <c r="D23" s="211">
        <v>1.2</v>
      </c>
      <c r="E23" s="212">
        <v>780</v>
      </c>
      <c r="F23" s="207">
        <v>299</v>
      </c>
      <c r="G23" s="207">
        <v>50</v>
      </c>
      <c r="H23" s="212">
        <f t="shared" si="2"/>
        <v>468</v>
      </c>
      <c r="I23" s="213">
        <v>445.714285714286</v>
      </c>
      <c r="J23" s="213">
        <v>22.2857142857143</v>
      </c>
      <c r="K23" s="212">
        <v>468</v>
      </c>
      <c r="L23" s="212"/>
      <c r="M23" s="212"/>
      <c r="N23" s="212">
        <f t="shared" si="3"/>
        <v>109.2</v>
      </c>
    </row>
    <row r="24" ht="15.2" spans="1:14">
      <c r="A24" s="208">
        <v>44980</v>
      </c>
      <c r="B24" s="209" t="s">
        <v>45</v>
      </c>
      <c r="C24" s="210" t="s">
        <v>48</v>
      </c>
      <c r="D24" s="211">
        <v>1.9</v>
      </c>
      <c r="E24" s="212">
        <v>1670</v>
      </c>
      <c r="F24" s="207">
        <v>599</v>
      </c>
      <c r="G24" s="207">
        <v>50</v>
      </c>
      <c r="H24" s="212">
        <f t="shared" si="2"/>
        <v>1586.5</v>
      </c>
      <c r="I24" s="213">
        <v>1510.95238095238</v>
      </c>
      <c r="J24" s="213">
        <v>75.5476190476191</v>
      </c>
      <c r="K24" s="212">
        <v>1586.5</v>
      </c>
      <c r="L24" s="212"/>
      <c r="M24" s="212"/>
      <c r="N24" s="212">
        <f t="shared" si="3"/>
        <v>448.4</v>
      </c>
    </row>
    <row r="25" ht="15.2" spans="1:14">
      <c r="A25" s="208">
        <v>44980</v>
      </c>
      <c r="B25" s="209" t="s">
        <v>45</v>
      </c>
      <c r="C25" s="210" t="s">
        <v>49</v>
      </c>
      <c r="D25" s="211">
        <v>1.9</v>
      </c>
      <c r="E25" s="212">
        <v>780</v>
      </c>
      <c r="F25" s="207">
        <v>273</v>
      </c>
      <c r="G25" s="207">
        <v>50</v>
      </c>
      <c r="H25" s="212">
        <f t="shared" si="2"/>
        <v>741</v>
      </c>
      <c r="I25" s="213">
        <v>705.714285714286</v>
      </c>
      <c r="J25" s="213">
        <v>35.2857142857143</v>
      </c>
      <c r="K25" s="212">
        <v>741</v>
      </c>
      <c r="L25" s="212"/>
      <c r="M25" s="212"/>
      <c r="N25" s="212">
        <f t="shared" si="3"/>
        <v>222.3</v>
      </c>
    </row>
    <row r="26" ht="15.2" spans="1:14">
      <c r="A26" s="208">
        <v>44980</v>
      </c>
      <c r="B26" s="209" t="s">
        <v>45</v>
      </c>
      <c r="C26" s="210" t="s">
        <v>50</v>
      </c>
      <c r="D26" s="211">
        <v>1.9</v>
      </c>
      <c r="E26" s="212">
        <v>1160</v>
      </c>
      <c r="F26" s="207">
        <v>399</v>
      </c>
      <c r="G26" s="207">
        <v>50</v>
      </c>
      <c r="H26" s="212">
        <f t="shared" si="2"/>
        <v>1102</v>
      </c>
      <c r="I26" s="213">
        <v>1049.52380952381</v>
      </c>
      <c r="J26" s="213">
        <v>52.4761904761905</v>
      </c>
      <c r="K26" s="212">
        <v>1102</v>
      </c>
      <c r="L26" s="212"/>
      <c r="M26" s="212"/>
      <c r="N26" s="212">
        <f t="shared" si="3"/>
        <v>343.9</v>
      </c>
    </row>
    <row r="27" ht="15.2" spans="1:14">
      <c r="A27" s="208"/>
      <c r="B27" s="209"/>
      <c r="C27" s="210"/>
      <c r="D27" s="211"/>
      <c r="E27" s="212"/>
      <c r="F27" s="207"/>
      <c r="G27" s="207"/>
      <c r="H27" s="212">
        <f t="shared" si="2"/>
        <v>0</v>
      </c>
      <c r="I27" s="213"/>
      <c r="J27" s="213"/>
      <c r="K27" s="212"/>
      <c r="L27" s="212"/>
      <c r="M27" s="212"/>
      <c r="N27" s="212">
        <f t="shared" si="3"/>
        <v>0</v>
      </c>
    </row>
    <row r="28" ht="15.2" spans="1:14">
      <c r="A28" s="208">
        <v>44980</v>
      </c>
      <c r="B28" s="209" t="s">
        <v>51</v>
      </c>
      <c r="C28" s="210" t="s">
        <v>52</v>
      </c>
      <c r="D28" s="211">
        <v>1.2</v>
      </c>
      <c r="E28" s="212">
        <v>1290</v>
      </c>
      <c r="F28" s="207">
        <v>409</v>
      </c>
      <c r="G28" s="207">
        <v>50</v>
      </c>
      <c r="H28" s="212">
        <f t="shared" si="2"/>
        <v>774</v>
      </c>
      <c r="I28" s="213">
        <v>737.142857142857</v>
      </c>
      <c r="J28" s="213">
        <v>36.8571428571429</v>
      </c>
      <c r="K28" s="212">
        <v>774</v>
      </c>
      <c r="L28" s="212">
        <v>0</v>
      </c>
      <c r="M28" s="212">
        <v>1350</v>
      </c>
      <c r="N28" s="212">
        <f t="shared" si="3"/>
        <v>283.2</v>
      </c>
    </row>
    <row r="29" ht="15.2" spans="1:14">
      <c r="A29" s="208">
        <v>44980</v>
      </c>
      <c r="B29" s="209" t="s">
        <v>51</v>
      </c>
      <c r="C29" s="210" t="s">
        <v>53</v>
      </c>
      <c r="D29" s="211">
        <v>1.2</v>
      </c>
      <c r="E29" s="212">
        <v>960</v>
      </c>
      <c r="F29" s="207">
        <v>349</v>
      </c>
      <c r="G29" s="207">
        <v>50</v>
      </c>
      <c r="H29" s="212">
        <f t="shared" si="2"/>
        <v>576</v>
      </c>
      <c r="I29" s="213">
        <v>548.571428571429</v>
      </c>
      <c r="J29" s="213">
        <v>27.4285714285714</v>
      </c>
      <c r="K29" s="212">
        <v>576</v>
      </c>
      <c r="L29" s="212"/>
      <c r="M29" s="212"/>
      <c r="N29" s="212">
        <f t="shared" si="3"/>
        <v>157.2</v>
      </c>
    </row>
    <row r="30" ht="15.2" spans="1:14">
      <c r="A30" s="208">
        <v>44980</v>
      </c>
      <c r="B30" s="209" t="s">
        <v>54</v>
      </c>
      <c r="C30" s="210" t="s">
        <v>55</v>
      </c>
      <c r="D30" s="211">
        <v>2.4</v>
      </c>
      <c r="E30" s="212">
        <v>1160</v>
      </c>
      <c r="F30" s="207">
        <v>456</v>
      </c>
      <c r="G30" s="207">
        <v>50</v>
      </c>
      <c r="H30" s="212">
        <f t="shared" si="2"/>
        <v>1392</v>
      </c>
      <c r="I30" s="213">
        <v>1325.71428571429</v>
      </c>
      <c r="J30" s="213">
        <v>66.2857142857143</v>
      </c>
      <c r="K30" s="212">
        <v>1392</v>
      </c>
      <c r="L30" s="212">
        <v>0</v>
      </c>
      <c r="M30" s="212">
        <v>11551</v>
      </c>
      <c r="N30" s="212">
        <f t="shared" si="3"/>
        <v>297.6</v>
      </c>
    </row>
    <row r="31" ht="15.2" spans="1:14">
      <c r="A31" s="208">
        <v>44980</v>
      </c>
      <c r="B31" s="209" t="s">
        <v>54</v>
      </c>
      <c r="C31" s="210" t="s">
        <v>56</v>
      </c>
      <c r="D31" s="211">
        <v>2.6</v>
      </c>
      <c r="E31" s="212">
        <v>1290</v>
      </c>
      <c r="F31" s="207">
        <v>323</v>
      </c>
      <c r="G31" s="207">
        <v>50</v>
      </c>
      <c r="H31" s="212">
        <f t="shared" si="2"/>
        <v>1677</v>
      </c>
      <c r="I31" s="213">
        <v>1597.14285714286</v>
      </c>
      <c r="J31" s="213">
        <v>79.8571428571429</v>
      </c>
      <c r="K31" s="212">
        <v>1677</v>
      </c>
      <c r="L31" s="212"/>
      <c r="M31" s="212"/>
      <c r="N31" s="212">
        <f t="shared" si="3"/>
        <v>837.2</v>
      </c>
    </row>
    <row r="32" ht="15.2" spans="1:14">
      <c r="A32" s="208">
        <v>44980</v>
      </c>
      <c r="B32" s="209" t="s">
        <v>54</v>
      </c>
      <c r="C32" s="210" t="s">
        <v>57</v>
      </c>
      <c r="D32" s="211">
        <v>1.4</v>
      </c>
      <c r="E32" s="212">
        <v>4590</v>
      </c>
      <c r="F32" s="207">
        <v>1536</v>
      </c>
      <c r="G32" s="207">
        <v>50</v>
      </c>
      <c r="H32" s="212">
        <f t="shared" si="2"/>
        <v>3213</v>
      </c>
      <c r="I32" s="213">
        <v>3060</v>
      </c>
      <c r="J32" s="213">
        <v>153</v>
      </c>
      <c r="K32" s="212">
        <v>3213</v>
      </c>
      <c r="L32" s="212"/>
      <c r="M32" s="212"/>
      <c r="N32" s="212">
        <f t="shared" si="3"/>
        <v>1062.6</v>
      </c>
    </row>
    <row r="33" ht="15.2" spans="1:14">
      <c r="A33" s="208">
        <v>44980</v>
      </c>
      <c r="B33" s="209" t="s">
        <v>54</v>
      </c>
      <c r="C33" s="210" t="s">
        <v>58</v>
      </c>
      <c r="D33" s="211">
        <v>5</v>
      </c>
      <c r="E33" s="212">
        <v>1390</v>
      </c>
      <c r="F33" s="207">
        <v>499</v>
      </c>
      <c r="G33" s="207">
        <v>50</v>
      </c>
      <c r="H33" s="212">
        <f t="shared" si="2"/>
        <v>3475</v>
      </c>
      <c r="I33" s="213">
        <v>3309.52380952381</v>
      </c>
      <c r="J33" s="213">
        <v>165.47619047619</v>
      </c>
      <c r="K33" s="212">
        <v>3475</v>
      </c>
      <c r="L33" s="212"/>
      <c r="M33" s="212"/>
      <c r="N33" s="212">
        <f t="shared" si="3"/>
        <v>980</v>
      </c>
    </row>
    <row r="34" ht="15.2" spans="1:14">
      <c r="A34" s="208"/>
      <c r="B34" s="209"/>
      <c r="C34" s="210"/>
      <c r="D34" s="211"/>
      <c r="E34" s="212"/>
      <c r="F34" s="207"/>
      <c r="G34" s="207"/>
      <c r="H34" s="212">
        <f t="shared" si="2"/>
        <v>0</v>
      </c>
      <c r="I34" s="213"/>
      <c r="J34" s="213"/>
      <c r="K34" s="212"/>
      <c r="L34" s="212"/>
      <c r="M34" s="212"/>
      <c r="N34" s="212">
        <f t="shared" si="3"/>
        <v>0</v>
      </c>
    </row>
    <row r="35" ht="15.2" spans="1:14">
      <c r="A35" s="208">
        <v>44980</v>
      </c>
      <c r="B35" s="209" t="s">
        <v>59</v>
      </c>
      <c r="C35" s="210" t="s">
        <v>60</v>
      </c>
      <c r="D35" s="211">
        <v>1.6</v>
      </c>
      <c r="E35" s="212">
        <v>1710</v>
      </c>
      <c r="F35" s="207">
        <v>616</v>
      </c>
      <c r="G35" s="207">
        <v>50</v>
      </c>
      <c r="H35" s="212">
        <f t="shared" si="2"/>
        <v>1368</v>
      </c>
      <c r="I35" s="213">
        <v>1302.85714285714</v>
      </c>
      <c r="J35" s="213">
        <v>65.1428571428572</v>
      </c>
      <c r="K35" s="212">
        <v>1368</v>
      </c>
      <c r="L35" s="212">
        <v>0.87</v>
      </c>
      <c r="M35" s="212">
        <v>14068</v>
      </c>
      <c r="N35" s="212">
        <f t="shared" si="3"/>
        <v>382.4</v>
      </c>
    </row>
    <row r="36" ht="15.2" spans="1:14">
      <c r="A36" s="208">
        <v>44980</v>
      </c>
      <c r="B36" s="209" t="s">
        <v>59</v>
      </c>
      <c r="C36" s="210" t="s">
        <v>61</v>
      </c>
      <c r="D36" s="211">
        <v>1.2</v>
      </c>
      <c r="E36" s="212">
        <v>1780</v>
      </c>
      <c r="F36" s="207">
        <v>597</v>
      </c>
      <c r="G36" s="207">
        <v>50</v>
      </c>
      <c r="H36" s="212">
        <f t="shared" si="2"/>
        <v>1068</v>
      </c>
      <c r="I36" s="213">
        <v>1017.14285714286</v>
      </c>
      <c r="J36" s="213">
        <v>50.8571428571429</v>
      </c>
      <c r="K36" s="212">
        <v>1068</v>
      </c>
      <c r="L36" s="212"/>
      <c r="M36" s="212"/>
      <c r="N36" s="212">
        <f t="shared" si="3"/>
        <v>351.6</v>
      </c>
    </row>
    <row r="37" ht="15.2" spans="1:14">
      <c r="A37" s="208">
        <v>44986.759837963</v>
      </c>
      <c r="B37" s="209" t="s">
        <v>62</v>
      </c>
      <c r="C37" s="210" t="s">
        <v>63</v>
      </c>
      <c r="D37" s="211">
        <v>3.25</v>
      </c>
      <c r="E37" s="212">
        <v>2431</v>
      </c>
      <c r="F37" s="207">
        <v>820</v>
      </c>
      <c r="G37" s="207">
        <v>50</v>
      </c>
      <c r="H37" s="212">
        <f t="shared" si="2"/>
        <v>3950.375</v>
      </c>
      <c r="I37" s="213">
        <v>3762.26666666667</v>
      </c>
      <c r="J37" s="213">
        <v>188.113333333333</v>
      </c>
      <c r="K37" s="212">
        <v>3950.38</v>
      </c>
      <c r="L37" s="212">
        <v>-0.38</v>
      </c>
      <c r="M37" s="212">
        <v>3950</v>
      </c>
      <c r="N37" s="212">
        <f t="shared" si="3"/>
        <v>1285.38</v>
      </c>
    </row>
    <row r="38" ht="15.2" spans="1:14">
      <c r="A38" s="208"/>
      <c r="B38" s="209"/>
      <c r="C38" s="210"/>
      <c r="D38" s="211"/>
      <c r="E38" s="212"/>
      <c r="F38" s="207"/>
      <c r="G38" s="207"/>
      <c r="H38" s="212">
        <f t="shared" si="2"/>
        <v>0</v>
      </c>
      <c r="I38" s="213"/>
      <c r="J38" s="213"/>
      <c r="K38" s="212"/>
      <c r="L38" s="212"/>
      <c r="M38" s="212"/>
      <c r="N38" s="212">
        <f t="shared" si="3"/>
        <v>0</v>
      </c>
    </row>
    <row r="39" ht="15.2" spans="1:14">
      <c r="A39" s="208">
        <v>44986.7929398148</v>
      </c>
      <c r="B39" s="209" t="s">
        <v>64</v>
      </c>
      <c r="C39" s="210" t="s">
        <v>65</v>
      </c>
      <c r="D39" s="211">
        <v>1.6</v>
      </c>
      <c r="E39" s="212">
        <v>1460</v>
      </c>
      <c r="F39" s="207">
        <v>525</v>
      </c>
      <c r="G39" s="207">
        <v>50</v>
      </c>
      <c r="H39" s="212">
        <f t="shared" si="2"/>
        <v>1168</v>
      </c>
      <c r="I39" s="213">
        <v>1112.38095238095</v>
      </c>
      <c r="J39" s="213">
        <v>55.6190476190476</v>
      </c>
      <c r="K39" s="212">
        <v>1168</v>
      </c>
      <c r="L39" s="212">
        <v>0</v>
      </c>
      <c r="M39" s="212">
        <v>2336</v>
      </c>
      <c r="N39" s="212">
        <f t="shared" si="3"/>
        <v>328</v>
      </c>
    </row>
    <row r="40" ht="15.2" spans="1:14">
      <c r="A40" s="208">
        <v>44986.7929513889</v>
      </c>
      <c r="B40" s="209" t="s">
        <v>64</v>
      </c>
      <c r="C40" s="210" t="s">
        <v>66</v>
      </c>
      <c r="D40" s="211">
        <v>1.6</v>
      </c>
      <c r="E40" s="212">
        <v>1460</v>
      </c>
      <c r="F40" s="207">
        <v>525</v>
      </c>
      <c r="G40" s="207">
        <v>50</v>
      </c>
      <c r="H40" s="212">
        <f t="shared" si="2"/>
        <v>1168</v>
      </c>
      <c r="I40" s="213">
        <v>1112.38095238095</v>
      </c>
      <c r="J40" s="213">
        <v>55.6190476190476</v>
      </c>
      <c r="K40" s="212">
        <v>1168</v>
      </c>
      <c r="L40" s="212"/>
      <c r="M40" s="212"/>
      <c r="N40" s="212">
        <f t="shared" si="3"/>
        <v>328</v>
      </c>
    </row>
    <row r="41" ht="15.2" spans="1:14">
      <c r="A41" s="208">
        <v>44986.8104513889</v>
      </c>
      <c r="B41" s="209" t="s">
        <v>67</v>
      </c>
      <c r="C41" s="210" t="s">
        <v>68</v>
      </c>
      <c r="D41" s="211">
        <v>1.2</v>
      </c>
      <c r="E41" s="212">
        <v>2370</v>
      </c>
      <c r="F41" s="207">
        <v>769</v>
      </c>
      <c r="G41" s="207">
        <v>50</v>
      </c>
      <c r="H41" s="212">
        <f t="shared" si="2"/>
        <v>1422</v>
      </c>
      <c r="I41" s="213">
        <v>1354.28571428571</v>
      </c>
      <c r="J41" s="213">
        <v>67.7142857142857</v>
      </c>
      <c r="K41" s="212">
        <v>1422</v>
      </c>
      <c r="L41" s="212">
        <v>0.5</v>
      </c>
      <c r="M41" s="212">
        <v>3565</v>
      </c>
      <c r="N41" s="212">
        <f t="shared" si="3"/>
        <v>499.2</v>
      </c>
    </row>
    <row r="42" ht="15.2" spans="1:14">
      <c r="A42" s="208">
        <v>44986.8104513889</v>
      </c>
      <c r="B42" s="209" t="s">
        <v>67</v>
      </c>
      <c r="C42" s="210" t="s">
        <v>65</v>
      </c>
      <c r="D42" s="211">
        <v>1.4</v>
      </c>
      <c r="E42" s="212">
        <v>1460</v>
      </c>
      <c r="F42" s="207">
        <v>525</v>
      </c>
      <c r="G42" s="207">
        <v>50</v>
      </c>
      <c r="H42" s="212">
        <f t="shared" si="2"/>
        <v>1022</v>
      </c>
      <c r="I42" s="213">
        <v>973.333333333333</v>
      </c>
      <c r="J42" s="213">
        <v>48.6666666666667</v>
      </c>
      <c r="K42" s="212">
        <v>1022</v>
      </c>
      <c r="L42" s="212"/>
      <c r="M42" s="212"/>
      <c r="N42" s="212">
        <f t="shared" si="3"/>
        <v>287</v>
      </c>
    </row>
    <row r="43" ht="15.2" spans="1:14">
      <c r="A43" s="208">
        <v>44986.8104513889</v>
      </c>
      <c r="B43" s="209" t="s">
        <v>67</v>
      </c>
      <c r="C43" s="210" t="s">
        <v>69</v>
      </c>
      <c r="D43" s="211">
        <v>1.35</v>
      </c>
      <c r="E43" s="212">
        <v>1660</v>
      </c>
      <c r="F43" s="207">
        <v>497</v>
      </c>
      <c r="G43" s="207">
        <v>50</v>
      </c>
      <c r="H43" s="212">
        <f t="shared" si="2"/>
        <v>1120.5</v>
      </c>
      <c r="I43" s="213">
        <v>1067.14285714286</v>
      </c>
      <c r="J43" s="213">
        <v>53.3571428571429</v>
      </c>
      <c r="K43" s="212">
        <v>1120.5</v>
      </c>
      <c r="L43" s="212"/>
      <c r="M43" s="212"/>
      <c r="N43" s="212">
        <f t="shared" si="3"/>
        <v>449.55</v>
      </c>
    </row>
    <row r="44" ht="15.2" spans="1:14">
      <c r="A44" s="208"/>
      <c r="B44" s="209"/>
      <c r="C44" s="210"/>
      <c r="D44" s="211"/>
      <c r="E44" s="212"/>
      <c r="F44" s="207"/>
      <c r="G44" s="207"/>
      <c r="H44" s="212">
        <f t="shared" si="2"/>
        <v>0</v>
      </c>
      <c r="I44" s="213"/>
      <c r="J44" s="213"/>
      <c r="K44" s="212"/>
      <c r="L44" s="212"/>
      <c r="M44" s="212"/>
      <c r="N44" s="212">
        <f t="shared" si="3"/>
        <v>0</v>
      </c>
    </row>
    <row r="45" ht="15.2" spans="1:14">
      <c r="A45" s="208"/>
      <c r="B45" s="209"/>
      <c r="C45" s="210"/>
      <c r="D45" s="211"/>
      <c r="E45" s="212"/>
      <c r="F45" s="207"/>
      <c r="G45" s="207"/>
      <c r="H45" s="212">
        <f t="shared" si="2"/>
        <v>0</v>
      </c>
      <c r="I45" s="213"/>
      <c r="J45" s="213"/>
      <c r="K45" s="212"/>
      <c r="L45" s="212"/>
      <c r="M45" s="212"/>
      <c r="N45" s="212">
        <f t="shared" si="3"/>
        <v>0</v>
      </c>
    </row>
    <row r="46" ht="15.2" spans="1:14">
      <c r="A46" s="208"/>
      <c r="B46" s="209"/>
      <c r="C46" s="210"/>
      <c r="D46" s="211"/>
      <c r="E46" s="212"/>
      <c r="F46" s="207"/>
      <c r="G46" s="207"/>
      <c r="H46" s="212">
        <f t="shared" si="2"/>
        <v>0</v>
      </c>
      <c r="I46" s="213"/>
      <c r="J46" s="213"/>
      <c r="K46" s="212"/>
      <c r="L46" s="212"/>
      <c r="M46" s="212"/>
      <c r="N46" s="212">
        <f t="shared" si="3"/>
        <v>0</v>
      </c>
    </row>
    <row r="47" ht="15.2" spans="1:14">
      <c r="A47" s="208">
        <v>44988.6586574074</v>
      </c>
      <c r="B47" s="209" t="s">
        <v>70</v>
      </c>
      <c r="C47" s="210" t="s">
        <v>71</v>
      </c>
      <c r="D47" s="211">
        <v>1.3</v>
      </c>
      <c r="E47" s="212">
        <v>1546</v>
      </c>
      <c r="F47" s="207">
        <v>589</v>
      </c>
      <c r="G47" s="207">
        <v>50</v>
      </c>
      <c r="H47" s="212">
        <f t="shared" si="2"/>
        <v>1004.9</v>
      </c>
      <c r="I47" s="213">
        <v>957.047619047619</v>
      </c>
      <c r="J47" s="213">
        <v>47.852380952381</v>
      </c>
      <c r="K47" s="212">
        <v>1004.9</v>
      </c>
      <c r="L47" s="212">
        <v>0</v>
      </c>
      <c r="M47" s="212">
        <v>1005</v>
      </c>
      <c r="N47" s="212">
        <f t="shared" si="3"/>
        <v>239.2</v>
      </c>
    </row>
    <row r="48" ht="15.2" spans="1:14">
      <c r="A48" s="208">
        <v>44988.8051736111</v>
      </c>
      <c r="B48" s="209" t="s">
        <v>72</v>
      </c>
      <c r="C48" s="210" t="s">
        <v>73</v>
      </c>
      <c r="D48" s="211">
        <v>2.25</v>
      </c>
      <c r="E48" s="212">
        <v>7280</v>
      </c>
      <c r="F48" s="207">
        <v>2513</v>
      </c>
      <c r="G48" s="207">
        <v>50</v>
      </c>
      <c r="H48" s="212">
        <f t="shared" si="2"/>
        <v>8190</v>
      </c>
      <c r="I48" s="213">
        <v>7800</v>
      </c>
      <c r="J48" s="213">
        <v>390</v>
      </c>
      <c r="K48" s="212">
        <v>8190</v>
      </c>
      <c r="L48" s="212">
        <v>0</v>
      </c>
      <c r="M48" s="212">
        <v>16380</v>
      </c>
      <c r="N48" s="212">
        <f t="shared" si="3"/>
        <v>2535.75</v>
      </c>
    </row>
    <row r="49" ht="15.2" spans="1:14">
      <c r="A49" s="208">
        <v>44988.8051851852</v>
      </c>
      <c r="B49" s="209" t="s">
        <v>72</v>
      </c>
      <c r="C49" s="210" t="s">
        <v>74</v>
      </c>
      <c r="D49" s="211">
        <v>2.25</v>
      </c>
      <c r="E49" s="212">
        <v>7280</v>
      </c>
      <c r="F49" s="207">
        <v>2499</v>
      </c>
      <c r="G49" s="207">
        <v>50</v>
      </c>
      <c r="H49" s="212">
        <f t="shared" si="2"/>
        <v>8190</v>
      </c>
      <c r="I49" s="213">
        <v>7800</v>
      </c>
      <c r="J49" s="213">
        <v>390</v>
      </c>
      <c r="K49" s="212">
        <v>8190</v>
      </c>
      <c r="L49" s="212"/>
      <c r="M49" s="212"/>
      <c r="N49" s="212">
        <f t="shared" si="3"/>
        <v>2567.25</v>
      </c>
    </row>
    <row r="50" ht="15.2" spans="1:14">
      <c r="A50" s="208">
        <v>44988.8217013889</v>
      </c>
      <c r="B50" s="209" t="s">
        <v>75</v>
      </c>
      <c r="C50" s="210" t="s">
        <v>65</v>
      </c>
      <c r="D50" s="211">
        <v>1.8</v>
      </c>
      <c r="E50" s="212">
        <v>1460</v>
      </c>
      <c r="F50" s="207">
        <v>525</v>
      </c>
      <c r="G50" s="207">
        <v>50</v>
      </c>
      <c r="H50" s="212">
        <f t="shared" si="2"/>
        <v>1314</v>
      </c>
      <c r="I50" s="213">
        <v>1251.42857142857</v>
      </c>
      <c r="J50" s="213">
        <v>62.5714285714286</v>
      </c>
      <c r="K50" s="212">
        <v>1314</v>
      </c>
      <c r="L50" s="212">
        <v>0</v>
      </c>
      <c r="M50" s="212">
        <v>1314</v>
      </c>
      <c r="N50" s="212">
        <f t="shared" si="3"/>
        <v>369</v>
      </c>
    </row>
    <row r="51" ht="15.2" spans="1:14">
      <c r="A51" s="208"/>
      <c r="B51" s="209"/>
      <c r="C51" s="210"/>
      <c r="D51" s="211"/>
      <c r="E51" s="212"/>
      <c r="F51" s="207"/>
      <c r="G51" s="207"/>
      <c r="H51" s="212">
        <f t="shared" si="2"/>
        <v>0</v>
      </c>
      <c r="I51" s="213"/>
      <c r="J51" s="213"/>
      <c r="K51" s="212"/>
      <c r="L51" s="212"/>
      <c r="M51" s="212"/>
      <c r="N51" s="212">
        <f t="shared" si="3"/>
        <v>0</v>
      </c>
    </row>
    <row r="52" ht="15.2" spans="1:14">
      <c r="A52" s="208">
        <v>44988.8386226852</v>
      </c>
      <c r="B52" s="209" t="s">
        <v>76</v>
      </c>
      <c r="C52" s="210" t="s">
        <v>41</v>
      </c>
      <c r="D52" s="211">
        <v>1.6</v>
      </c>
      <c r="E52" s="212">
        <v>1110</v>
      </c>
      <c r="F52" s="207">
        <v>340</v>
      </c>
      <c r="G52" s="207">
        <v>50</v>
      </c>
      <c r="H52" s="212">
        <f t="shared" si="2"/>
        <v>888</v>
      </c>
      <c r="I52" s="213">
        <v>845.714285714286</v>
      </c>
      <c r="J52" s="213">
        <v>42.2857142857143</v>
      </c>
      <c r="K52" s="212">
        <v>888</v>
      </c>
      <c r="L52" s="212">
        <v>0</v>
      </c>
      <c r="M52" s="212">
        <v>888</v>
      </c>
      <c r="N52" s="212">
        <f t="shared" si="3"/>
        <v>344</v>
      </c>
    </row>
    <row r="53" ht="15.2" spans="1:14">
      <c r="A53" s="208"/>
      <c r="B53" s="209"/>
      <c r="C53" s="210"/>
      <c r="D53" s="211"/>
      <c r="E53" s="212"/>
      <c r="F53" s="207"/>
      <c r="G53" s="207"/>
      <c r="H53" s="212">
        <f t="shared" si="2"/>
        <v>0</v>
      </c>
      <c r="I53" s="213"/>
      <c r="J53" s="213"/>
      <c r="K53" s="212"/>
      <c r="L53" s="212"/>
      <c r="M53" s="212"/>
      <c r="N53" s="212">
        <f t="shared" si="3"/>
        <v>0</v>
      </c>
    </row>
    <row r="54" ht="15.2" spans="1:14">
      <c r="A54" s="208">
        <v>44989.507037037</v>
      </c>
      <c r="B54" s="209" t="s">
        <v>77</v>
      </c>
      <c r="C54" s="210" t="s">
        <v>78</v>
      </c>
      <c r="D54" s="211">
        <v>1.3</v>
      </c>
      <c r="E54" s="212">
        <v>820</v>
      </c>
      <c r="F54" s="207">
        <v>299</v>
      </c>
      <c r="G54" s="207">
        <v>50</v>
      </c>
      <c r="H54" s="212">
        <f t="shared" si="2"/>
        <v>533</v>
      </c>
      <c r="I54" s="213">
        <v>507.619047619048</v>
      </c>
      <c r="J54" s="213">
        <v>25.3809523809524</v>
      </c>
      <c r="K54" s="212">
        <v>533</v>
      </c>
      <c r="L54" s="212">
        <v>0</v>
      </c>
      <c r="M54" s="212">
        <v>533</v>
      </c>
      <c r="N54" s="212">
        <f t="shared" si="3"/>
        <v>144.3</v>
      </c>
    </row>
    <row r="55" ht="15.2" spans="1:14">
      <c r="A55" s="208"/>
      <c r="B55" s="209"/>
      <c r="C55" s="210"/>
      <c r="D55" s="211"/>
      <c r="E55" s="212"/>
      <c r="F55" s="207"/>
      <c r="G55" s="207"/>
      <c r="H55" s="212">
        <f t="shared" si="2"/>
        <v>0</v>
      </c>
      <c r="I55" s="213"/>
      <c r="J55" s="213"/>
      <c r="K55" s="212"/>
      <c r="L55" s="212"/>
      <c r="M55" s="212"/>
      <c r="N55" s="212">
        <f t="shared" si="3"/>
        <v>0</v>
      </c>
    </row>
    <row r="56" ht="15.2" spans="1:14">
      <c r="A56" s="208"/>
      <c r="B56" s="209"/>
      <c r="C56" s="210"/>
      <c r="D56" s="211"/>
      <c r="E56" s="212"/>
      <c r="F56" s="207"/>
      <c r="G56" s="207"/>
      <c r="H56" s="212">
        <f t="shared" si="2"/>
        <v>0</v>
      </c>
      <c r="I56" s="213"/>
      <c r="J56" s="213"/>
      <c r="K56" s="212"/>
      <c r="L56" s="212"/>
      <c r="M56" s="212"/>
      <c r="N56" s="212">
        <f t="shared" si="3"/>
        <v>0</v>
      </c>
    </row>
    <row r="57" ht="15.2" spans="1:14">
      <c r="A57" s="208"/>
      <c r="B57" s="209"/>
      <c r="C57" s="210"/>
      <c r="D57" s="211"/>
      <c r="E57" s="212"/>
      <c r="F57" s="207"/>
      <c r="G57" s="207"/>
      <c r="H57" s="212">
        <f t="shared" si="2"/>
        <v>0</v>
      </c>
      <c r="I57" s="213"/>
      <c r="J57" s="213"/>
      <c r="K57" s="212"/>
      <c r="L57" s="212"/>
      <c r="M57" s="212"/>
      <c r="N57" s="212">
        <f t="shared" si="3"/>
        <v>0</v>
      </c>
    </row>
    <row r="58" ht="15.2" spans="1:14">
      <c r="A58" s="208">
        <v>44989.7028356481</v>
      </c>
      <c r="B58" s="209" t="s">
        <v>79</v>
      </c>
      <c r="C58" s="210" t="s">
        <v>80</v>
      </c>
      <c r="D58" s="211">
        <v>1.7</v>
      </c>
      <c r="E58" s="212">
        <v>1380</v>
      </c>
      <c r="F58" s="207">
        <v>481</v>
      </c>
      <c r="G58" s="207">
        <v>50</v>
      </c>
      <c r="H58" s="212">
        <f t="shared" si="2"/>
        <v>1173</v>
      </c>
      <c r="I58" s="213">
        <v>1117.14285714286</v>
      </c>
      <c r="J58" s="213">
        <v>55.8571428571429</v>
      </c>
      <c r="K58" s="212">
        <v>1173</v>
      </c>
      <c r="L58" s="212">
        <v>0</v>
      </c>
      <c r="M58" s="212">
        <v>1173</v>
      </c>
      <c r="N58" s="212">
        <f t="shared" si="3"/>
        <v>355.3</v>
      </c>
    </row>
    <row r="59" ht="15.2" spans="1:14">
      <c r="A59" s="208">
        <v>44989.7616435185</v>
      </c>
      <c r="B59" s="209" t="s">
        <v>81</v>
      </c>
      <c r="C59" s="210" t="s">
        <v>82</v>
      </c>
      <c r="D59" s="211">
        <v>2</v>
      </c>
      <c r="E59" s="212">
        <v>11365</v>
      </c>
      <c r="F59" s="207">
        <v>3451</v>
      </c>
      <c r="G59" s="207">
        <v>57</v>
      </c>
      <c r="H59" s="212">
        <f t="shared" si="2"/>
        <v>12956.1</v>
      </c>
      <c r="I59" s="213">
        <v>9308.47619047619</v>
      </c>
      <c r="J59" s="213">
        <v>465.42380952381</v>
      </c>
      <c r="K59" s="212">
        <v>9773.9</v>
      </c>
      <c r="L59" s="212">
        <v>-0.1</v>
      </c>
      <c r="M59" s="212">
        <v>17402</v>
      </c>
      <c r="N59" s="212">
        <f t="shared" si="3"/>
        <v>2871.9</v>
      </c>
    </row>
    <row r="60" ht="15.2" spans="1:14">
      <c r="A60" s="208">
        <v>44989.7616550926</v>
      </c>
      <c r="B60" s="209" t="s">
        <v>81</v>
      </c>
      <c r="C60" s="210" t="s">
        <v>83</v>
      </c>
      <c r="D60" s="211">
        <v>3.25</v>
      </c>
      <c r="E60" s="212">
        <v>5458.46</v>
      </c>
      <c r="F60" s="207">
        <v>1499</v>
      </c>
      <c r="G60" s="207">
        <v>57</v>
      </c>
      <c r="H60" s="212">
        <f t="shared" si="2"/>
        <v>10111.79715</v>
      </c>
      <c r="I60" s="213">
        <v>7264.95238095238</v>
      </c>
      <c r="J60" s="213">
        <v>363.247619047619</v>
      </c>
      <c r="K60" s="212">
        <v>7628.2</v>
      </c>
      <c r="L60" s="212"/>
      <c r="M60" s="212"/>
      <c r="N60" s="212">
        <f t="shared" si="3"/>
        <v>2756.45</v>
      </c>
    </row>
    <row r="61" ht="15.2" spans="1:14">
      <c r="A61" s="208"/>
      <c r="B61" s="209"/>
      <c r="C61" s="210"/>
      <c r="D61" s="211"/>
      <c r="E61" s="212"/>
      <c r="F61" s="207"/>
      <c r="G61" s="207"/>
      <c r="H61" s="212">
        <f t="shared" si="2"/>
        <v>0</v>
      </c>
      <c r="I61" s="213"/>
      <c r="J61" s="213"/>
      <c r="K61" s="212"/>
      <c r="L61" s="212"/>
      <c r="M61" s="212"/>
      <c r="N61" s="212">
        <f t="shared" si="3"/>
        <v>0</v>
      </c>
    </row>
    <row r="62" ht="15.2" spans="1:14">
      <c r="A62" s="208"/>
      <c r="B62" s="209"/>
      <c r="C62" s="210"/>
      <c r="D62" s="211"/>
      <c r="E62" s="212"/>
      <c r="F62" s="207"/>
      <c r="G62" s="207"/>
      <c r="H62" s="212">
        <f t="shared" si="2"/>
        <v>0</v>
      </c>
      <c r="I62" s="213"/>
      <c r="J62" s="213"/>
      <c r="K62" s="212"/>
      <c r="L62" s="212"/>
      <c r="M62" s="212"/>
      <c r="N62" s="212">
        <f t="shared" si="3"/>
        <v>0</v>
      </c>
    </row>
    <row r="63" ht="15.2" spans="1:14">
      <c r="A63" s="208">
        <v>44989.7790856482</v>
      </c>
      <c r="B63" s="209" t="s">
        <v>84</v>
      </c>
      <c r="C63" s="210" t="s">
        <v>85</v>
      </c>
      <c r="D63" s="211">
        <v>1.1</v>
      </c>
      <c r="E63" s="212">
        <v>650</v>
      </c>
      <c r="F63" s="207">
        <v>263</v>
      </c>
      <c r="G63" s="207">
        <v>50</v>
      </c>
      <c r="H63" s="212">
        <f t="shared" si="2"/>
        <v>357.5</v>
      </c>
      <c r="I63" s="213">
        <v>340.47619047619</v>
      </c>
      <c r="J63" s="213">
        <v>17.0238095238095</v>
      </c>
      <c r="K63" s="212">
        <v>357.5</v>
      </c>
      <c r="L63" s="212">
        <v>0.5</v>
      </c>
      <c r="M63" s="212">
        <v>358</v>
      </c>
      <c r="N63" s="212">
        <f t="shared" si="3"/>
        <v>68.2</v>
      </c>
    </row>
    <row r="64" ht="15.2" spans="1:14">
      <c r="A64" s="208">
        <v>44989.800625</v>
      </c>
      <c r="B64" s="209" t="s">
        <v>86</v>
      </c>
      <c r="C64" s="210" t="s">
        <v>87</v>
      </c>
      <c r="D64" s="211">
        <v>1.2</v>
      </c>
      <c r="E64" s="212">
        <v>780</v>
      </c>
      <c r="F64" s="207">
        <v>299</v>
      </c>
      <c r="G64" s="207">
        <v>50</v>
      </c>
      <c r="H64" s="212">
        <f t="shared" si="2"/>
        <v>468</v>
      </c>
      <c r="I64" s="213">
        <v>445.714285714286</v>
      </c>
      <c r="J64" s="213">
        <v>22.2857142857143</v>
      </c>
      <c r="K64" s="212">
        <v>468</v>
      </c>
      <c r="L64" s="212">
        <v>0.3</v>
      </c>
      <c r="M64" s="212">
        <v>1158</v>
      </c>
      <c r="N64" s="212">
        <f t="shared" si="3"/>
        <v>109.2</v>
      </c>
    </row>
    <row r="65" ht="15.2" spans="1:14">
      <c r="A65" s="208"/>
      <c r="B65" s="209"/>
      <c r="C65" s="210"/>
      <c r="D65" s="211"/>
      <c r="E65" s="212"/>
      <c r="F65" s="207"/>
      <c r="G65" s="207"/>
      <c r="H65" s="212">
        <f t="shared" si="2"/>
        <v>0</v>
      </c>
      <c r="I65" s="213"/>
      <c r="J65" s="213"/>
      <c r="K65" s="212"/>
      <c r="L65" s="212"/>
      <c r="M65" s="212"/>
      <c r="N65" s="212">
        <f t="shared" si="3"/>
        <v>0</v>
      </c>
    </row>
    <row r="66" ht="15.2" spans="1:14">
      <c r="A66" s="208"/>
      <c r="B66" s="209"/>
      <c r="C66" s="210"/>
      <c r="D66" s="211"/>
      <c r="E66" s="212"/>
      <c r="F66" s="207"/>
      <c r="G66" s="207"/>
      <c r="H66" s="212">
        <f t="shared" si="2"/>
        <v>0</v>
      </c>
      <c r="I66" s="213"/>
      <c r="J66" s="213"/>
      <c r="K66" s="212"/>
      <c r="L66" s="212"/>
      <c r="M66" s="212"/>
      <c r="N66" s="212">
        <f t="shared" si="3"/>
        <v>0</v>
      </c>
    </row>
    <row r="67" ht="15.2" spans="1:14">
      <c r="A67" s="208">
        <v>44989.8247569444</v>
      </c>
      <c r="B67" s="209" t="s">
        <v>88</v>
      </c>
      <c r="C67" s="210" t="s">
        <v>89</v>
      </c>
      <c r="D67" s="211">
        <v>1.75</v>
      </c>
      <c r="E67" s="212">
        <v>2475</v>
      </c>
      <c r="F67" s="207">
        <v>571</v>
      </c>
      <c r="G67" s="207">
        <v>50</v>
      </c>
      <c r="H67" s="212">
        <f t="shared" si="2"/>
        <v>2165.625</v>
      </c>
      <c r="I67" s="213">
        <v>2062.50476190476</v>
      </c>
      <c r="J67" s="213">
        <v>103.125238095238</v>
      </c>
      <c r="K67" s="212">
        <v>2165.63</v>
      </c>
      <c r="L67" s="212">
        <v>-12.63</v>
      </c>
      <c r="M67" s="212">
        <v>5100</v>
      </c>
      <c r="N67" s="212">
        <f t="shared" si="3"/>
        <v>1166.38</v>
      </c>
    </row>
    <row r="68" ht="15.2" spans="1:14">
      <c r="A68" s="208">
        <v>44989.8247569444</v>
      </c>
      <c r="B68" s="209" t="s">
        <v>88</v>
      </c>
      <c r="C68" s="210" t="s">
        <v>90</v>
      </c>
      <c r="D68" s="211">
        <v>1.2</v>
      </c>
      <c r="E68" s="212">
        <v>2560</v>
      </c>
      <c r="F68" s="207">
        <v>830</v>
      </c>
      <c r="G68" s="207">
        <v>50</v>
      </c>
      <c r="H68" s="212">
        <f t="shared" si="2"/>
        <v>1536</v>
      </c>
      <c r="I68" s="213">
        <v>1462.85714285714</v>
      </c>
      <c r="J68" s="213">
        <v>73.1428571428572</v>
      </c>
      <c r="K68" s="212">
        <v>1536</v>
      </c>
      <c r="L68" s="212"/>
      <c r="M68" s="212"/>
      <c r="N68" s="212">
        <f t="shared" si="3"/>
        <v>540</v>
      </c>
    </row>
    <row r="69" ht="15.2" spans="1:14">
      <c r="A69" s="208"/>
      <c r="B69" s="209"/>
      <c r="C69" s="210"/>
      <c r="D69" s="211"/>
      <c r="E69" s="212"/>
      <c r="F69" s="207"/>
      <c r="G69" s="207"/>
      <c r="H69" s="212">
        <f t="shared" si="2"/>
        <v>0</v>
      </c>
      <c r="I69" s="213"/>
      <c r="J69" s="213"/>
      <c r="K69" s="212"/>
      <c r="L69" s="212"/>
      <c r="M69" s="212"/>
      <c r="N69" s="212">
        <f t="shared" si="3"/>
        <v>0</v>
      </c>
    </row>
    <row r="70" ht="15.2" spans="1:14">
      <c r="A70" s="208">
        <v>44991.7083564815</v>
      </c>
      <c r="B70" s="209" t="s">
        <v>91</v>
      </c>
      <c r="C70" s="210" t="s">
        <v>92</v>
      </c>
      <c r="D70" s="211">
        <v>1.2</v>
      </c>
      <c r="E70" s="212">
        <v>1610</v>
      </c>
      <c r="F70" s="207">
        <v>511</v>
      </c>
      <c r="G70" s="207">
        <v>50</v>
      </c>
      <c r="H70" s="212">
        <f t="shared" si="2"/>
        <v>966</v>
      </c>
      <c r="I70" s="213">
        <v>920</v>
      </c>
      <c r="J70" s="213">
        <v>46</v>
      </c>
      <c r="K70" s="212">
        <v>966</v>
      </c>
      <c r="L70" s="212">
        <v>0.35</v>
      </c>
      <c r="M70" s="212">
        <v>1491</v>
      </c>
      <c r="N70" s="212">
        <f t="shared" si="3"/>
        <v>352.8</v>
      </c>
    </row>
    <row r="71" ht="15.2" spans="1:14">
      <c r="A71" s="208"/>
      <c r="B71" s="209"/>
      <c r="C71" s="210"/>
      <c r="D71" s="211"/>
      <c r="E71" s="212"/>
      <c r="F71" s="207"/>
      <c r="G71" s="207"/>
      <c r="H71" s="212">
        <f t="shared" si="2"/>
        <v>0</v>
      </c>
      <c r="I71" s="213"/>
      <c r="J71" s="213"/>
      <c r="K71" s="212"/>
      <c r="L71" s="212"/>
      <c r="M71" s="212"/>
      <c r="N71" s="212">
        <f t="shared" si="3"/>
        <v>0</v>
      </c>
    </row>
    <row r="72" ht="15.2" spans="1:14">
      <c r="A72" s="215">
        <v>44958</v>
      </c>
      <c r="B72" s="216" t="s">
        <v>93</v>
      </c>
      <c r="C72" s="217">
        <v>8904290618681</v>
      </c>
      <c r="D72" s="218">
        <v>1</v>
      </c>
      <c r="E72" s="220">
        <v>1999</v>
      </c>
      <c r="F72" s="221">
        <v>1319.34</v>
      </c>
      <c r="G72" s="222">
        <v>64.9824912456228</v>
      </c>
      <c r="H72" s="220">
        <f t="shared" ref="H72:H73" si="4">((D72*E72)*(G72/100))</f>
        <v>1299</v>
      </c>
      <c r="I72" s="224"/>
      <c r="J72" s="224"/>
      <c r="K72" s="220">
        <v>700</v>
      </c>
      <c r="L72" s="225"/>
      <c r="M72" s="225"/>
      <c r="N72" s="225">
        <f t="shared" ref="N72:N99" si="5">K72-(D72*F72)</f>
        <v>-619.34</v>
      </c>
    </row>
    <row r="73" ht="15.2" spans="1:14">
      <c r="A73" s="215">
        <v>44958</v>
      </c>
      <c r="B73" s="216" t="s">
        <v>93</v>
      </c>
      <c r="C73" s="217">
        <v>8907538122803</v>
      </c>
      <c r="D73" s="218">
        <v>1</v>
      </c>
      <c r="E73" s="220">
        <v>6999</v>
      </c>
      <c r="F73" s="221">
        <v>4619.34</v>
      </c>
      <c r="G73" s="222">
        <v>69.9957136733819</v>
      </c>
      <c r="H73" s="220">
        <f t="shared" si="4"/>
        <v>4899</v>
      </c>
      <c r="I73" s="224"/>
      <c r="J73" s="224"/>
      <c r="K73" s="220">
        <v>2100</v>
      </c>
      <c r="L73" s="225"/>
      <c r="M73" s="225">
        <v>2800</v>
      </c>
      <c r="N73" s="225">
        <f t="shared" si="5"/>
        <v>-2519.34</v>
      </c>
    </row>
    <row r="74" ht="15.2" spans="1:14">
      <c r="A74" s="219"/>
      <c r="B74" s="216"/>
      <c r="C74" s="217"/>
      <c r="D74" s="218"/>
      <c r="E74" s="220"/>
      <c r="F74" s="221"/>
      <c r="G74" s="222"/>
      <c r="H74" s="220"/>
      <c r="I74" s="224"/>
      <c r="J74" s="224"/>
      <c r="K74" s="220"/>
      <c r="L74" s="225"/>
      <c r="M74" s="225"/>
      <c r="N74" s="225"/>
    </row>
    <row r="75" ht="15.2" spans="1:14">
      <c r="A75" s="215">
        <v>44958</v>
      </c>
      <c r="B75" s="216" t="s">
        <v>94</v>
      </c>
      <c r="C75" s="217" t="s">
        <v>95</v>
      </c>
      <c r="D75" s="218">
        <v>1.4</v>
      </c>
      <c r="E75" s="220">
        <v>850</v>
      </c>
      <c r="F75" s="218">
        <v>260</v>
      </c>
      <c r="G75" s="222">
        <v>50</v>
      </c>
      <c r="H75" s="220">
        <v>595</v>
      </c>
      <c r="I75" s="224">
        <v>566.666666666667</v>
      </c>
      <c r="J75" s="224">
        <v>28.3333333333333</v>
      </c>
      <c r="K75" s="220">
        <v>595</v>
      </c>
      <c r="L75" s="225"/>
      <c r="M75" s="225"/>
      <c r="N75" s="225">
        <f t="shared" si="5"/>
        <v>231</v>
      </c>
    </row>
    <row r="76" ht="15.2" spans="1:14">
      <c r="A76" s="215">
        <v>44958</v>
      </c>
      <c r="B76" s="216" t="s">
        <v>94</v>
      </c>
      <c r="C76" s="217" t="s">
        <v>96</v>
      </c>
      <c r="D76" s="218">
        <v>1.6</v>
      </c>
      <c r="E76" s="220">
        <v>1240</v>
      </c>
      <c r="F76" s="218">
        <v>449</v>
      </c>
      <c r="G76" s="222" t="s">
        <v>97</v>
      </c>
      <c r="H76" s="220">
        <v>992</v>
      </c>
      <c r="I76" s="224">
        <v>944.761904761905</v>
      </c>
      <c r="J76" s="224">
        <v>47.2380952380952</v>
      </c>
      <c r="K76" s="220">
        <v>992</v>
      </c>
      <c r="L76" s="225"/>
      <c r="M76" s="225"/>
      <c r="N76" s="225">
        <f t="shared" si="5"/>
        <v>273.6</v>
      </c>
    </row>
    <row r="77" ht="15.2" spans="1:14">
      <c r="A77" s="215">
        <v>44958</v>
      </c>
      <c r="B77" s="216" t="s">
        <v>94</v>
      </c>
      <c r="C77" s="217" t="s">
        <v>98</v>
      </c>
      <c r="D77" s="218">
        <v>1.5</v>
      </c>
      <c r="E77" s="220">
        <v>1050</v>
      </c>
      <c r="F77" s="218">
        <v>359</v>
      </c>
      <c r="G77" s="222" t="s">
        <v>97</v>
      </c>
      <c r="H77" s="220">
        <v>787.5</v>
      </c>
      <c r="I77" s="224">
        <v>750</v>
      </c>
      <c r="J77" s="224">
        <v>37.5</v>
      </c>
      <c r="K77" s="220">
        <v>787.5</v>
      </c>
      <c r="L77" s="225">
        <v>0.5</v>
      </c>
      <c r="M77" s="225">
        <v>2375</v>
      </c>
      <c r="N77" s="225">
        <f t="shared" si="5"/>
        <v>249</v>
      </c>
    </row>
    <row r="78" ht="15.2" spans="1:14">
      <c r="A78" s="219"/>
      <c r="B78" s="216"/>
      <c r="C78" s="217"/>
      <c r="D78" s="218"/>
      <c r="E78" s="220"/>
      <c r="F78" s="221"/>
      <c r="G78" s="222"/>
      <c r="H78" s="220"/>
      <c r="I78" s="224"/>
      <c r="J78" s="224"/>
      <c r="K78" s="220"/>
      <c r="L78" s="225"/>
      <c r="M78" s="225"/>
      <c r="N78" s="225"/>
    </row>
    <row r="79" ht="15.2" spans="1:14">
      <c r="A79" s="219">
        <v>44958</v>
      </c>
      <c r="B79" s="216" t="s">
        <v>99</v>
      </c>
      <c r="C79" s="217" t="s">
        <v>100</v>
      </c>
      <c r="D79" s="218">
        <v>1.6</v>
      </c>
      <c r="E79" s="218">
        <v>1300</v>
      </c>
      <c r="F79" s="218">
        <v>396.8</v>
      </c>
      <c r="G79" s="223">
        <f>(H79*100)/(E79*D79)</f>
        <v>49.6153846153846</v>
      </c>
      <c r="H79" s="220">
        <f>D79*E79-K79</f>
        <v>1032</v>
      </c>
      <c r="I79" s="224">
        <v>998.095238095238</v>
      </c>
      <c r="J79" s="224">
        <v>49.9047619047619</v>
      </c>
      <c r="K79" s="218">
        <v>1048</v>
      </c>
      <c r="L79" s="225"/>
      <c r="M79" s="225"/>
      <c r="N79" s="225">
        <f t="shared" si="5"/>
        <v>413.12</v>
      </c>
    </row>
    <row r="80" ht="15.2" spans="1:14">
      <c r="A80" s="219">
        <v>44958</v>
      </c>
      <c r="B80" s="216" t="s">
        <v>99</v>
      </c>
      <c r="C80" s="217" t="s">
        <v>101</v>
      </c>
      <c r="D80" s="218">
        <v>1.6</v>
      </c>
      <c r="E80" s="218">
        <v>1140</v>
      </c>
      <c r="F80" s="218">
        <v>403</v>
      </c>
      <c r="G80" s="223">
        <f t="shared" ref="G80:G143" si="6">(H80*100)/(E80*D80)</f>
        <v>49.5614035087719</v>
      </c>
      <c r="H80" s="220">
        <f t="shared" ref="H80:H143" si="7">D80*E80-K80</f>
        <v>904</v>
      </c>
      <c r="I80" s="224">
        <v>876.190476190476</v>
      </c>
      <c r="J80" s="224">
        <v>43.8095238095238</v>
      </c>
      <c r="K80" s="218">
        <v>920</v>
      </c>
      <c r="L80" s="225"/>
      <c r="M80" s="225"/>
      <c r="N80" s="225">
        <f t="shared" si="5"/>
        <v>275.2</v>
      </c>
    </row>
    <row r="81" ht="15.2" spans="1:14">
      <c r="A81" s="219">
        <v>44958</v>
      </c>
      <c r="B81" s="216" t="s">
        <v>99</v>
      </c>
      <c r="C81" s="217" t="s">
        <v>102</v>
      </c>
      <c r="D81" s="218">
        <v>1.6</v>
      </c>
      <c r="E81" s="218">
        <v>2700</v>
      </c>
      <c r="F81" s="218">
        <v>870</v>
      </c>
      <c r="G81" s="223">
        <f t="shared" si="6"/>
        <v>49.8148148148148</v>
      </c>
      <c r="H81" s="220">
        <f t="shared" si="7"/>
        <v>2152</v>
      </c>
      <c r="I81" s="224">
        <v>2064.7619047619</v>
      </c>
      <c r="J81" s="224">
        <v>103.238095238095</v>
      </c>
      <c r="K81" s="218">
        <v>2168</v>
      </c>
      <c r="L81" s="225"/>
      <c r="M81" s="225"/>
      <c r="N81" s="225">
        <f t="shared" si="5"/>
        <v>776</v>
      </c>
    </row>
    <row r="82" ht="15.2" spans="1:14">
      <c r="A82" s="219">
        <v>44958</v>
      </c>
      <c r="B82" s="216" t="s">
        <v>99</v>
      </c>
      <c r="C82" s="217" t="s">
        <v>103</v>
      </c>
      <c r="D82" s="218">
        <v>1.2</v>
      </c>
      <c r="E82" s="218">
        <v>1470</v>
      </c>
      <c r="F82" s="218">
        <v>490</v>
      </c>
      <c r="G82" s="223">
        <f t="shared" si="6"/>
        <v>49.6598639455782</v>
      </c>
      <c r="H82" s="220">
        <f t="shared" si="7"/>
        <v>876</v>
      </c>
      <c r="I82" s="224">
        <v>845.714285714286</v>
      </c>
      <c r="J82" s="224">
        <v>42.2857142857143</v>
      </c>
      <c r="K82" s="218">
        <v>888</v>
      </c>
      <c r="L82" s="225"/>
      <c r="M82" s="225"/>
      <c r="N82" s="225">
        <f t="shared" si="5"/>
        <v>300</v>
      </c>
    </row>
    <row r="83" ht="15.2" spans="1:14">
      <c r="A83" s="219">
        <v>44958</v>
      </c>
      <c r="B83" s="216" t="s">
        <v>99</v>
      </c>
      <c r="C83" s="217" t="s">
        <v>104</v>
      </c>
      <c r="D83" s="218">
        <v>1.2</v>
      </c>
      <c r="E83" s="218">
        <v>660</v>
      </c>
      <c r="F83" s="218">
        <v>266</v>
      </c>
      <c r="G83" s="223">
        <f t="shared" si="6"/>
        <v>49.2424242424242</v>
      </c>
      <c r="H83" s="220">
        <f t="shared" si="7"/>
        <v>390</v>
      </c>
      <c r="I83" s="224">
        <v>382.857142857143</v>
      </c>
      <c r="J83" s="224">
        <v>19.1428571428571</v>
      </c>
      <c r="K83" s="218">
        <v>402</v>
      </c>
      <c r="L83" s="225"/>
      <c r="M83" s="225"/>
      <c r="N83" s="225">
        <f t="shared" si="5"/>
        <v>82.8</v>
      </c>
    </row>
    <row r="84" ht="15.2" spans="1:14">
      <c r="A84" s="219">
        <v>44958</v>
      </c>
      <c r="B84" s="216" t="s">
        <v>99</v>
      </c>
      <c r="C84" s="217" t="s">
        <v>105</v>
      </c>
      <c r="D84" s="218">
        <v>1.35</v>
      </c>
      <c r="E84" s="218">
        <v>650</v>
      </c>
      <c r="F84" s="218">
        <v>242</v>
      </c>
      <c r="G84" s="223">
        <f t="shared" si="6"/>
        <v>50</v>
      </c>
      <c r="H84" s="220">
        <f t="shared" si="7"/>
        <v>438.75</v>
      </c>
      <c r="I84" s="224">
        <v>417.857142857143</v>
      </c>
      <c r="J84" s="224">
        <v>20.8928571428571</v>
      </c>
      <c r="K84" s="218">
        <v>438.75</v>
      </c>
      <c r="L84" s="225">
        <v>0.25</v>
      </c>
      <c r="M84" s="225">
        <v>5865</v>
      </c>
      <c r="N84" s="225">
        <f t="shared" si="5"/>
        <v>112.05</v>
      </c>
    </row>
    <row r="85" ht="15.2" spans="1:14">
      <c r="A85" s="219"/>
      <c r="B85" s="216"/>
      <c r="C85" s="217"/>
      <c r="D85" s="218"/>
      <c r="E85" s="220"/>
      <c r="F85" s="221"/>
      <c r="G85" s="223"/>
      <c r="H85" s="220"/>
      <c r="I85" s="224"/>
      <c r="J85" s="224"/>
      <c r="K85" s="220"/>
      <c r="L85" s="225"/>
      <c r="M85" s="225"/>
      <c r="N85" s="225"/>
    </row>
    <row r="86" ht="15.2" spans="1:14">
      <c r="A86" s="219">
        <v>44958</v>
      </c>
      <c r="B86" s="216" t="s">
        <v>106</v>
      </c>
      <c r="C86" s="217">
        <v>8907538824738</v>
      </c>
      <c r="D86" s="218">
        <v>1</v>
      </c>
      <c r="E86" s="218">
        <v>2799</v>
      </c>
      <c r="F86" s="218">
        <v>1847.34</v>
      </c>
      <c r="G86" s="223">
        <f>(H86*100)/(E86*D86)</f>
        <v>65</v>
      </c>
      <c r="H86" s="220">
        <f t="shared" si="7"/>
        <v>1819.35</v>
      </c>
      <c r="I86" s="224"/>
      <c r="J86" s="224"/>
      <c r="K86" s="218">
        <v>979.65</v>
      </c>
      <c r="L86" s="225"/>
      <c r="M86" s="225"/>
      <c r="N86" s="225">
        <f t="shared" si="5"/>
        <v>-867.69</v>
      </c>
    </row>
    <row r="87" ht="15.2" spans="1:14">
      <c r="A87" s="219">
        <v>44958</v>
      </c>
      <c r="B87" s="216" t="s">
        <v>106</v>
      </c>
      <c r="C87" s="217">
        <v>8904290618278</v>
      </c>
      <c r="D87" s="218">
        <v>1</v>
      </c>
      <c r="E87" s="218">
        <v>2099</v>
      </c>
      <c r="F87" s="218">
        <v>1385.34</v>
      </c>
      <c r="G87" s="223">
        <f t="shared" si="6"/>
        <v>65</v>
      </c>
      <c r="H87" s="220">
        <f t="shared" si="7"/>
        <v>1364.35</v>
      </c>
      <c r="I87" s="224"/>
      <c r="J87" s="224"/>
      <c r="K87" s="218">
        <v>734.65</v>
      </c>
      <c r="L87" s="225"/>
      <c r="M87" s="225"/>
      <c r="N87" s="225">
        <f t="shared" si="5"/>
        <v>-650.69</v>
      </c>
    </row>
    <row r="88" ht="15.2" spans="1:14">
      <c r="A88" s="219">
        <v>44958</v>
      </c>
      <c r="B88" s="216" t="s">
        <v>106</v>
      </c>
      <c r="C88" s="217">
        <v>8907538819550</v>
      </c>
      <c r="D88" s="218">
        <v>1</v>
      </c>
      <c r="E88" s="218">
        <v>2399</v>
      </c>
      <c r="F88" s="218">
        <v>1583.34</v>
      </c>
      <c r="G88" s="223">
        <f t="shared" si="6"/>
        <v>65</v>
      </c>
      <c r="H88" s="220">
        <f t="shared" si="7"/>
        <v>1559.35</v>
      </c>
      <c r="I88" s="224"/>
      <c r="J88" s="224"/>
      <c r="K88" s="218">
        <v>839.65</v>
      </c>
      <c r="L88" s="225"/>
      <c r="M88" s="225"/>
      <c r="N88" s="225">
        <f t="shared" si="5"/>
        <v>-743.69</v>
      </c>
    </row>
    <row r="89" ht="15.2" spans="1:14">
      <c r="A89" s="219">
        <v>44958</v>
      </c>
      <c r="B89" s="216" t="s">
        <v>106</v>
      </c>
      <c r="C89" s="217">
        <v>8907538825797</v>
      </c>
      <c r="D89" s="218">
        <v>1</v>
      </c>
      <c r="E89" s="218">
        <v>2799</v>
      </c>
      <c r="F89" s="218">
        <v>1847.34</v>
      </c>
      <c r="G89" s="223">
        <f t="shared" si="6"/>
        <v>65</v>
      </c>
      <c r="H89" s="220">
        <f t="shared" si="7"/>
        <v>1819.35</v>
      </c>
      <c r="I89" s="224"/>
      <c r="J89" s="224"/>
      <c r="K89" s="218">
        <v>979.65</v>
      </c>
      <c r="L89" s="225"/>
      <c r="M89" s="225"/>
      <c r="N89" s="225">
        <f t="shared" si="5"/>
        <v>-867.69</v>
      </c>
    </row>
    <row r="90" ht="15.2" spans="1:14">
      <c r="A90" s="219">
        <v>44958</v>
      </c>
      <c r="B90" s="216" t="s">
        <v>106</v>
      </c>
      <c r="C90" s="217">
        <v>510000000472</v>
      </c>
      <c r="D90" s="218">
        <v>1</v>
      </c>
      <c r="E90" s="218">
        <v>1999</v>
      </c>
      <c r="F90" s="218">
        <v>1177.98</v>
      </c>
      <c r="G90" s="223">
        <f t="shared" si="6"/>
        <v>65</v>
      </c>
      <c r="H90" s="220">
        <f t="shared" si="7"/>
        <v>1299.35</v>
      </c>
      <c r="I90" s="224"/>
      <c r="J90" s="224"/>
      <c r="K90" s="218">
        <v>699.65</v>
      </c>
      <c r="L90" s="225"/>
      <c r="M90" s="225"/>
      <c r="N90" s="225">
        <f t="shared" si="5"/>
        <v>-478.33</v>
      </c>
    </row>
    <row r="91" ht="15.2" spans="1:14">
      <c r="A91" s="219">
        <v>44958</v>
      </c>
      <c r="B91" s="216" t="s">
        <v>106</v>
      </c>
      <c r="C91" s="217" t="s">
        <v>107</v>
      </c>
      <c r="D91" s="218">
        <v>3.25</v>
      </c>
      <c r="E91" s="218">
        <v>2180</v>
      </c>
      <c r="F91" s="218">
        <v>559.3</v>
      </c>
      <c r="G91" s="223">
        <f t="shared" si="6"/>
        <v>50</v>
      </c>
      <c r="H91" s="220">
        <f t="shared" si="7"/>
        <v>3542.5</v>
      </c>
      <c r="I91" s="224">
        <v>3373.80952380952</v>
      </c>
      <c r="J91" s="224">
        <v>168.690476190476</v>
      </c>
      <c r="K91" s="218">
        <v>3542.5</v>
      </c>
      <c r="L91" s="225">
        <v>0.25</v>
      </c>
      <c r="M91" s="225">
        <v>7776</v>
      </c>
      <c r="N91" s="225">
        <f t="shared" si="5"/>
        <v>1724.775</v>
      </c>
    </row>
    <row r="92" ht="15.2" spans="1:14">
      <c r="A92" s="219"/>
      <c r="B92" s="216"/>
      <c r="C92" s="217"/>
      <c r="D92" s="218"/>
      <c r="E92" s="220"/>
      <c r="F92" s="221"/>
      <c r="G92" s="223"/>
      <c r="H92" s="220"/>
      <c r="I92" s="224"/>
      <c r="J92" s="224"/>
      <c r="K92" s="220"/>
      <c r="L92" s="225"/>
      <c r="M92" s="225"/>
      <c r="N92" s="225"/>
    </row>
    <row r="93" ht="15.2" spans="1:14">
      <c r="A93" s="219">
        <v>44958</v>
      </c>
      <c r="B93" s="216" t="s">
        <v>108</v>
      </c>
      <c r="C93" s="217" t="s">
        <v>109</v>
      </c>
      <c r="D93" s="218">
        <v>3.25</v>
      </c>
      <c r="E93" s="218">
        <v>1830</v>
      </c>
      <c r="F93" s="218">
        <v>699</v>
      </c>
      <c r="G93" s="223">
        <f t="shared" si="6"/>
        <v>50</v>
      </c>
      <c r="H93" s="220">
        <f t="shared" si="7"/>
        <v>2973.75</v>
      </c>
      <c r="I93" s="224">
        <v>2832.14285714286</v>
      </c>
      <c r="J93" s="224">
        <v>141.607142857143</v>
      </c>
      <c r="K93" s="218">
        <v>2973.75</v>
      </c>
      <c r="L93" s="225"/>
      <c r="M93" s="225"/>
      <c r="N93" s="225">
        <f t="shared" si="5"/>
        <v>702</v>
      </c>
    </row>
    <row r="94" ht="15.2" spans="1:14">
      <c r="A94" s="219">
        <v>44958</v>
      </c>
      <c r="B94" s="216" t="s">
        <v>108</v>
      </c>
      <c r="C94" s="217">
        <v>8904290607074</v>
      </c>
      <c r="D94" s="218">
        <v>1</v>
      </c>
      <c r="E94" s="218">
        <v>2199</v>
      </c>
      <c r="F94" s="218">
        <v>1451.34</v>
      </c>
      <c r="G94" s="223">
        <f t="shared" si="6"/>
        <v>65</v>
      </c>
      <c r="H94" s="220">
        <f t="shared" si="7"/>
        <v>1429.35</v>
      </c>
      <c r="I94" s="224"/>
      <c r="J94" s="224"/>
      <c r="K94" s="218">
        <v>769.65</v>
      </c>
      <c r="L94" s="225"/>
      <c r="M94" s="225"/>
      <c r="N94" s="225">
        <f t="shared" si="5"/>
        <v>-681.69</v>
      </c>
    </row>
    <row r="95" ht="15.2" spans="1:14">
      <c r="A95" s="219">
        <v>44958</v>
      </c>
      <c r="B95" s="216" t="s">
        <v>108</v>
      </c>
      <c r="C95" s="217">
        <v>8904290618490</v>
      </c>
      <c r="D95" s="218">
        <v>1</v>
      </c>
      <c r="E95" s="218">
        <v>2299</v>
      </c>
      <c r="F95" s="218">
        <v>1517.34</v>
      </c>
      <c r="G95" s="223">
        <f t="shared" si="6"/>
        <v>65</v>
      </c>
      <c r="H95" s="220">
        <f t="shared" si="7"/>
        <v>1494.35</v>
      </c>
      <c r="I95" s="224"/>
      <c r="J95" s="224"/>
      <c r="K95" s="218">
        <v>804.65</v>
      </c>
      <c r="L95" s="225">
        <v>-0.05</v>
      </c>
      <c r="M95" s="225">
        <v>4548</v>
      </c>
      <c r="N95" s="225">
        <f t="shared" si="5"/>
        <v>-712.69</v>
      </c>
    </row>
    <row r="96" ht="15.2" spans="1:14">
      <c r="A96" s="219"/>
      <c r="B96" s="216"/>
      <c r="C96" s="217"/>
      <c r="D96" s="218"/>
      <c r="E96" s="220"/>
      <c r="F96" s="221"/>
      <c r="G96" s="223"/>
      <c r="H96" s="220"/>
      <c r="I96" s="224"/>
      <c r="J96" s="224"/>
      <c r="K96" s="220"/>
      <c r="L96" s="225"/>
      <c r="M96" s="225"/>
      <c r="N96" s="225"/>
    </row>
    <row r="97" ht="15.2" spans="1:14">
      <c r="A97" s="219">
        <v>44958</v>
      </c>
      <c r="B97" s="216" t="s">
        <v>110</v>
      </c>
      <c r="C97" s="217" t="s">
        <v>111</v>
      </c>
      <c r="D97" s="218">
        <v>1.6</v>
      </c>
      <c r="E97" s="218">
        <v>1780</v>
      </c>
      <c r="F97" s="218">
        <v>564</v>
      </c>
      <c r="G97" s="223">
        <f t="shared" si="6"/>
        <v>49.7191011235955</v>
      </c>
      <c r="H97" s="220">
        <f t="shared" si="7"/>
        <v>1416</v>
      </c>
      <c r="I97" s="224">
        <v>1363.80952380952</v>
      </c>
      <c r="J97" s="224">
        <v>68.1904761904762</v>
      </c>
      <c r="K97" s="218">
        <v>1432</v>
      </c>
      <c r="L97" s="225"/>
      <c r="M97" s="225">
        <v>1432</v>
      </c>
      <c r="N97" s="225">
        <f t="shared" si="5"/>
        <v>529.6</v>
      </c>
    </row>
    <row r="98" ht="15.2" spans="1:14">
      <c r="A98" s="219"/>
      <c r="B98" s="216"/>
      <c r="C98" s="217"/>
      <c r="D98" s="218"/>
      <c r="E98" s="220"/>
      <c r="F98" s="221"/>
      <c r="G98" s="223"/>
      <c r="H98" s="220"/>
      <c r="I98" s="224"/>
      <c r="J98" s="224"/>
      <c r="K98" s="220"/>
      <c r="L98" s="225"/>
      <c r="M98" s="225"/>
      <c r="N98" s="225"/>
    </row>
    <row r="99" ht="15.2" spans="1:14">
      <c r="A99" s="219">
        <v>44958</v>
      </c>
      <c r="B99" s="216" t="s">
        <v>112</v>
      </c>
      <c r="C99" s="217" t="s">
        <v>113</v>
      </c>
      <c r="D99" s="218">
        <v>1.2</v>
      </c>
      <c r="E99" s="218">
        <v>1740</v>
      </c>
      <c r="F99" s="218">
        <v>625</v>
      </c>
      <c r="G99" s="223">
        <f t="shared" si="6"/>
        <v>50</v>
      </c>
      <c r="H99" s="220">
        <f t="shared" si="7"/>
        <v>1044</v>
      </c>
      <c r="I99" s="224">
        <v>994.285714285714</v>
      </c>
      <c r="J99" s="224">
        <v>49.7142857142857</v>
      </c>
      <c r="K99" s="218">
        <v>1044</v>
      </c>
      <c r="L99" s="225"/>
      <c r="M99" s="225">
        <v>1044</v>
      </c>
      <c r="N99" s="225">
        <f t="shared" si="5"/>
        <v>294</v>
      </c>
    </row>
    <row r="100" ht="15.2" spans="1:14">
      <c r="A100" s="219"/>
      <c r="B100" s="216"/>
      <c r="C100" s="217"/>
      <c r="D100" s="218"/>
      <c r="E100" s="220"/>
      <c r="F100" s="221"/>
      <c r="G100" s="223"/>
      <c r="H100" s="220"/>
      <c r="I100" s="224"/>
      <c r="J100" s="224"/>
      <c r="K100" s="220"/>
      <c r="L100" s="225"/>
      <c r="M100" s="225"/>
      <c r="N100" s="225"/>
    </row>
    <row r="101" ht="15.2" spans="1:14">
      <c r="A101" s="219">
        <v>44958</v>
      </c>
      <c r="B101" s="216" t="s">
        <v>114</v>
      </c>
      <c r="C101" s="217" t="s">
        <v>115</v>
      </c>
      <c r="D101" s="218"/>
      <c r="E101" s="220"/>
      <c r="F101" s="221"/>
      <c r="G101" s="223"/>
      <c r="H101" s="220"/>
      <c r="I101" s="224"/>
      <c r="J101" s="224"/>
      <c r="K101" s="220"/>
      <c r="L101" s="225"/>
      <c r="M101" s="225"/>
      <c r="N101" s="225"/>
    </row>
    <row r="102" ht="15.2" spans="1:14">
      <c r="A102" s="219"/>
      <c r="B102" s="216"/>
      <c r="C102" s="217"/>
      <c r="D102" s="218"/>
      <c r="E102" s="220"/>
      <c r="F102" s="221"/>
      <c r="G102" s="223"/>
      <c r="H102" s="220"/>
      <c r="I102" s="224"/>
      <c r="J102" s="224"/>
      <c r="K102" s="220"/>
      <c r="L102" s="225"/>
      <c r="M102" s="225"/>
      <c r="N102" s="225"/>
    </row>
    <row r="103" ht="15.2" spans="1:14">
      <c r="A103" s="219">
        <v>44958</v>
      </c>
      <c r="B103" s="216" t="s">
        <v>116</v>
      </c>
      <c r="C103" s="217">
        <v>8904290610098</v>
      </c>
      <c r="D103" s="218">
        <v>1</v>
      </c>
      <c r="E103" s="218">
        <v>2299</v>
      </c>
      <c r="F103" s="218">
        <v>1517.34</v>
      </c>
      <c r="G103" s="223">
        <f t="shared" si="6"/>
        <v>65</v>
      </c>
      <c r="H103" s="220">
        <f t="shared" si="7"/>
        <v>1494.35</v>
      </c>
      <c r="I103" s="224"/>
      <c r="J103" s="224"/>
      <c r="K103" s="218">
        <v>804.65</v>
      </c>
      <c r="L103" s="225"/>
      <c r="M103" s="225"/>
      <c r="N103" s="225">
        <f t="shared" ref="N103:N133" si="8">K103-(D103*F103)</f>
        <v>-712.69</v>
      </c>
    </row>
    <row r="104" ht="15.2" spans="1:14">
      <c r="A104" s="219">
        <v>44958</v>
      </c>
      <c r="B104" s="216" t="s">
        <v>116</v>
      </c>
      <c r="C104" s="217" t="s">
        <v>117</v>
      </c>
      <c r="D104" s="218">
        <v>2.2</v>
      </c>
      <c r="E104" s="218">
        <v>1350</v>
      </c>
      <c r="F104" s="218">
        <v>478</v>
      </c>
      <c r="G104" s="223">
        <f t="shared" si="6"/>
        <v>49.6296296296296</v>
      </c>
      <c r="H104" s="220">
        <f t="shared" si="7"/>
        <v>1474</v>
      </c>
      <c r="I104" s="224">
        <v>1424.7619047619</v>
      </c>
      <c r="J104" s="224">
        <v>71.2380952380952</v>
      </c>
      <c r="K104" s="218">
        <v>1496</v>
      </c>
      <c r="L104" s="225"/>
      <c r="M104" s="225"/>
      <c r="N104" s="225">
        <f t="shared" si="8"/>
        <v>444.4</v>
      </c>
    </row>
    <row r="105" ht="15.2" spans="1:14">
      <c r="A105" s="219">
        <v>44958</v>
      </c>
      <c r="B105" s="216" t="s">
        <v>116</v>
      </c>
      <c r="C105" s="217" t="s">
        <v>118</v>
      </c>
      <c r="D105" s="218">
        <v>1.45</v>
      </c>
      <c r="E105" s="218">
        <v>1430</v>
      </c>
      <c r="F105" s="218">
        <v>525</v>
      </c>
      <c r="G105" s="223">
        <f t="shared" si="6"/>
        <v>50</v>
      </c>
      <c r="H105" s="220">
        <f t="shared" si="7"/>
        <v>1036.75</v>
      </c>
      <c r="I105" s="224">
        <v>987.380952380952</v>
      </c>
      <c r="J105" s="224">
        <v>49.3690476190476</v>
      </c>
      <c r="K105" s="218">
        <v>1036.75</v>
      </c>
      <c r="L105" s="225"/>
      <c r="M105" s="225"/>
      <c r="N105" s="225">
        <f t="shared" si="8"/>
        <v>275.5</v>
      </c>
    </row>
    <row r="106" ht="15.2" spans="1:14">
      <c r="A106" s="219">
        <v>44958</v>
      </c>
      <c r="B106" s="216" t="s">
        <v>116</v>
      </c>
      <c r="C106" s="217">
        <v>8907378983435</v>
      </c>
      <c r="D106" s="218">
        <v>1</v>
      </c>
      <c r="E106" s="218">
        <v>449</v>
      </c>
      <c r="F106" s="218">
        <v>296.34</v>
      </c>
      <c r="G106" s="223">
        <f t="shared" si="6"/>
        <v>49.8886414253898</v>
      </c>
      <c r="H106" s="220">
        <f t="shared" si="7"/>
        <v>224</v>
      </c>
      <c r="I106" s="224"/>
      <c r="J106" s="224"/>
      <c r="K106" s="218">
        <v>225</v>
      </c>
      <c r="L106" s="225"/>
      <c r="M106" s="225"/>
      <c r="N106" s="225">
        <f t="shared" si="8"/>
        <v>-71.34</v>
      </c>
    </row>
    <row r="107" ht="15.2" spans="1:14">
      <c r="A107" s="219">
        <v>44958</v>
      </c>
      <c r="B107" s="216" t="s">
        <v>116</v>
      </c>
      <c r="C107" s="217" t="s">
        <v>18</v>
      </c>
      <c r="D107" s="218">
        <v>1.6</v>
      </c>
      <c r="E107" s="218">
        <v>890</v>
      </c>
      <c r="F107" s="218">
        <v>321.47</v>
      </c>
      <c r="G107" s="223">
        <f t="shared" si="6"/>
        <v>50</v>
      </c>
      <c r="H107" s="220">
        <f t="shared" si="7"/>
        <v>712</v>
      </c>
      <c r="I107" s="224">
        <v>678.095238095238</v>
      </c>
      <c r="J107" s="224">
        <v>33.9047619047619</v>
      </c>
      <c r="K107" s="218">
        <v>712</v>
      </c>
      <c r="L107" s="225"/>
      <c r="M107" s="225"/>
      <c r="N107" s="225">
        <f t="shared" si="8"/>
        <v>197.648</v>
      </c>
    </row>
    <row r="108" ht="15.2" spans="1:14">
      <c r="A108" s="219">
        <v>44958</v>
      </c>
      <c r="B108" s="216" t="s">
        <v>116</v>
      </c>
      <c r="C108" s="217" t="s">
        <v>119</v>
      </c>
      <c r="D108" s="218">
        <v>1.6</v>
      </c>
      <c r="E108" s="218">
        <v>1090</v>
      </c>
      <c r="F108" s="218">
        <v>390</v>
      </c>
      <c r="G108" s="223">
        <f t="shared" si="6"/>
        <v>50</v>
      </c>
      <c r="H108" s="220">
        <f t="shared" si="7"/>
        <v>872</v>
      </c>
      <c r="I108" s="224">
        <v>830.47619047619</v>
      </c>
      <c r="J108" s="224">
        <v>41.5238095238095</v>
      </c>
      <c r="K108" s="218">
        <v>872</v>
      </c>
      <c r="L108" s="225">
        <v>-0.4</v>
      </c>
      <c r="M108" s="225">
        <v>5146</v>
      </c>
      <c r="N108" s="225">
        <f t="shared" si="8"/>
        <v>248</v>
      </c>
    </row>
    <row r="109" ht="15.2" spans="1:14">
      <c r="A109" s="219"/>
      <c r="B109" s="216"/>
      <c r="C109" s="217"/>
      <c r="D109" s="218"/>
      <c r="E109" s="220"/>
      <c r="F109" s="221"/>
      <c r="G109" s="223"/>
      <c r="H109" s="220"/>
      <c r="I109" s="224"/>
      <c r="J109" s="224"/>
      <c r="K109" s="220"/>
      <c r="L109" s="225"/>
      <c r="M109" s="225"/>
      <c r="N109" s="225"/>
    </row>
    <row r="110" ht="15.2" spans="1:14">
      <c r="A110" s="219">
        <v>44958</v>
      </c>
      <c r="B110" s="216" t="s">
        <v>120</v>
      </c>
      <c r="C110" s="217" t="s">
        <v>117</v>
      </c>
      <c r="D110" s="218">
        <v>1.6</v>
      </c>
      <c r="E110" s="218">
        <v>1350</v>
      </c>
      <c r="F110" s="218">
        <v>478</v>
      </c>
      <c r="G110" s="223">
        <f t="shared" si="6"/>
        <v>49.6296296296296</v>
      </c>
      <c r="H110" s="220">
        <f t="shared" si="7"/>
        <v>1072</v>
      </c>
      <c r="I110" s="224">
        <v>1036.19047619048</v>
      </c>
      <c r="J110" s="224">
        <v>51.8095238095238</v>
      </c>
      <c r="K110" s="218">
        <v>1088</v>
      </c>
      <c r="L110" s="225"/>
      <c r="M110" s="225"/>
      <c r="N110" s="225">
        <f t="shared" si="8"/>
        <v>323.2</v>
      </c>
    </row>
    <row r="111" ht="15.2" spans="1:14">
      <c r="A111" s="219">
        <v>44958</v>
      </c>
      <c r="B111" s="216" t="s">
        <v>120</v>
      </c>
      <c r="C111" s="217" t="s">
        <v>121</v>
      </c>
      <c r="D111" s="218">
        <v>1.5</v>
      </c>
      <c r="E111" s="218">
        <v>1570</v>
      </c>
      <c r="F111" s="218">
        <v>511</v>
      </c>
      <c r="G111" s="223">
        <f t="shared" si="6"/>
        <v>50</v>
      </c>
      <c r="H111" s="220">
        <f t="shared" si="7"/>
        <v>1177.5</v>
      </c>
      <c r="I111" s="224">
        <v>1121.42857142857</v>
      </c>
      <c r="J111" s="224">
        <v>56.0714285714286</v>
      </c>
      <c r="K111" s="218">
        <v>1177.5</v>
      </c>
      <c r="L111" s="225"/>
      <c r="M111" s="225"/>
      <c r="N111" s="225">
        <f t="shared" si="8"/>
        <v>411</v>
      </c>
    </row>
    <row r="112" ht="15.2" spans="1:14">
      <c r="A112" s="219">
        <v>44958</v>
      </c>
      <c r="B112" s="216" t="s">
        <v>120</v>
      </c>
      <c r="C112" s="217" t="s">
        <v>122</v>
      </c>
      <c r="D112" s="218">
        <v>1.6</v>
      </c>
      <c r="E112" s="218">
        <v>1260</v>
      </c>
      <c r="F112" s="218">
        <v>345</v>
      </c>
      <c r="G112" s="223">
        <f t="shared" si="6"/>
        <v>50</v>
      </c>
      <c r="H112" s="220">
        <f t="shared" si="7"/>
        <v>1008</v>
      </c>
      <c r="I112" s="224">
        <v>960</v>
      </c>
      <c r="J112" s="224">
        <v>48</v>
      </c>
      <c r="K112" s="218">
        <v>1008</v>
      </c>
      <c r="L112" s="225"/>
      <c r="M112" s="225"/>
      <c r="N112" s="225">
        <f t="shared" si="8"/>
        <v>456</v>
      </c>
    </row>
    <row r="113" ht="15.2" spans="1:14">
      <c r="A113" s="219">
        <v>44958</v>
      </c>
      <c r="B113" s="216" t="s">
        <v>120</v>
      </c>
      <c r="C113" s="217" t="s">
        <v>123</v>
      </c>
      <c r="D113" s="218">
        <v>1.35</v>
      </c>
      <c r="E113" s="218">
        <v>760</v>
      </c>
      <c r="F113" s="218">
        <v>259</v>
      </c>
      <c r="G113" s="223">
        <f t="shared" si="6"/>
        <v>50</v>
      </c>
      <c r="H113" s="220">
        <f t="shared" si="7"/>
        <v>513</v>
      </c>
      <c r="I113" s="224">
        <v>488.571428571429</v>
      </c>
      <c r="J113" s="224">
        <v>24.4285714285714</v>
      </c>
      <c r="K113" s="218">
        <v>513</v>
      </c>
      <c r="L113" s="225"/>
      <c r="M113" s="225"/>
      <c r="N113" s="225">
        <f t="shared" si="8"/>
        <v>163.35</v>
      </c>
    </row>
    <row r="114" ht="15.2" spans="1:14">
      <c r="A114" s="219">
        <v>44958</v>
      </c>
      <c r="B114" s="216" t="s">
        <v>120</v>
      </c>
      <c r="C114" s="217" t="s">
        <v>124</v>
      </c>
      <c r="D114" s="218">
        <v>1.6</v>
      </c>
      <c r="E114" s="218">
        <v>990</v>
      </c>
      <c r="F114" s="218">
        <v>316</v>
      </c>
      <c r="G114" s="223">
        <f t="shared" si="6"/>
        <v>47.979797979798</v>
      </c>
      <c r="H114" s="220">
        <f t="shared" si="7"/>
        <v>760</v>
      </c>
      <c r="I114" s="224">
        <v>784.761904761905</v>
      </c>
      <c r="J114" s="224">
        <v>39.2380952380952</v>
      </c>
      <c r="K114" s="218">
        <v>824</v>
      </c>
      <c r="L114" s="225">
        <v>0.5</v>
      </c>
      <c r="M114" s="225">
        <v>4611</v>
      </c>
      <c r="N114" s="225">
        <f t="shared" si="8"/>
        <v>318.4</v>
      </c>
    </row>
    <row r="115" ht="15.2" spans="1:14">
      <c r="A115" s="219"/>
      <c r="B115" s="216"/>
      <c r="C115" s="217"/>
      <c r="D115" s="218"/>
      <c r="E115" s="220"/>
      <c r="F115" s="221"/>
      <c r="G115" s="223"/>
      <c r="H115" s="220"/>
      <c r="I115" s="224"/>
      <c r="J115" s="224"/>
      <c r="K115" s="220"/>
      <c r="L115" s="225"/>
      <c r="M115" s="225"/>
      <c r="N115" s="225"/>
    </row>
    <row r="116" ht="15.2" spans="1:14">
      <c r="A116" s="219">
        <v>44958</v>
      </c>
      <c r="B116" s="216" t="s">
        <v>125</v>
      </c>
      <c r="C116" s="217" t="s">
        <v>126</v>
      </c>
      <c r="D116" s="218">
        <v>1.2</v>
      </c>
      <c r="E116" s="218">
        <v>1100</v>
      </c>
      <c r="F116" s="218">
        <v>369</v>
      </c>
      <c r="G116" s="223">
        <f t="shared" si="6"/>
        <v>50</v>
      </c>
      <c r="H116" s="220">
        <f t="shared" si="7"/>
        <v>660</v>
      </c>
      <c r="I116" s="224">
        <v>628.571428571429</v>
      </c>
      <c r="J116" s="224">
        <v>31.4285714285714</v>
      </c>
      <c r="K116" s="218">
        <v>660</v>
      </c>
      <c r="L116" s="225"/>
      <c r="M116" s="225"/>
      <c r="N116" s="225">
        <f t="shared" si="8"/>
        <v>217.2</v>
      </c>
    </row>
    <row r="117" ht="15.2" spans="1:14">
      <c r="A117" s="219">
        <v>44958</v>
      </c>
      <c r="B117" s="216" t="s">
        <v>125</v>
      </c>
      <c r="C117" s="217" t="s">
        <v>127</v>
      </c>
      <c r="D117" s="218">
        <v>1.2</v>
      </c>
      <c r="E117" s="218">
        <v>1110</v>
      </c>
      <c r="F117" s="218">
        <v>425</v>
      </c>
      <c r="G117" s="223">
        <f t="shared" si="6"/>
        <v>50.4504504504505</v>
      </c>
      <c r="H117" s="220">
        <f t="shared" si="7"/>
        <v>672</v>
      </c>
      <c r="I117" s="224">
        <v>628.571428571429</v>
      </c>
      <c r="J117" s="224">
        <v>31.4285714285714</v>
      </c>
      <c r="K117" s="218">
        <v>660</v>
      </c>
      <c r="L117" s="225"/>
      <c r="M117" s="225"/>
      <c r="N117" s="225">
        <f t="shared" si="8"/>
        <v>150</v>
      </c>
    </row>
    <row r="118" ht="15.2" spans="1:14">
      <c r="A118" s="219">
        <v>44958</v>
      </c>
      <c r="B118" s="216" t="s">
        <v>125</v>
      </c>
      <c r="C118" s="217" t="s">
        <v>128</v>
      </c>
      <c r="D118" s="218">
        <v>1.2</v>
      </c>
      <c r="E118" s="218">
        <v>980</v>
      </c>
      <c r="F118" s="218">
        <v>262.5</v>
      </c>
      <c r="G118" s="223">
        <f t="shared" si="6"/>
        <v>50</v>
      </c>
      <c r="H118" s="220">
        <f t="shared" si="7"/>
        <v>588</v>
      </c>
      <c r="I118" s="224">
        <v>560</v>
      </c>
      <c r="J118" s="224">
        <v>28</v>
      </c>
      <c r="K118" s="218">
        <v>588</v>
      </c>
      <c r="L118" s="225"/>
      <c r="M118" s="225">
        <v>1908</v>
      </c>
      <c r="N118" s="225">
        <f t="shared" si="8"/>
        <v>273</v>
      </c>
    </row>
    <row r="119" ht="15.2" spans="1:14">
      <c r="A119" s="219"/>
      <c r="B119" s="216"/>
      <c r="C119" s="217"/>
      <c r="D119" s="218"/>
      <c r="E119" s="220"/>
      <c r="F119" s="221"/>
      <c r="G119" s="223"/>
      <c r="H119" s="220"/>
      <c r="I119" s="224"/>
      <c r="J119" s="224"/>
      <c r="K119" s="220"/>
      <c r="L119" s="225"/>
      <c r="M119" s="225"/>
      <c r="N119" s="225"/>
    </row>
    <row r="120" ht="15.2" spans="1:14">
      <c r="A120" s="219">
        <v>44958</v>
      </c>
      <c r="B120" s="216" t="s">
        <v>129</v>
      </c>
      <c r="C120" s="217" t="s">
        <v>92</v>
      </c>
      <c r="D120" s="218">
        <v>1.2</v>
      </c>
      <c r="E120" s="218">
        <v>1610</v>
      </c>
      <c r="F120" s="218">
        <v>511</v>
      </c>
      <c r="G120" s="223">
        <f t="shared" si="6"/>
        <v>50</v>
      </c>
      <c r="H120" s="220">
        <f t="shared" si="7"/>
        <v>966</v>
      </c>
      <c r="I120" s="224">
        <v>920</v>
      </c>
      <c r="J120" s="224">
        <v>46</v>
      </c>
      <c r="K120" s="220">
        <v>966</v>
      </c>
      <c r="L120" s="225"/>
      <c r="M120" s="225">
        <v>966</v>
      </c>
      <c r="N120" s="225">
        <f t="shared" si="8"/>
        <v>352.8</v>
      </c>
    </row>
    <row r="121" ht="15.2" spans="1:14">
      <c r="A121" s="219"/>
      <c r="B121" s="216"/>
      <c r="C121" s="217"/>
      <c r="D121" s="218"/>
      <c r="E121" s="220"/>
      <c r="F121" s="221"/>
      <c r="G121" s="223"/>
      <c r="H121" s="220"/>
      <c r="I121" s="224"/>
      <c r="J121" s="224"/>
      <c r="K121" s="220"/>
      <c r="L121" s="225"/>
      <c r="M121" s="225"/>
      <c r="N121" s="225"/>
    </row>
    <row r="122" ht="15.2" spans="1:14">
      <c r="A122" s="219">
        <v>44959</v>
      </c>
      <c r="B122" s="216" t="s">
        <v>130</v>
      </c>
      <c r="C122" s="217" t="s">
        <v>131</v>
      </c>
      <c r="D122" s="218">
        <v>1.6</v>
      </c>
      <c r="E122" s="218">
        <v>1830</v>
      </c>
      <c r="F122" s="218">
        <v>661</v>
      </c>
      <c r="G122" s="223">
        <f t="shared" si="6"/>
        <v>50</v>
      </c>
      <c r="H122" s="220">
        <f t="shared" si="7"/>
        <v>1464</v>
      </c>
      <c r="I122" s="224">
        <v>1394.28571428571</v>
      </c>
      <c r="J122" s="224">
        <v>69.7142857142857</v>
      </c>
      <c r="K122" s="218">
        <v>1464</v>
      </c>
      <c r="L122" s="225"/>
      <c r="M122" s="225"/>
      <c r="N122" s="225">
        <f t="shared" si="8"/>
        <v>406.4</v>
      </c>
    </row>
    <row r="123" ht="15.2" spans="1:14">
      <c r="A123" s="219">
        <v>44959</v>
      </c>
      <c r="B123" s="216" t="s">
        <v>130</v>
      </c>
      <c r="C123" s="217" t="s">
        <v>30</v>
      </c>
      <c r="D123" s="218">
        <v>1.2</v>
      </c>
      <c r="E123" s="218">
        <v>1240</v>
      </c>
      <c r="F123" s="218">
        <v>332.5</v>
      </c>
      <c r="G123" s="223">
        <f t="shared" si="6"/>
        <v>50</v>
      </c>
      <c r="H123" s="220">
        <f t="shared" si="7"/>
        <v>744</v>
      </c>
      <c r="I123" s="224">
        <v>708.571428571429</v>
      </c>
      <c r="J123" s="224">
        <v>35.4285714285714</v>
      </c>
      <c r="K123" s="218">
        <v>744</v>
      </c>
      <c r="L123" s="225"/>
      <c r="M123" s="225">
        <v>2208</v>
      </c>
      <c r="N123" s="225">
        <f t="shared" si="8"/>
        <v>345</v>
      </c>
    </row>
    <row r="124" ht="15.2" spans="1:14">
      <c r="A124" s="219"/>
      <c r="B124" s="216"/>
      <c r="C124" s="217"/>
      <c r="D124" s="218"/>
      <c r="E124" s="220"/>
      <c r="F124" s="221"/>
      <c r="G124" s="223"/>
      <c r="H124" s="220"/>
      <c r="I124" s="224"/>
      <c r="J124" s="224"/>
      <c r="K124" s="220"/>
      <c r="L124" s="225"/>
      <c r="M124" s="225"/>
      <c r="N124" s="225"/>
    </row>
    <row r="125" ht="15.2" spans="1:14">
      <c r="A125" s="219">
        <v>44959</v>
      </c>
      <c r="B125" s="216" t="s">
        <v>132</v>
      </c>
      <c r="C125" s="217" t="s">
        <v>133</v>
      </c>
      <c r="D125" s="218">
        <v>1.1</v>
      </c>
      <c r="E125" s="218">
        <v>1170</v>
      </c>
      <c r="F125" s="218">
        <v>314.3</v>
      </c>
      <c r="G125" s="223">
        <f t="shared" si="6"/>
        <v>50</v>
      </c>
      <c r="H125" s="220">
        <f t="shared" si="7"/>
        <v>643.5</v>
      </c>
      <c r="I125" s="224">
        <v>612.857142857143</v>
      </c>
      <c r="J125" s="224">
        <v>30.6428571428571</v>
      </c>
      <c r="K125" s="218">
        <v>643.5</v>
      </c>
      <c r="L125" s="225"/>
      <c r="M125" s="225"/>
      <c r="N125" s="225">
        <f t="shared" si="8"/>
        <v>297.77</v>
      </c>
    </row>
    <row r="126" ht="15.2" spans="1:14">
      <c r="A126" s="219">
        <v>44959</v>
      </c>
      <c r="B126" s="216" t="s">
        <v>132</v>
      </c>
      <c r="C126" s="217" t="s">
        <v>134</v>
      </c>
      <c r="D126" s="218">
        <v>1.1</v>
      </c>
      <c r="E126" s="218">
        <v>1260</v>
      </c>
      <c r="F126" s="218">
        <v>450</v>
      </c>
      <c r="G126" s="223">
        <f t="shared" si="6"/>
        <v>50</v>
      </c>
      <c r="H126" s="220">
        <f t="shared" si="7"/>
        <v>693</v>
      </c>
      <c r="I126" s="224">
        <v>660</v>
      </c>
      <c r="J126" s="224">
        <v>33</v>
      </c>
      <c r="K126" s="218">
        <v>693</v>
      </c>
      <c r="L126" s="225">
        <v>0.5</v>
      </c>
      <c r="M126" s="225">
        <v>1337</v>
      </c>
      <c r="N126" s="225">
        <f t="shared" si="8"/>
        <v>198</v>
      </c>
    </row>
    <row r="127" ht="15.2" spans="1:14">
      <c r="A127" s="219"/>
      <c r="B127" s="216"/>
      <c r="C127" s="217"/>
      <c r="D127" s="218"/>
      <c r="E127" s="220"/>
      <c r="F127" s="221"/>
      <c r="G127" s="223"/>
      <c r="H127" s="220"/>
      <c r="I127" s="224"/>
      <c r="J127" s="224"/>
      <c r="K127" s="220"/>
      <c r="L127" s="225"/>
      <c r="M127" s="225"/>
      <c r="N127" s="225"/>
    </row>
    <row r="128" ht="15.2" spans="1:14">
      <c r="A128" s="219">
        <v>44959</v>
      </c>
      <c r="B128" s="216" t="s">
        <v>135</v>
      </c>
      <c r="C128" s="217" t="s">
        <v>136</v>
      </c>
      <c r="D128" s="218">
        <v>1</v>
      </c>
      <c r="E128" s="218">
        <v>719.7</v>
      </c>
      <c r="F128" s="218">
        <v>719.7</v>
      </c>
      <c r="G128" s="223">
        <f t="shared" si="6"/>
        <v>0</v>
      </c>
      <c r="H128" s="220">
        <f t="shared" si="7"/>
        <v>0</v>
      </c>
      <c r="I128" s="224"/>
      <c r="J128" s="224"/>
      <c r="K128" s="218">
        <v>719.7</v>
      </c>
      <c r="L128" s="225"/>
      <c r="M128" s="225"/>
      <c r="N128" s="225"/>
    </row>
    <row r="129" ht="15.2" spans="1:14">
      <c r="A129" s="219">
        <v>44959</v>
      </c>
      <c r="B129" s="216" t="s">
        <v>135</v>
      </c>
      <c r="C129" s="217">
        <v>8907378973320</v>
      </c>
      <c r="D129" s="218">
        <v>1</v>
      </c>
      <c r="E129" s="218">
        <v>3199</v>
      </c>
      <c r="F129" s="218">
        <v>2111.34</v>
      </c>
      <c r="G129" s="223">
        <f t="shared" si="6"/>
        <v>70</v>
      </c>
      <c r="H129" s="220">
        <f t="shared" si="7"/>
        <v>2239.3</v>
      </c>
      <c r="I129" s="224"/>
      <c r="J129" s="224"/>
      <c r="K129" s="218">
        <v>959.7</v>
      </c>
      <c r="L129" s="225"/>
      <c r="M129" s="225"/>
      <c r="N129" s="225">
        <f t="shared" si="8"/>
        <v>-1151.64</v>
      </c>
    </row>
    <row r="130" ht="15.2" spans="1:14">
      <c r="A130" s="219">
        <v>44959</v>
      </c>
      <c r="B130" s="216" t="s">
        <v>135</v>
      </c>
      <c r="C130" s="217">
        <v>8907538491664</v>
      </c>
      <c r="D130" s="218">
        <v>1</v>
      </c>
      <c r="E130" s="218">
        <v>2599</v>
      </c>
      <c r="F130" s="218">
        <v>1715.34</v>
      </c>
      <c r="G130" s="223">
        <f t="shared" si="6"/>
        <v>70</v>
      </c>
      <c r="H130" s="220">
        <f t="shared" si="7"/>
        <v>1819.3</v>
      </c>
      <c r="I130" s="224"/>
      <c r="J130" s="224"/>
      <c r="K130" s="218">
        <v>779.7</v>
      </c>
      <c r="L130" s="225"/>
      <c r="M130" s="225"/>
      <c r="N130" s="225">
        <f t="shared" si="8"/>
        <v>-935.64</v>
      </c>
    </row>
    <row r="131" ht="15.2" spans="1:14">
      <c r="A131" s="219">
        <v>44959</v>
      </c>
      <c r="B131" s="216" t="s">
        <v>135</v>
      </c>
      <c r="C131" s="217">
        <v>8907686379067</v>
      </c>
      <c r="D131" s="218">
        <v>1</v>
      </c>
      <c r="E131" s="218">
        <v>2299</v>
      </c>
      <c r="F131" s="218">
        <v>1517.34</v>
      </c>
      <c r="G131" s="223">
        <f t="shared" si="6"/>
        <v>71.3049151805133</v>
      </c>
      <c r="H131" s="220">
        <f t="shared" si="7"/>
        <v>1639.3</v>
      </c>
      <c r="I131" s="224"/>
      <c r="J131" s="224"/>
      <c r="K131" s="218">
        <v>659.7</v>
      </c>
      <c r="L131" s="225"/>
      <c r="M131" s="225"/>
      <c r="N131" s="225">
        <f t="shared" si="8"/>
        <v>-857.64</v>
      </c>
    </row>
    <row r="132" ht="15.2" spans="1:14">
      <c r="A132" s="219">
        <v>44959</v>
      </c>
      <c r="B132" s="216" t="s">
        <v>135</v>
      </c>
      <c r="C132" s="217">
        <v>8903952887557</v>
      </c>
      <c r="D132" s="218">
        <v>1</v>
      </c>
      <c r="E132" s="218">
        <v>2199</v>
      </c>
      <c r="F132" s="218">
        <v>1451.34</v>
      </c>
      <c r="G132" s="223">
        <f t="shared" si="6"/>
        <v>68.6357435197817</v>
      </c>
      <c r="H132" s="220">
        <f t="shared" si="7"/>
        <v>1509.3</v>
      </c>
      <c r="I132" s="224"/>
      <c r="J132" s="224"/>
      <c r="K132" s="218">
        <v>689.7</v>
      </c>
      <c r="L132" s="225"/>
      <c r="M132" s="225"/>
      <c r="N132" s="225">
        <f t="shared" si="8"/>
        <v>-761.64</v>
      </c>
    </row>
    <row r="133" ht="15.2" spans="1:14">
      <c r="A133" s="219">
        <v>44959</v>
      </c>
      <c r="B133" s="216" t="s">
        <v>135</v>
      </c>
      <c r="C133" s="217">
        <v>8907378032546</v>
      </c>
      <c r="D133" s="218">
        <v>1</v>
      </c>
      <c r="E133" s="218">
        <v>449</v>
      </c>
      <c r="F133" s="218">
        <v>296.34</v>
      </c>
      <c r="G133" s="223">
        <f t="shared" si="6"/>
        <v>15</v>
      </c>
      <c r="H133" s="220">
        <f t="shared" si="7"/>
        <v>67.35</v>
      </c>
      <c r="I133" s="224"/>
      <c r="J133" s="224"/>
      <c r="K133" s="218">
        <v>381.65</v>
      </c>
      <c r="L133" s="225">
        <v>-0.15</v>
      </c>
      <c r="M133" s="225">
        <v>4190</v>
      </c>
      <c r="N133" s="225">
        <f t="shared" si="8"/>
        <v>85.3099999999999</v>
      </c>
    </row>
    <row r="134" ht="15.2" spans="1:14">
      <c r="A134" s="219"/>
      <c r="B134" s="216"/>
      <c r="C134" s="217"/>
      <c r="D134" s="218"/>
      <c r="E134" s="220"/>
      <c r="F134" s="221"/>
      <c r="G134" s="223"/>
      <c r="H134" s="220"/>
      <c r="I134" s="224"/>
      <c r="J134" s="224"/>
      <c r="K134" s="220"/>
      <c r="L134" s="225"/>
      <c r="M134" s="225"/>
      <c r="N134" s="225"/>
    </row>
    <row r="135" ht="15.2" spans="1:14">
      <c r="A135" s="219">
        <v>44959</v>
      </c>
      <c r="B135" s="216" t="s">
        <v>137</v>
      </c>
      <c r="C135" s="217">
        <v>8904290618124</v>
      </c>
      <c r="D135" s="218">
        <v>1</v>
      </c>
      <c r="E135" s="218">
        <v>2199</v>
      </c>
      <c r="F135" s="218">
        <v>1451.34</v>
      </c>
      <c r="G135" s="223">
        <f t="shared" si="6"/>
        <v>69.9863574351978</v>
      </c>
      <c r="H135" s="220">
        <f t="shared" si="7"/>
        <v>1539</v>
      </c>
      <c r="I135" s="224"/>
      <c r="J135" s="224"/>
      <c r="K135" s="218">
        <v>660</v>
      </c>
      <c r="L135" s="225"/>
      <c r="M135" s="225">
        <v>660</v>
      </c>
      <c r="N135" s="225">
        <f t="shared" ref="N135:N148" si="9">K135-(D135*F135)</f>
        <v>-791.34</v>
      </c>
    </row>
    <row r="136" ht="15.2" spans="1:14">
      <c r="A136" s="219"/>
      <c r="B136" s="216"/>
      <c r="C136" s="217"/>
      <c r="D136" s="218"/>
      <c r="E136" s="220"/>
      <c r="F136" s="221"/>
      <c r="G136" s="223"/>
      <c r="H136" s="220"/>
      <c r="I136" s="224"/>
      <c r="J136" s="224"/>
      <c r="K136" s="220"/>
      <c r="L136" s="225"/>
      <c r="M136" s="225"/>
      <c r="N136" s="225"/>
    </row>
    <row r="137" ht="15.2" spans="1:14">
      <c r="A137" s="219">
        <v>44959</v>
      </c>
      <c r="B137" s="216" t="s">
        <v>138</v>
      </c>
      <c r="C137" s="217">
        <v>8907259480787</v>
      </c>
      <c r="D137" s="218">
        <v>1</v>
      </c>
      <c r="E137" s="218">
        <v>1999</v>
      </c>
      <c r="F137" s="218">
        <v>1319.34</v>
      </c>
      <c r="G137" s="223">
        <f t="shared" si="6"/>
        <v>65</v>
      </c>
      <c r="H137" s="220">
        <f t="shared" si="7"/>
        <v>1299.35</v>
      </c>
      <c r="I137" s="224"/>
      <c r="J137" s="224"/>
      <c r="K137" s="218">
        <v>699.65</v>
      </c>
      <c r="L137" s="225"/>
      <c r="M137" s="225"/>
      <c r="N137" s="225">
        <f t="shared" si="9"/>
        <v>-619.69</v>
      </c>
    </row>
    <row r="138" ht="15.2" spans="1:14">
      <c r="A138" s="219">
        <v>44959</v>
      </c>
      <c r="B138" s="216" t="s">
        <v>138</v>
      </c>
      <c r="C138" s="217">
        <v>8904290618902</v>
      </c>
      <c r="D138" s="218">
        <v>1</v>
      </c>
      <c r="E138" s="218">
        <v>2499</v>
      </c>
      <c r="F138" s="218">
        <v>1649.34</v>
      </c>
      <c r="G138" s="223">
        <f t="shared" si="6"/>
        <v>65</v>
      </c>
      <c r="H138" s="220">
        <f t="shared" si="7"/>
        <v>1624.35</v>
      </c>
      <c r="I138" s="224"/>
      <c r="J138" s="224"/>
      <c r="K138" s="218">
        <v>874.65</v>
      </c>
      <c r="L138" s="225">
        <v>-0.3</v>
      </c>
      <c r="M138" s="225">
        <v>1574</v>
      </c>
      <c r="N138" s="225">
        <f t="shared" si="9"/>
        <v>-774.69</v>
      </c>
    </row>
    <row r="139" ht="15.2" spans="1:14">
      <c r="A139" s="219"/>
      <c r="B139" s="216"/>
      <c r="C139" s="217"/>
      <c r="D139" s="218"/>
      <c r="E139" s="220"/>
      <c r="F139" s="221"/>
      <c r="G139" s="223"/>
      <c r="H139" s="220"/>
      <c r="I139" s="224"/>
      <c r="J139" s="224"/>
      <c r="K139" s="220"/>
      <c r="L139" s="225"/>
      <c r="M139" s="225"/>
      <c r="N139" s="225"/>
    </row>
    <row r="140" ht="15.2" spans="1:14">
      <c r="A140" s="219">
        <v>44959</v>
      </c>
      <c r="B140" s="216" t="s">
        <v>139</v>
      </c>
      <c r="C140" s="217">
        <v>8904290614140</v>
      </c>
      <c r="D140" s="218">
        <v>1</v>
      </c>
      <c r="E140" s="218">
        <v>1899</v>
      </c>
      <c r="F140" s="218">
        <v>1253.34</v>
      </c>
      <c r="G140" s="223">
        <f t="shared" si="6"/>
        <v>65</v>
      </c>
      <c r="H140" s="220">
        <f t="shared" si="7"/>
        <v>1234.35</v>
      </c>
      <c r="I140" s="224"/>
      <c r="J140" s="224"/>
      <c r="K140" s="218">
        <v>664.65</v>
      </c>
      <c r="L140" s="225"/>
      <c r="M140" s="225"/>
      <c r="N140" s="225">
        <f t="shared" si="9"/>
        <v>-588.69</v>
      </c>
    </row>
    <row r="141" ht="15.2" spans="1:14">
      <c r="A141" s="219">
        <v>44959</v>
      </c>
      <c r="B141" s="216" t="s">
        <v>139</v>
      </c>
      <c r="C141" s="217">
        <v>8904290618971</v>
      </c>
      <c r="D141" s="218">
        <v>1</v>
      </c>
      <c r="E141" s="218">
        <v>2499</v>
      </c>
      <c r="F141" s="218">
        <v>1649.34</v>
      </c>
      <c r="G141" s="223">
        <f t="shared" si="6"/>
        <v>65</v>
      </c>
      <c r="H141" s="220">
        <f t="shared" si="7"/>
        <v>1624.35</v>
      </c>
      <c r="I141" s="224"/>
      <c r="J141" s="224"/>
      <c r="K141" s="218">
        <v>874.65</v>
      </c>
      <c r="L141" s="225">
        <v>-0.3</v>
      </c>
      <c r="M141" s="225">
        <v>1539</v>
      </c>
      <c r="N141" s="225">
        <f t="shared" si="9"/>
        <v>-774.69</v>
      </c>
    </row>
    <row r="142" ht="15.2" spans="1:14">
      <c r="A142" s="219"/>
      <c r="B142" s="216"/>
      <c r="C142" s="217"/>
      <c r="D142" s="218"/>
      <c r="E142" s="220"/>
      <c r="F142" s="221"/>
      <c r="G142" s="223"/>
      <c r="H142" s="220"/>
      <c r="I142" s="224"/>
      <c r="J142" s="224"/>
      <c r="K142" s="220"/>
      <c r="L142" s="225"/>
      <c r="M142" s="225"/>
      <c r="N142" s="225"/>
    </row>
    <row r="143" ht="15.2" spans="1:14">
      <c r="A143" s="219">
        <v>44959</v>
      </c>
      <c r="B143" s="216" t="s">
        <v>140</v>
      </c>
      <c r="C143" s="217" t="s">
        <v>141</v>
      </c>
      <c r="D143" s="218">
        <v>1.3</v>
      </c>
      <c r="E143" s="218">
        <v>1250</v>
      </c>
      <c r="F143" s="218">
        <v>335.3</v>
      </c>
      <c r="G143" s="223">
        <f t="shared" si="6"/>
        <v>50</v>
      </c>
      <c r="H143" s="220">
        <f t="shared" si="7"/>
        <v>812.5</v>
      </c>
      <c r="I143" s="224">
        <v>773.809523809524</v>
      </c>
      <c r="J143" s="224">
        <v>38.6904761904762</v>
      </c>
      <c r="K143" s="218">
        <v>812.5</v>
      </c>
      <c r="L143" s="225"/>
      <c r="M143" s="225"/>
      <c r="N143" s="225">
        <f t="shared" si="9"/>
        <v>376.61</v>
      </c>
    </row>
    <row r="144" ht="15.2" spans="1:14">
      <c r="A144" s="219">
        <v>44959</v>
      </c>
      <c r="B144" s="216" t="s">
        <v>140</v>
      </c>
      <c r="C144" s="217" t="s">
        <v>30</v>
      </c>
      <c r="D144" s="218">
        <v>1.3</v>
      </c>
      <c r="E144" s="218">
        <v>1240</v>
      </c>
      <c r="F144" s="218">
        <v>332.5</v>
      </c>
      <c r="G144" s="223">
        <f t="shared" ref="G144:G205" si="10">(H144*100)/(E144*D144)</f>
        <v>50</v>
      </c>
      <c r="H144" s="220">
        <f t="shared" ref="H144:H205" si="11">D144*E144-K144</f>
        <v>806</v>
      </c>
      <c r="I144" s="224">
        <v>767.619047619048</v>
      </c>
      <c r="J144" s="224">
        <v>38.3809523809524</v>
      </c>
      <c r="K144" s="218">
        <v>806</v>
      </c>
      <c r="L144" s="225"/>
      <c r="M144" s="225"/>
      <c r="N144" s="225">
        <f t="shared" si="9"/>
        <v>373.75</v>
      </c>
    </row>
    <row r="145" ht="15.2" spans="1:14">
      <c r="A145" s="219">
        <v>44959</v>
      </c>
      <c r="B145" s="216" t="s">
        <v>140</v>
      </c>
      <c r="C145" s="217" t="s">
        <v>142</v>
      </c>
      <c r="D145" s="218">
        <v>1.3</v>
      </c>
      <c r="E145" s="218">
        <v>1020</v>
      </c>
      <c r="F145" s="218">
        <v>377</v>
      </c>
      <c r="G145" s="223">
        <f t="shared" si="10"/>
        <v>50</v>
      </c>
      <c r="H145" s="220">
        <f t="shared" si="11"/>
        <v>663</v>
      </c>
      <c r="I145" s="224">
        <v>631.428571428571</v>
      </c>
      <c r="J145" s="224">
        <v>31.5714285714286</v>
      </c>
      <c r="K145" s="218">
        <v>663</v>
      </c>
      <c r="L145" s="225"/>
      <c r="M145" s="225"/>
      <c r="N145" s="225">
        <f t="shared" si="9"/>
        <v>172.9</v>
      </c>
    </row>
    <row r="146" ht="15.2" spans="1:14">
      <c r="A146" s="219">
        <v>44959</v>
      </c>
      <c r="B146" s="216" t="s">
        <v>140</v>
      </c>
      <c r="C146" s="217" t="s">
        <v>143</v>
      </c>
      <c r="D146" s="218">
        <v>1.3</v>
      </c>
      <c r="E146" s="218">
        <v>1830</v>
      </c>
      <c r="F146" s="218">
        <v>699</v>
      </c>
      <c r="G146" s="223">
        <f t="shared" si="10"/>
        <v>50</v>
      </c>
      <c r="H146" s="220">
        <f t="shared" si="11"/>
        <v>1189.5</v>
      </c>
      <c r="I146" s="224">
        <v>1132.85714285714</v>
      </c>
      <c r="J146" s="224">
        <v>56.6428571428571</v>
      </c>
      <c r="K146" s="218">
        <v>1189.5</v>
      </c>
      <c r="L146" s="225"/>
      <c r="M146" s="225"/>
      <c r="N146" s="225">
        <f t="shared" si="9"/>
        <v>280.8</v>
      </c>
    </row>
    <row r="147" ht="15.2" spans="1:14">
      <c r="A147" s="219">
        <v>44959</v>
      </c>
      <c r="B147" s="216" t="s">
        <v>140</v>
      </c>
      <c r="C147" s="217" t="s">
        <v>144</v>
      </c>
      <c r="D147" s="218">
        <v>1.3</v>
      </c>
      <c r="E147" s="218">
        <v>1790</v>
      </c>
      <c r="F147" s="218">
        <v>677.4</v>
      </c>
      <c r="G147" s="223">
        <f t="shared" si="10"/>
        <v>50</v>
      </c>
      <c r="H147" s="220">
        <f t="shared" si="11"/>
        <v>1163.5</v>
      </c>
      <c r="I147" s="224">
        <v>1108.09523809524</v>
      </c>
      <c r="J147" s="224">
        <v>55.4047619047619</v>
      </c>
      <c r="K147" s="218">
        <v>1163.5</v>
      </c>
      <c r="L147" s="225"/>
      <c r="M147" s="225"/>
      <c r="N147" s="225">
        <f t="shared" si="9"/>
        <v>282.88</v>
      </c>
    </row>
    <row r="148" ht="15.2" spans="1:14">
      <c r="A148" s="219">
        <v>44959</v>
      </c>
      <c r="B148" s="216" t="s">
        <v>140</v>
      </c>
      <c r="C148" s="217" t="s">
        <v>127</v>
      </c>
      <c r="D148" s="218">
        <v>1.3</v>
      </c>
      <c r="E148" s="218">
        <v>1110</v>
      </c>
      <c r="F148" s="218">
        <v>425</v>
      </c>
      <c r="G148" s="223">
        <f t="shared" si="10"/>
        <v>50.4504504504505</v>
      </c>
      <c r="H148" s="220">
        <f t="shared" si="11"/>
        <v>728</v>
      </c>
      <c r="I148" s="224">
        <v>680.952380952381</v>
      </c>
      <c r="J148" s="224">
        <v>34.0476190476191</v>
      </c>
      <c r="K148" s="218">
        <v>715</v>
      </c>
      <c r="L148" s="225">
        <v>0.5</v>
      </c>
      <c r="M148" s="225">
        <v>5350</v>
      </c>
      <c r="N148" s="225">
        <f t="shared" si="9"/>
        <v>162.5</v>
      </c>
    </row>
    <row r="149" ht="15.2" spans="1:14">
      <c r="A149" s="219"/>
      <c r="B149" s="216"/>
      <c r="C149" s="217"/>
      <c r="D149" s="218"/>
      <c r="E149" s="220"/>
      <c r="F149" s="221"/>
      <c r="G149" s="223"/>
      <c r="H149" s="220"/>
      <c r="I149" s="224"/>
      <c r="J149" s="224"/>
      <c r="K149" s="220"/>
      <c r="L149" s="225"/>
      <c r="M149" s="225"/>
      <c r="N149" s="225"/>
    </row>
    <row r="150" ht="15.2" spans="1:14">
      <c r="A150" s="219">
        <v>44959</v>
      </c>
      <c r="B150" s="216" t="s">
        <v>145</v>
      </c>
      <c r="C150" s="217" t="s">
        <v>101</v>
      </c>
      <c r="D150" s="218">
        <v>1.6</v>
      </c>
      <c r="E150" s="218">
        <v>1140</v>
      </c>
      <c r="F150" s="218">
        <v>403</v>
      </c>
      <c r="G150" s="223">
        <f t="shared" si="10"/>
        <v>49.5614035087719</v>
      </c>
      <c r="H150" s="220">
        <f t="shared" si="11"/>
        <v>904</v>
      </c>
      <c r="I150" s="224">
        <v>876.190476190476</v>
      </c>
      <c r="J150" s="224">
        <v>43.8095238095238</v>
      </c>
      <c r="K150" s="218">
        <v>920</v>
      </c>
      <c r="L150" s="225"/>
      <c r="M150" s="225"/>
      <c r="N150" s="225">
        <f t="shared" ref="N150:N213" si="12">K150-(D150*F150)</f>
        <v>275.2</v>
      </c>
    </row>
    <row r="151" ht="15.2" spans="1:14">
      <c r="A151" s="219">
        <v>44959</v>
      </c>
      <c r="B151" s="216" t="s">
        <v>145</v>
      </c>
      <c r="C151" s="217" t="s">
        <v>146</v>
      </c>
      <c r="D151" s="218">
        <v>1.6</v>
      </c>
      <c r="E151" s="218">
        <v>1440</v>
      </c>
      <c r="F151" s="218">
        <v>460</v>
      </c>
      <c r="G151" s="223">
        <f t="shared" si="10"/>
        <v>49.6527777777778</v>
      </c>
      <c r="H151" s="220">
        <f t="shared" si="11"/>
        <v>1144</v>
      </c>
      <c r="I151" s="224">
        <v>1104.7619047619</v>
      </c>
      <c r="J151" s="224">
        <v>55.2380952380952</v>
      </c>
      <c r="K151" s="218">
        <v>1160</v>
      </c>
      <c r="L151" s="225"/>
      <c r="M151" s="225"/>
      <c r="N151" s="225">
        <f t="shared" si="12"/>
        <v>424</v>
      </c>
    </row>
    <row r="152" ht="15.2" spans="1:14">
      <c r="A152" s="219">
        <v>44959</v>
      </c>
      <c r="B152" s="216" t="s">
        <v>145</v>
      </c>
      <c r="C152" s="217" t="s">
        <v>147</v>
      </c>
      <c r="D152" s="218">
        <v>1.6</v>
      </c>
      <c r="E152" s="218">
        <v>1420</v>
      </c>
      <c r="F152" s="218">
        <v>525</v>
      </c>
      <c r="G152" s="223">
        <f t="shared" si="10"/>
        <v>50</v>
      </c>
      <c r="H152" s="220">
        <f t="shared" si="11"/>
        <v>1136</v>
      </c>
      <c r="I152" s="224">
        <v>1081.90476190476</v>
      </c>
      <c r="J152" s="224">
        <v>54.0952380952381</v>
      </c>
      <c r="K152" s="218">
        <v>1136</v>
      </c>
      <c r="L152" s="225"/>
      <c r="M152" s="225"/>
      <c r="N152" s="225">
        <f t="shared" si="12"/>
        <v>296</v>
      </c>
    </row>
    <row r="153" ht="15.2" spans="1:14">
      <c r="A153" s="219">
        <v>44959</v>
      </c>
      <c r="B153" s="216" t="s">
        <v>145</v>
      </c>
      <c r="C153" s="217" t="s">
        <v>117</v>
      </c>
      <c r="D153" s="218">
        <v>1.6</v>
      </c>
      <c r="E153" s="218">
        <v>1350</v>
      </c>
      <c r="F153" s="218">
        <v>478</v>
      </c>
      <c r="G153" s="223">
        <f t="shared" si="10"/>
        <v>49.6296296296296</v>
      </c>
      <c r="H153" s="220">
        <f t="shared" si="11"/>
        <v>1072</v>
      </c>
      <c r="I153" s="224">
        <v>1036.19047619048</v>
      </c>
      <c r="J153" s="224">
        <v>51.8095238095238</v>
      </c>
      <c r="K153" s="218">
        <v>1088</v>
      </c>
      <c r="L153" s="225"/>
      <c r="M153" s="225"/>
      <c r="N153" s="225">
        <f t="shared" si="12"/>
        <v>323.2</v>
      </c>
    </row>
    <row r="154" ht="15.2" spans="1:14">
      <c r="A154" s="219">
        <v>44959</v>
      </c>
      <c r="B154" s="216" t="s">
        <v>145</v>
      </c>
      <c r="C154" s="217" t="s">
        <v>148</v>
      </c>
      <c r="D154" s="218">
        <v>1.6</v>
      </c>
      <c r="E154" s="218">
        <v>1470</v>
      </c>
      <c r="F154" s="218">
        <v>502</v>
      </c>
      <c r="G154" s="223">
        <f t="shared" si="10"/>
        <v>49.6598639455782</v>
      </c>
      <c r="H154" s="220">
        <f t="shared" si="11"/>
        <v>1168</v>
      </c>
      <c r="I154" s="224">
        <v>1127.61904761905</v>
      </c>
      <c r="J154" s="224">
        <v>56.3809523809524</v>
      </c>
      <c r="K154" s="218">
        <v>1184</v>
      </c>
      <c r="L154" s="225"/>
      <c r="M154" s="225"/>
      <c r="N154" s="225">
        <f t="shared" si="12"/>
        <v>380.8</v>
      </c>
    </row>
    <row r="155" ht="15.2" spans="1:14">
      <c r="A155" s="219">
        <v>44959</v>
      </c>
      <c r="B155" s="216" t="s">
        <v>145</v>
      </c>
      <c r="C155" s="217" t="s">
        <v>149</v>
      </c>
      <c r="D155" s="218">
        <v>1.5</v>
      </c>
      <c r="E155" s="218">
        <v>1450</v>
      </c>
      <c r="F155" s="218">
        <v>461</v>
      </c>
      <c r="G155" s="223">
        <f t="shared" si="10"/>
        <v>50</v>
      </c>
      <c r="H155" s="220">
        <f t="shared" si="11"/>
        <v>1087.5</v>
      </c>
      <c r="I155" s="224">
        <v>1035.71428571429</v>
      </c>
      <c r="J155" s="224">
        <v>51.7857142857143</v>
      </c>
      <c r="K155" s="218">
        <v>1087.5</v>
      </c>
      <c r="L155" s="225">
        <v>0.5</v>
      </c>
      <c r="M155" s="225">
        <v>6576</v>
      </c>
      <c r="N155" s="225">
        <f t="shared" si="12"/>
        <v>396</v>
      </c>
    </row>
    <row r="156" ht="15.2" spans="1:14">
      <c r="A156" s="219"/>
      <c r="B156" s="216"/>
      <c r="C156" s="217"/>
      <c r="D156" s="218"/>
      <c r="E156" s="220"/>
      <c r="F156" s="221"/>
      <c r="G156" s="223"/>
      <c r="H156" s="220"/>
      <c r="I156" s="224"/>
      <c r="J156" s="224"/>
      <c r="K156" s="220"/>
      <c r="L156" s="225"/>
      <c r="M156" s="225"/>
      <c r="N156" s="225"/>
    </row>
    <row r="157" ht="15.2" spans="1:14">
      <c r="A157" s="219">
        <v>44959</v>
      </c>
      <c r="B157" s="216" t="s">
        <v>150</v>
      </c>
      <c r="C157" s="217">
        <v>8907686294506</v>
      </c>
      <c r="D157" s="218">
        <v>1</v>
      </c>
      <c r="E157" s="218">
        <v>999</v>
      </c>
      <c r="F157" s="218">
        <v>659.34</v>
      </c>
      <c r="G157" s="223">
        <f t="shared" si="10"/>
        <v>69.96996996997</v>
      </c>
      <c r="H157" s="220">
        <f t="shared" si="11"/>
        <v>699</v>
      </c>
      <c r="I157" s="224"/>
      <c r="J157" s="224"/>
      <c r="K157" s="218">
        <v>300</v>
      </c>
      <c r="L157" s="225"/>
      <c r="M157" s="225"/>
      <c r="N157" s="225">
        <f t="shared" si="12"/>
        <v>-359.34</v>
      </c>
    </row>
    <row r="158" ht="15.2" spans="1:14">
      <c r="A158" s="219">
        <v>44959</v>
      </c>
      <c r="B158" s="216" t="s">
        <v>150</v>
      </c>
      <c r="C158" s="217">
        <v>8907686293875</v>
      </c>
      <c r="D158" s="218">
        <v>1</v>
      </c>
      <c r="E158" s="218">
        <v>899</v>
      </c>
      <c r="F158" s="218">
        <v>593.34</v>
      </c>
      <c r="G158" s="223">
        <f t="shared" si="10"/>
        <v>69.9666295884316</v>
      </c>
      <c r="H158" s="220">
        <f t="shared" si="11"/>
        <v>629</v>
      </c>
      <c r="I158" s="224"/>
      <c r="J158" s="224"/>
      <c r="K158" s="218">
        <v>270</v>
      </c>
      <c r="L158" s="225"/>
      <c r="M158" s="225">
        <v>570</v>
      </c>
      <c r="N158" s="225">
        <f t="shared" si="12"/>
        <v>-323.34</v>
      </c>
    </row>
    <row r="159" ht="15.2" spans="1:14">
      <c r="A159" s="219"/>
      <c r="B159" s="216"/>
      <c r="C159" s="217"/>
      <c r="D159" s="218"/>
      <c r="E159" s="220"/>
      <c r="F159" s="221"/>
      <c r="G159" s="223"/>
      <c r="H159" s="220"/>
      <c r="I159" s="224"/>
      <c r="J159" s="224"/>
      <c r="K159" s="220"/>
      <c r="L159" s="225"/>
      <c r="M159" s="225"/>
      <c r="N159" s="225"/>
    </row>
    <row r="160" ht="15.2" spans="1:14">
      <c r="A160" s="219">
        <v>44959</v>
      </c>
      <c r="B160" s="216" t="s">
        <v>151</v>
      </c>
      <c r="C160" s="217">
        <v>8907686093412</v>
      </c>
      <c r="D160" s="218">
        <v>1</v>
      </c>
      <c r="E160" s="218">
        <v>3000</v>
      </c>
      <c r="F160" s="218">
        <v>1980</v>
      </c>
      <c r="G160" s="223">
        <f t="shared" si="10"/>
        <v>0</v>
      </c>
      <c r="H160" s="220">
        <f t="shared" si="11"/>
        <v>0</v>
      </c>
      <c r="I160" s="224"/>
      <c r="J160" s="224"/>
      <c r="K160" s="220">
        <v>3000</v>
      </c>
      <c r="L160" s="225"/>
      <c r="M160" s="225">
        <v>3000</v>
      </c>
      <c r="N160" s="225">
        <f t="shared" si="12"/>
        <v>1020</v>
      </c>
    </row>
    <row r="161" ht="15.2" spans="1:14">
      <c r="A161" s="219"/>
      <c r="B161" s="216"/>
      <c r="C161" s="217"/>
      <c r="D161" s="218"/>
      <c r="E161" s="220"/>
      <c r="F161" s="221"/>
      <c r="G161" s="223"/>
      <c r="H161" s="220"/>
      <c r="I161" s="224"/>
      <c r="J161" s="224"/>
      <c r="K161" s="220"/>
      <c r="L161" s="225"/>
      <c r="M161" s="225"/>
      <c r="N161" s="225"/>
    </row>
    <row r="162" ht="15.2" spans="1:14">
      <c r="A162" s="219"/>
      <c r="B162" s="216"/>
      <c r="C162" s="217"/>
      <c r="D162" s="218"/>
      <c r="E162" s="220"/>
      <c r="F162" s="221"/>
      <c r="G162" s="223"/>
      <c r="H162" s="220"/>
      <c r="I162" s="224"/>
      <c r="J162" s="224"/>
      <c r="K162" s="220"/>
      <c r="L162" s="225"/>
      <c r="M162" s="225"/>
      <c r="N162" s="225"/>
    </row>
    <row r="163" ht="15.2" spans="1:14">
      <c r="A163" s="219">
        <v>44960</v>
      </c>
      <c r="B163" s="216" t="s">
        <v>152</v>
      </c>
      <c r="C163" s="217">
        <v>8907538570536</v>
      </c>
      <c r="D163" s="218">
        <v>1</v>
      </c>
      <c r="E163" s="218">
        <v>2299</v>
      </c>
      <c r="F163" s="218">
        <v>1517.34</v>
      </c>
      <c r="G163" s="223">
        <f t="shared" si="10"/>
        <v>69.9869508481949</v>
      </c>
      <c r="H163" s="220">
        <f t="shared" si="11"/>
        <v>1609</v>
      </c>
      <c r="I163" s="224"/>
      <c r="J163" s="224"/>
      <c r="K163" s="218">
        <v>690</v>
      </c>
      <c r="L163" s="225"/>
      <c r="M163" s="225"/>
      <c r="N163" s="225">
        <f t="shared" si="12"/>
        <v>-827.34</v>
      </c>
    </row>
    <row r="164" ht="15.2" spans="1:14">
      <c r="A164" s="219">
        <v>44960</v>
      </c>
      <c r="B164" s="216" t="s">
        <v>152</v>
      </c>
      <c r="C164" s="217">
        <v>8907686774329</v>
      </c>
      <c r="D164" s="218">
        <v>1</v>
      </c>
      <c r="E164" s="218">
        <v>1599</v>
      </c>
      <c r="F164" s="218">
        <v>1055.34</v>
      </c>
      <c r="G164" s="223">
        <f t="shared" si="10"/>
        <v>69.9812382739212</v>
      </c>
      <c r="H164" s="220">
        <f t="shared" si="11"/>
        <v>1119</v>
      </c>
      <c r="I164" s="224"/>
      <c r="J164" s="224"/>
      <c r="K164" s="218">
        <v>480</v>
      </c>
      <c r="L164" s="225"/>
      <c r="M164" s="225"/>
      <c r="N164" s="225">
        <f t="shared" si="12"/>
        <v>-575.34</v>
      </c>
    </row>
    <row r="165" ht="15.2" spans="1:14">
      <c r="A165" s="219">
        <v>44960</v>
      </c>
      <c r="B165" s="216" t="s">
        <v>152</v>
      </c>
      <c r="C165" s="217">
        <v>8907378928078</v>
      </c>
      <c r="D165" s="218">
        <v>1</v>
      </c>
      <c r="E165" s="218">
        <v>999</v>
      </c>
      <c r="F165" s="218">
        <v>659.34</v>
      </c>
      <c r="G165" s="223">
        <f t="shared" si="10"/>
        <v>69.96996996997</v>
      </c>
      <c r="H165" s="220">
        <f t="shared" si="11"/>
        <v>699</v>
      </c>
      <c r="I165" s="224"/>
      <c r="J165" s="224"/>
      <c r="K165" s="218">
        <v>300</v>
      </c>
      <c r="L165" s="225"/>
      <c r="M165" s="225"/>
      <c r="N165" s="225">
        <f t="shared" si="12"/>
        <v>-359.34</v>
      </c>
    </row>
    <row r="166" ht="15.2" spans="1:14">
      <c r="A166" s="219">
        <v>44960</v>
      </c>
      <c r="B166" s="216" t="s">
        <v>152</v>
      </c>
      <c r="C166" s="217">
        <v>8907686263229</v>
      </c>
      <c r="D166" s="218">
        <v>1</v>
      </c>
      <c r="E166" s="218">
        <v>1299</v>
      </c>
      <c r="F166" s="218">
        <v>857.34</v>
      </c>
      <c r="G166" s="223">
        <f t="shared" si="10"/>
        <v>69.9769053117783</v>
      </c>
      <c r="H166" s="220">
        <f t="shared" si="11"/>
        <v>909</v>
      </c>
      <c r="I166" s="224"/>
      <c r="J166" s="224"/>
      <c r="K166" s="218">
        <v>390</v>
      </c>
      <c r="L166" s="225"/>
      <c r="M166" s="225">
        <v>1860</v>
      </c>
      <c r="N166" s="225">
        <f t="shared" si="12"/>
        <v>-467.34</v>
      </c>
    </row>
    <row r="167" ht="15.2" spans="1:14">
      <c r="A167" s="219"/>
      <c r="B167" s="216"/>
      <c r="C167" s="217"/>
      <c r="D167" s="218"/>
      <c r="E167" s="220"/>
      <c r="F167" s="221"/>
      <c r="G167" s="223"/>
      <c r="H167" s="220"/>
      <c r="I167" s="224"/>
      <c r="J167" s="224"/>
      <c r="K167" s="220"/>
      <c r="L167" s="225"/>
      <c r="M167" s="225"/>
      <c r="N167" s="225"/>
    </row>
    <row r="168" ht="15.2" spans="1:14">
      <c r="A168" s="219">
        <v>44960</v>
      </c>
      <c r="B168" s="216" t="s">
        <v>153</v>
      </c>
      <c r="C168" s="217" t="s">
        <v>44</v>
      </c>
      <c r="D168" s="218">
        <v>1.6</v>
      </c>
      <c r="E168" s="218">
        <v>1390</v>
      </c>
      <c r="F168" s="218">
        <v>330</v>
      </c>
      <c r="G168" s="223">
        <f t="shared" si="10"/>
        <v>50</v>
      </c>
      <c r="H168" s="220">
        <f t="shared" si="11"/>
        <v>1112</v>
      </c>
      <c r="I168" s="224">
        <v>1059.04761904762</v>
      </c>
      <c r="J168" s="224">
        <v>52.952380952381</v>
      </c>
      <c r="K168" s="218">
        <v>1112</v>
      </c>
      <c r="L168" s="225"/>
      <c r="M168" s="225"/>
      <c r="N168" s="225">
        <f t="shared" si="12"/>
        <v>584</v>
      </c>
    </row>
    <row r="169" ht="15.2" spans="1:14">
      <c r="A169" s="219">
        <v>44960</v>
      </c>
      <c r="B169" s="216" t="s">
        <v>153</v>
      </c>
      <c r="C169" s="217" t="s">
        <v>154</v>
      </c>
      <c r="D169" s="218">
        <v>1.6</v>
      </c>
      <c r="E169" s="218">
        <v>1370</v>
      </c>
      <c r="F169" s="218">
        <v>464</v>
      </c>
      <c r="G169" s="223">
        <f t="shared" si="10"/>
        <v>50</v>
      </c>
      <c r="H169" s="220">
        <f t="shared" si="11"/>
        <v>1096</v>
      </c>
      <c r="I169" s="224">
        <v>1043.80952380952</v>
      </c>
      <c r="J169" s="224">
        <v>52.1904761904762</v>
      </c>
      <c r="K169" s="218">
        <v>1096</v>
      </c>
      <c r="L169" s="225"/>
      <c r="M169" s="225"/>
      <c r="N169" s="225">
        <f t="shared" si="12"/>
        <v>353.6</v>
      </c>
    </row>
    <row r="170" ht="15.2" spans="1:14">
      <c r="A170" s="219">
        <v>44960</v>
      </c>
      <c r="B170" s="216" t="s">
        <v>153</v>
      </c>
      <c r="C170" s="217" t="s">
        <v>155</v>
      </c>
      <c r="D170" s="218">
        <v>1.6</v>
      </c>
      <c r="E170" s="218">
        <v>1130</v>
      </c>
      <c r="F170" s="218">
        <v>359</v>
      </c>
      <c r="G170" s="223">
        <f t="shared" si="10"/>
        <v>49.5575221238938</v>
      </c>
      <c r="H170" s="220">
        <f t="shared" si="11"/>
        <v>896</v>
      </c>
      <c r="I170" s="224">
        <v>868.571428571429</v>
      </c>
      <c r="J170" s="224">
        <v>43.4285714285714</v>
      </c>
      <c r="K170" s="218">
        <v>912</v>
      </c>
      <c r="L170" s="225"/>
      <c r="M170" s="225"/>
      <c r="N170" s="225">
        <f t="shared" si="12"/>
        <v>337.6</v>
      </c>
    </row>
    <row r="171" ht="15.2" spans="1:14">
      <c r="A171" s="219">
        <v>44960</v>
      </c>
      <c r="B171" s="216" t="s">
        <v>153</v>
      </c>
      <c r="C171" s="217" t="s">
        <v>156</v>
      </c>
      <c r="D171" s="218">
        <v>1.25</v>
      </c>
      <c r="E171" s="218">
        <v>1620</v>
      </c>
      <c r="F171" s="218">
        <v>562</v>
      </c>
      <c r="G171" s="223">
        <f t="shared" si="10"/>
        <v>50</v>
      </c>
      <c r="H171" s="220">
        <f t="shared" si="11"/>
        <v>1012.5</v>
      </c>
      <c r="I171" s="224">
        <v>964.285714285714</v>
      </c>
      <c r="J171" s="224">
        <v>48.2142857142857</v>
      </c>
      <c r="K171" s="218">
        <v>1012.5</v>
      </c>
      <c r="L171" s="225"/>
      <c r="M171" s="225"/>
      <c r="N171" s="225">
        <f t="shared" si="12"/>
        <v>310</v>
      </c>
    </row>
    <row r="172" ht="15.2" spans="1:14">
      <c r="A172" s="219">
        <v>44960</v>
      </c>
      <c r="B172" s="216" t="s">
        <v>153</v>
      </c>
      <c r="C172" s="217" t="s">
        <v>157</v>
      </c>
      <c r="D172" s="218">
        <v>1.2</v>
      </c>
      <c r="E172" s="218">
        <v>2840</v>
      </c>
      <c r="F172" s="218">
        <v>999</v>
      </c>
      <c r="G172" s="223">
        <f t="shared" si="10"/>
        <v>47.887323943662</v>
      </c>
      <c r="H172" s="220">
        <f t="shared" si="11"/>
        <v>1632</v>
      </c>
      <c r="I172" s="224">
        <v>1691.42857142857</v>
      </c>
      <c r="J172" s="224">
        <v>84.5714285714286</v>
      </c>
      <c r="K172" s="218">
        <v>1776</v>
      </c>
      <c r="L172" s="225"/>
      <c r="M172" s="225"/>
      <c r="N172" s="225">
        <f t="shared" si="12"/>
        <v>577.2</v>
      </c>
    </row>
    <row r="173" ht="15.2" spans="1:14">
      <c r="A173" s="219">
        <v>44960</v>
      </c>
      <c r="B173" s="216" t="s">
        <v>153</v>
      </c>
      <c r="C173" s="217" t="s">
        <v>158</v>
      </c>
      <c r="D173" s="218">
        <v>1.2</v>
      </c>
      <c r="E173" s="218">
        <v>1290</v>
      </c>
      <c r="F173" s="218">
        <v>409</v>
      </c>
      <c r="G173" s="223">
        <f t="shared" si="10"/>
        <v>50</v>
      </c>
      <c r="H173" s="220">
        <f t="shared" si="11"/>
        <v>774</v>
      </c>
      <c r="I173" s="224">
        <v>737.142857142857</v>
      </c>
      <c r="J173" s="224">
        <v>36.8571428571429</v>
      </c>
      <c r="K173" s="218">
        <v>774</v>
      </c>
      <c r="L173" s="225">
        <v>0.5</v>
      </c>
      <c r="M173" s="225">
        <v>6683</v>
      </c>
      <c r="N173" s="225">
        <f t="shared" si="12"/>
        <v>283.2</v>
      </c>
    </row>
    <row r="174" ht="15.2" spans="1:14">
      <c r="A174" s="219"/>
      <c r="B174" s="216"/>
      <c r="C174" s="217"/>
      <c r="D174" s="218"/>
      <c r="E174" s="220"/>
      <c r="F174" s="221"/>
      <c r="G174" s="223"/>
      <c r="H174" s="220"/>
      <c r="I174" s="224"/>
      <c r="J174" s="224"/>
      <c r="K174" s="220"/>
      <c r="L174" s="225"/>
      <c r="M174" s="225"/>
      <c r="N174" s="225"/>
    </row>
    <row r="175" ht="15.2" spans="1:14">
      <c r="A175" s="219">
        <v>44960</v>
      </c>
      <c r="B175" s="216" t="s">
        <v>159</v>
      </c>
      <c r="C175" s="217">
        <v>8907538651952</v>
      </c>
      <c r="D175" s="218">
        <v>1</v>
      </c>
      <c r="E175" s="218">
        <v>350</v>
      </c>
      <c r="F175" s="218">
        <v>231</v>
      </c>
      <c r="G175" s="223">
        <f t="shared" si="10"/>
        <v>0</v>
      </c>
      <c r="H175" s="220">
        <f t="shared" si="11"/>
        <v>0</v>
      </c>
      <c r="I175" s="224"/>
      <c r="J175" s="224"/>
      <c r="K175" s="218">
        <v>350</v>
      </c>
      <c r="L175" s="225"/>
      <c r="M175" s="225"/>
      <c r="N175" s="225">
        <f t="shared" si="12"/>
        <v>119</v>
      </c>
    </row>
    <row r="176" ht="15.2" spans="1:14">
      <c r="A176" s="219">
        <v>44960</v>
      </c>
      <c r="B176" s="216" t="s">
        <v>159</v>
      </c>
      <c r="C176" s="217">
        <v>8907378032478</v>
      </c>
      <c r="D176" s="218">
        <v>1</v>
      </c>
      <c r="E176" s="218">
        <v>399</v>
      </c>
      <c r="F176" s="218">
        <v>263.34</v>
      </c>
      <c r="G176" s="223">
        <f t="shared" si="10"/>
        <v>10.0250626566416</v>
      </c>
      <c r="H176" s="220">
        <f t="shared" si="11"/>
        <v>40</v>
      </c>
      <c r="I176" s="224"/>
      <c r="J176" s="224"/>
      <c r="K176" s="218">
        <v>359</v>
      </c>
      <c r="L176" s="225"/>
      <c r="M176" s="225">
        <v>709</v>
      </c>
      <c r="N176" s="225">
        <f t="shared" si="12"/>
        <v>95.66</v>
      </c>
    </row>
    <row r="177" ht="15.2" spans="1:14">
      <c r="A177" s="219"/>
      <c r="B177" s="216"/>
      <c r="C177" s="217"/>
      <c r="D177" s="218"/>
      <c r="E177" s="220"/>
      <c r="F177" s="221"/>
      <c r="G177" s="223"/>
      <c r="H177" s="220"/>
      <c r="I177" s="224"/>
      <c r="J177" s="224"/>
      <c r="K177" s="220"/>
      <c r="L177" s="225"/>
      <c r="M177" s="225"/>
      <c r="N177" s="225"/>
    </row>
    <row r="178" ht="15.2" spans="1:14">
      <c r="A178" s="219">
        <v>44960</v>
      </c>
      <c r="B178" s="216" t="s">
        <v>160</v>
      </c>
      <c r="C178" s="217">
        <v>8904290618667</v>
      </c>
      <c r="D178" s="218">
        <v>1</v>
      </c>
      <c r="E178" s="218">
        <v>1999</v>
      </c>
      <c r="F178" s="218">
        <v>1319.34</v>
      </c>
      <c r="G178" s="223">
        <f t="shared" si="10"/>
        <v>69.9849924962481</v>
      </c>
      <c r="H178" s="220">
        <f t="shared" si="11"/>
        <v>1399</v>
      </c>
      <c r="I178" s="224"/>
      <c r="J178" s="224"/>
      <c r="K178" s="218">
        <v>600</v>
      </c>
      <c r="L178" s="225"/>
      <c r="M178" s="218">
        <v>600</v>
      </c>
      <c r="N178" s="225">
        <f t="shared" si="12"/>
        <v>-719.34</v>
      </c>
    </row>
    <row r="179" ht="15.2" spans="1:14">
      <c r="A179" s="219"/>
      <c r="B179" s="216"/>
      <c r="C179" s="217"/>
      <c r="D179" s="218"/>
      <c r="E179" s="220"/>
      <c r="F179" s="221"/>
      <c r="G179" s="223"/>
      <c r="H179" s="220"/>
      <c r="I179" s="224"/>
      <c r="J179" s="224"/>
      <c r="K179" s="220"/>
      <c r="L179" s="225"/>
      <c r="M179" s="225"/>
      <c r="N179" s="225"/>
    </row>
    <row r="180" ht="15.2" spans="1:14">
      <c r="A180" s="219">
        <v>44960</v>
      </c>
      <c r="B180" s="216" t="s">
        <v>161</v>
      </c>
      <c r="C180" s="217" t="s">
        <v>162</v>
      </c>
      <c r="D180" s="218">
        <v>1</v>
      </c>
      <c r="E180" s="218">
        <v>3000</v>
      </c>
      <c r="F180" s="218">
        <v>1980</v>
      </c>
      <c r="G180" s="223">
        <f t="shared" si="10"/>
        <v>0</v>
      </c>
      <c r="H180" s="220">
        <f t="shared" si="11"/>
        <v>0</v>
      </c>
      <c r="I180" s="224"/>
      <c r="J180" s="224"/>
      <c r="K180" s="220">
        <v>3000</v>
      </c>
      <c r="L180" s="225"/>
      <c r="M180" s="225">
        <v>3000</v>
      </c>
      <c r="N180" s="225">
        <f t="shared" si="12"/>
        <v>1020</v>
      </c>
    </row>
    <row r="181" ht="15.2" spans="1:14">
      <c r="A181" s="219"/>
      <c r="B181" s="216"/>
      <c r="C181" s="217"/>
      <c r="D181" s="218"/>
      <c r="E181" s="220"/>
      <c r="F181" s="221"/>
      <c r="G181" s="223"/>
      <c r="H181" s="220"/>
      <c r="I181" s="224"/>
      <c r="J181" s="224"/>
      <c r="K181" s="220"/>
      <c r="L181" s="225"/>
      <c r="M181" s="225"/>
      <c r="N181" s="225"/>
    </row>
    <row r="182" ht="15.2" spans="1:14">
      <c r="A182" s="219">
        <v>44960</v>
      </c>
      <c r="B182" s="216" t="s">
        <v>163</v>
      </c>
      <c r="C182" s="217" t="s">
        <v>164</v>
      </c>
      <c r="D182" s="218">
        <v>1.6</v>
      </c>
      <c r="E182" s="218">
        <v>1430</v>
      </c>
      <c r="F182" s="218">
        <v>525</v>
      </c>
      <c r="G182" s="223">
        <f t="shared" si="10"/>
        <v>68.5314685314685</v>
      </c>
      <c r="H182" s="220">
        <f t="shared" si="11"/>
        <v>1568</v>
      </c>
      <c r="I182" s="224">
        <v>685.714285714286</v>
      </c>
      <c r="J182" s="224">
        <v>34.2857142857143</v>
      </c>
      <c r="K182" s="218">
        <v>720</v>
      </c>
      <c r="L182" s="225"/>
      <c r="M182" s="225"/>
      <c r="N182" s="225">
        <f t="shared" si="12"/>
        <v>-120</v>
      </c>
    </row>
    <row r="183" ht="15.2" spans="1:14">
      <c r="A183" s="219">
        <v>44960</v>
      </c>
      <c r="B183" s="216" t="s">
        <v>163</v>
      </c>
      <c r="C183" s="217" t="s">
        <v>165</v>
      </c>
      <c r="D183" s="218">
        <v>1.6</v>
      </c>
      <c r="E183" s="218">
        <v>1110</v>
      </c>
      <c r="F183" s="218">
        <v>399</v>
      </c>
      <c r="G183" s="223">
        <f t="shared" si="10"/>
        <v>68.7387387387387</v>
      </c>
      <c r="H183" s="220">
        <f t="shared" si="11"/>
        <v>1220.8</v>
      </c>
      <c r="I183" s="224">
        <v>528.761904761905</v>
      </c>
      <c r="J183" s="224">
        <v>26.4380952380952</v>
      </c>
      <c r="K183" s="218">
        <v>555.2</v>
      </c>
      <c r="L183" s="225"/>
      <c r="M183" s="225"/>
      <c r="N183" s="225">
        <f t="shared" si="12"/>
        <v>-83.2</v>
      </c>
    </row>
    <row r="184" ht="15.2" spans="1:14">
      <c r="A184" s="219">
        <v>44960</v>
      </c>
      <c r="B184" s="216" t="s">
        <v>163</v>
      </c>
      <c r="C184" s="217">
        <v>8907686774916</v>
      </c>
      <c r="D184" s="218">
        <v>1</v>
      </c>
      <c r="E184" s="218">
        <v>1499</v>
      </c>
      <c r="F184" s="218">
        <v>989.34</v>
      </c>
      <c r="G184" s="223">
        <f t="shared" si="10"/>
        <v>69.9799866577718</v>
      </c>
      <c r="H184" s="220">
        <f t="shared" si="11"/>
        <v>1049</v>
      </c>
      <c r="I184" s="224"/>
      <c r="J184" s="224"/>
      <c r="K184" s="218">
        <v>450</v>
      </c>
      <c r="L184" s="225"/>
      <c r="M184" s="225"/>
      <c r="N184" s="225">
        <f t="shared" si="12"/>
        <v>-539.34</v>
      </c>
    </row>
    <row r="185" ht="15.2" spans="1:14">
      <c r="A185" s="219">
        <v>44960</v>
      </c>
      <c r="B185" s="216" t="s">
        <v>163</v>
      </c>
      <c r="C185" s="217">
        <v>8907686294513</v>
      </c>
      <c r="D185" s="218">
        <v>1</v>
      </c>
      <c r="E185" s="218">
        <v>999</v>
      </c>
      <c r="F185" s="218">
        <v>659.34</v>
      </c>
      <c r="G185" s="223">
        <f t="shared" si="10"/>
        <v>69.96996996997</v>
      </c>
      <c r="H185" s="220">
        <f t="shared" si="11"/>
        <v>699</v>
      </c>
      <c r="I185" s="224"/>
      <c r="J185" s="224"/>
      <c r="K185" s="218">
        <v>300</v>
      </c>
      <c r="L185" s="225">
        <v>-0.2</v>
      </c>
      <c r="M185" s="225">
        <v>2025</v>
      </c>
      <c r="N185" s="225">
        <f t="shared" si="12"/>
        <v>-359.34</v>
      </c>
    </row>
    <row r="186" ht="15.2" spans="1:14">
      <c r="A186" s="219"/>
      <c r="B186" s="216"/>
      <c r="C186" s="217"/>
      <c r="D186" s="218"/>
      <c r="E186" s="220"/>
      <c r="F186" s="221"/>
      <c r="G186" s="223"/>
      <c r="H186" s="220"/>
      <c r="I186" s="224"/>
      <c r="J186" s="224"/>
      <c r="K186" s="220"/>
      <c r="L186" s="225"/>
      <c r="M186" s="225"/>
      <c r="N186" s="225"/>
    </row>
    <row r="187" ht="15.2" spans="1:14">
      <c r="A187" s="219">
        <v>44961</v>
      </c>
      <c r="B187" s="216" t="s">
        <v>166</v>
      </c>
      <c r="C187" s="217">
        <v>8904290623715</v>
      </c>
      <c r="D187" s="218">
        <v>1</v>
      </c>
      <c r="E187" s="218">
        <v>1799</v>
      </c>
      <c r="F187" s="218">
        <v>1187.34</v>
      </c>
      <c r="G187" s="223">
        <f t="shared" si="10"/>
        <v>70</v>
      </c>
      <c r="H187" s="220">
        <f t="shared" si="11"/>
        <v>1259.3</v>
      </c>
      <c r="I187" s="224"/>
      <c r="J187" s="224"/>
      <c r="K187" s="218">
        <v>539.7</v>
      </c>
      <c r="L187" s="225"/>
      <c r="M187" s="225"/>
      <c r="N187" s="225">
        <f t="shared" si="12"/>
        <v>-647.64</v>
      </c>
    </row>
    <row r="188" ht="15.2" spans="1:14">
      <c r="A188" s="219">
        <v>44961</v>
      </c>
      <c r="B188" s="216" t="s">
        <v>166</v>
      </c>
      <c r="C188" s="217">
        <v>8907538592989</v>
      </c>
      <c r="D188" s="218">
        <v>1</v>
      </c>
      <c r="E188" s="218">
        <v>2299</v>
      </c>
      <c r="F188" s="218">
        <v>1517.34</v>
      </c>
      <c r="G188" s="223">
        <f t="shared" si="10"/>
        <v>70</v>
      </c>
      <c r="H188" s="220">
        <f t="shared" si="11"/>
        <v>1609.3</v>
      </c>
      <c r="I188" s="224"/>
      <c r="J188" s="224"/>
      <c r="K188" s="218">
        <v>689.7</v>
      </c>
      <c r="L188" s="225">
        <v>-0.4</v>
      </c>
      <c r="M188" s="225">
        <v>1229</v>
      </c>
      <c r="N188" s="225">
        <f t="shared" si="12"/>
        <v>-827.64</v>
      </c>
    </row>
    <row r="189" ht="15.2" spans="1:14">
      <c r="A189" s="219"/>
      <c r="B189" s="216"/>
      <c r="C189" s="217"/>
      <c r="D189" s="218"/>
      <c r="E189" s="220"/>
      <c r="F189" s="221"/>
      <c r="G189" s="223"/>
      <c r="H189" s="220"/>
      <c r="I189" s="224"/>
      <c r="J189" s="224"/>
      <c r="K189" s="220"/>
      <c r="L189" s="225"/>
      <c r="M189" s="225"/>
      <c r="N189" s="225"/>
    </row>
    <row r="190" ht="15.2" spans="1:14">
      <c r="A190" s="219">
        <v>44961</v>
      </c>
      <c r="B190" s="216" t="s">
        <v>167</v>
      </c>
      <c r="C190" s="217" t="s">
        <v>168</v>
      </c>
      <c r="D190" s="218">
        <v>3</v>
      </c>
      <c r="E190" s="218">
        <v>1670</v>
      </c>
      <c r="F190" s="218">
        <v>599</v>
      </c>
      <c r="G190" s="223">
        <f t="shared" si="10"/>
        <v>50</v>
      </c>
      <c r="H190" s="220">
        <f t="shared" si="11"/>
        <v>2505</v>
      </c>
      <c r="I190" s="224">
        <v>2385.71428571429</v>
      </c>
      <c r="J190" s="224">
        <v>119.285714285714</v>
      </c>
      <c r="K190" s="218">
        <v>2505</v>
      </c>
      <c r="L190" s="225"/>
      <c r="M190" s="225"/>
      <c r="N190" s="225">
        <f t="shared" si="12"/>
        <v>708</v>
      </c>
    </row>
    <row r="191" ht="15.2" spans="1:14">
      <c r="A191" s="219">
        <v>44961</v>
      </c>
      <c r="B191" s="216" t="s">
        <v>167</v>
      </c>
      <c r="C191" s="217" t="s">
        <v>24</v>
      </c>
      <c r="D191" s="218">
        <v>3</v>
      </c>
      <c r="E191" s="218">
        <v>1040</v>
      </c>
      <c r="F191" s="218">
        <v>279.3</v>
      </c>
      <c r="G191" s="223">
        <f t="shared" si="10"/>
        <v>49.5192307692308</v>
      </c>
      <c r="H191" s="220">
        <f t="shared" si="11"/>
        <v>1545</v>
      </c>
      <c r="I191" s="224">
        <v>1500</v>
      </c>
      <c r="J191" s="224">
        <v>75</v>
      </c>
      <c r="K191" s="218">
        <v>1575</v>
      </c>
      <c r="L191" s="225"/>
      <c r="M191" s="225"/>
      <c r="N191" s="225">
        <f t="shared" si="12"/>
        <v>737.1</v>
      </c>
    </row>
    <row r="192" ht="15.2" spans="1:14">
      <c r="A192" s="219">
        <v>44961</v>
      </c>
      <c r="B192" s="216" t="s">
        <v>167</v>
      </c>
      <c r="C192" s="217">
        <v>8904290606497</v>
      </c>
      <c r="D192" s="218">
        <v>1</v>
      </c>
      <c r="E192" s="218">
        <v>3499</v>
      </c>
      <c r="F192" s="218">
        <v>2309.34</v>
      </c>
      <c r="G192" s="223">
        <f t="shared" si="10"/>
        <v>64.9899971420406</v>
      </c>
      <c r="H192" s="220">
        <f t="shared" si="11"/>
        <v>2274</v>
      </c>
      <c r="I192" s="224"/>
      <c r="J192" s="224"/>
      <c r="K192" s="218">
        <v>1225</v>
      </c>
      <c r="L192" s="225"/>
      <c r="M192" s="225">
        <v>5305</v>
      </c>
      <c r="N192" s="225">
        <f t="shared" si="12"/>
        <v>-1084.34</v>
      </c>
    </row>
    <row r="193" ht="15.2" spans="1:14">
      <c r="A193" s="219"/>
      <c r="B193" s="216"/>
      <c r="C193" s="217"/>
      <c r="D193" s="218"/>
      <c r="E193" s="220"/>
      <c r="F193" s="221"/>
      <c r="G193" s="223"/>
      <c r="H193" s="220"/>
      <c r="I193" s="224"/>
      <c r="J193" s="224"/>
      <c r="K193" s="220"/>
      <c r="L193" s="225"/>
      <c r="M193" s="225"/>
      <c r="N193" s="225"/>
    </row>
    <row r="194" ht="15.2" spans="1:14">
      <c r="A194" s="219">
        <v>44961</v>
      </c>
      <c r="B194" s="216" t="s">
        <v>169</v>
      </c>
      <c r="C194" s="217" t="s">
        <v>170</v>
      </c>
      <c r="D194" s="218">
        <v>2</v>
      </c>
      <c r="E194" s="220">
        <v>1610</v>
      </c>
      <c r="F194" s="221">
        <v>547.4</v>
      </c>
      <c r="G194" s="223">
        <f t="shared" si="10"/>
        <v>50</v>
      </c>
      <c r="H194" s="220">
        <f t="shared" si="11"/>
        <v>1610</v>
      </c>
      <c r="I194" s="224"/>
      <c r="J194" s="224"/>
      <c r="K194" s="220">
        <v>1610</v>
      </c>
      <c r="L194" s="225"/>
      <c r="M194" s="225">
        <v>1610</v>
      </c>
      <c r="N194" s="225">
        <f t="shared" si="12"/>
        <v>515.2</v>
      </c>
    </row>
    <row r="195" ht="15.2" spans="1:14">
      <c r="A195" s="219"/>
      <c r="B195" s="216"/>
      <c r="C195" s="217"/>
      <c r="D195" s="218"/>
      <c r="E195" s="220"/>
      <c r="F195" s="221"/>
      <c r="G195" s="223"/>
      <c r="H195" s="220"/>
      <c r="I195" s="224"/>
      <c r="J195" s="224"/>
      <c r="K195" s="220"/>
      <c r="L195" s="225"/>
      <c r="M195" s="225"/>
      <c r="N195" s="225"/>
    </row>
    <row r="196" ht="15.2" spans="1:14">
      <c r="A196" s="219">
        <v>44961</v>
      </c>
      <c r="B196" s="216" t="s">
        <v>171</v>
      </c>
      <c r="C196" s="217" t="s">
        <v>35</v>
      </c>
      <c r="D196" s="218">
        <v>1.6</v>
      </c>
      <c r="E196" s="218">
        <v>1310</v>
      </c>
      <c r="F196" s="218">
        <v>499</v>
      </c>
      <c r="G196" s="223">
        <f t="shared" si="10"/>
        <v>50</v>
      </c>
      <c r="H196" s="220">
        <f t="shared" si="11"/>
        <v>1048</v>
      </c>
      <c r="I196" s="224">
        <v>998.095238095238</v>
      </c>
      <c r="J196" s="224">
        <v>49.9047619047619</v>
      </c>
      <c r="K196" s="218">
        <v>1048</v>
      </c>
      <c r="L196" s="225"/>
      <c r="M196" s="225"/>
      <c r="N196" s="225">
        <f t="shared" si="12"/>
        <v>249.6</v>
      </c>
    </row>
    <row r="197" ht="15.2" spans="1:14">
      <c r="A197" s="219">
        <v>44961</v>
      </c>
      <c r="B197" s="216" t="s">
        <v>171</v>
      </c>
      <c r="C197" s="217" t="s">
        <v>172</v>
      </c>
      <c r="D197" s="218">
        <v>3.2</v>
      </c>
      <c r="E197" s="218">
        <v>930</v>
      </c>
      <c r="F197" s="218">
        <v>321.47</v>
      </c>
      <c r="G197" s="223">
        <f t="shared" si="10"/>
        <v>50</v>
      </c>
      <c r="H197" s="220">
        <f t="shared" si="11"/>
        <v>1488</v>
      </c>
      <c r="I197" s="224">
        <v>1417.14285714286</v>
      </c>
      <c r="J197" s="224">
        <v>70.8571428571429</v>
      </c>
      <c r="K197" s="218">
        <v>1488</v>
      </c>
      <c r="L197" s="225"/>
      <c r="M197" s="225"/>
      <c r="N197" s="225">
        <f t="shared" si="12"/>
        <v>459.296</v>
      </c>
    </row>
    <row r="198" ht="15.2" spans="1:14">
      <c r="A198" s="219">
        <v>44961</v>
      </c>
      <c r="B198" s="216" t="s">
        <v>171</v>
      </c>
      <c r="C198" s="217" t="s">
        <v>173</v>
      </c>
      <c r="D198" s="218">
        <v>3.2</v>
      </c>
      <c r="E198" s="218">
        <v>950</v>
      </c>
      <c r="F198" s="218">
        <v>321.47</v>
      </c>
      <c r="G198" s="223">
        <f t="shared" si="10"/>
        <v>50</v>
      </c>
      <c r="H198" s="220">
        <f t="shared" si="11"/>
        <v>1520</v>
      </c>
      <c r="I198" s="224">
        <v>1447.61904761905</v>
      </c>
      <c r="J198" s="224">
        <v>72.3809523809524</v>
      </c>
      <c r="K198" s="218">
        <v>1520</v>
      </c>
      <c r="L198" s="225"/>
      <c r="M198" s="225"/>
      <c r="N198" s="225">
        <f t="shared" si="12"/>
        <v>491.296</v>
      </c>
    </row>
    <row r="199" ht="15.2" spans="1:14">
      <c r="A199" s="219">
        <v>44961</v>
      </c>
      <c r="B199" s="216" t="s">
        <v>171</v>
      </c>
      <c r="C199" s="217" t="s">
        <v>174</v>
      </c>
      <c r="D199" s="218">
        <v>3.2</v>
      </c>
      <c r="E199" s="218">
        <v>820</v>
      </c>
      <c r="F199" s="218">
        <v>299</v>
      </c>
      <c r="G199" s="223">
        <f t="shared" si="10"/>
        <v>50</v>
      </c>
      <c r="H199" s="220">
        <f t="shared" si="11"/>
        <v>1312</v>
      </c>
      <c r="I199" s="224">
        <v>1249.52380952381</v>
      </c>
      <c r="J199" s="224">
        <v>62.4761904761905</v>
      </c>
      <c r="K199" s="218">
        <v>1312</v>
      </c>
      <c r="L199" s="225"/>
      <c r="M199" s="225"/>
      <c r="N199" s="225">
        <f t="shared" si="12"/>
        <v>355.2</v>
      </c>
    </row>
    <row r="200" ht="15.2" spans="1:14">
      <c r="A200" s="219">
        <v>44961</v>
      </c>
      <c r="B200" s="216" t="s">
        <v>171</v>
      </c>
      <c r="C200" s="217" t="s">
        <v>175</v>
      </c>
      <c r="D200" s="218">
        <v>1.6</v>
      </c>
      <c r="E200" s="218">
        <v>900</v>
      </c>
      <c r="F200" s="218">
        <v>306</v>
      </c>
      <c r="G200" s="223">
        <f t="shared" si="10"/>
        <v>50</v>
      </c>
      <c r="H200" s="220">
        <f t="shared" si="11"/>
        <v>720</v>
      </c>
      <c r="I200" s="224">
        <v>685.714285714286</v>
      </c>
      <c r="J200" s="224">
        <v>34.2857142857143</v>
      </c>
      <c r="K200" s="218">
        <v>720</v>
      </c>
      <c r="L200" s="225"/>
      <c r="M200" s="225">
        <v>6088</v>
      </c>
      <c r="N200" s="225">
        <f t="shared" si="12"/>
        <v>230.4</v>
      </c>
    </row>
    <row r="201" ht="15.2" spans="1:14">
      <c r="A201" s="219"/>
      <c r="B201" s="216"/>
      <c r="C201" s="217"/>
      <c r="D201" s="218"/>
      <c r="E201" s="220"/>
      <c r="F201" s="221"/>
      <c r="G201" s="223"/>
      <c r="H201" s="220"/>
      <c r="I201" s="224"/>
      <c r="J201" s="224"/>
      <c r="K201" s="220"/>
      <c r="L201" s="225"/>
      <c r="M201" s="225"/>
      <c r="N201" s="225"/>
    </row>
    <row r="202" ht="15.2" spans="1:14">
      <c r="A202" s="219">
        <v>44961</v>
      </c>
      <c r="B202" s="216" t="s">
        <v>176</v>
      </c>
      <c r="C202" s="217" t="s">
        <v>177</v>
      </c>
      <c r="D202" s="218">
        <v>1.2</v>
      </c>
      <c r="E202" s="218">
        <v>1110</v>
      </c>
      <c r="F202" s="218">
        <v>399</v>
      </c>
      <c r="G202" s="223">
        <f t="shared" si="10"/>
        <v>50</v>
      </c>
      <c r="H202" s="220">
        <f t="shared" si="11"/>
        <v>666</v>
      </c>
      <c r="I202" s="224">
        <v>634.285714285714</v>
      </c>
      <c r="J202" s="224">
        <v>31.7142857142857</v>
      </c>
      <c r="K202" s="218">
        <v>666</v>
      </c>
      <c r="L202" s="225"/>
      <c r="M202" s="225"/>
      <c r="N202" s="225">
        <f t="shared" si="12"/>
        <v>187.2</v>
      </c>
    </row>
    <row r="203" ht="15.2" spans="1:14">
      <c r="A203" s="219">
        <v>44961</v>
      </c>
      <c r="B203" s="216" t="s">
        <v>176</v>
      </c>
      <c r="C203" s="217" t="s">
        <v>104</v>
      </c>
      <c r="D203" s="218">
        <v>1.2</v>
      </c>
      <c r="E203" s="218">
        <v>660</v>
      </c>
      <c r="F203" s="218">
        <v>266</v>
      </c>
      <c r="G203" s="223">
        <f t="shared" si="10"/>
        <v>49.2424242424242</v>
      </c>
      <c r="H203" s="220">
        <f t="shared" si="11"/>
        <v>390</v>
      </c>
      <c r="I203" s="224">
        <v>382.857142857143</v>
      </c>
      <c r="J203" s="224">
        <v>19.1428571428571</v>
      </c>
      <c r="K203" s="218">
        <v>402</v>
      </c>
      <c r="L203" s="225"/>
      <c r="M203" s="225"/>
      <c r="N203" s="225">
        <f t="shared" si="12"/>
        <v>82.8</v>
      </c>
    </row>
    <row r="204" ht="15.2" spans="1:14">
      <c r="A204" s="219">
        <v>44961</v>
      </c>
      <c r="B204" s="216" t="s">
        <v>176</v>
      </c>
      <c r="C204" s="217" t="s">
        <v>127</v>
      </c>
      <c r="D204" s="218">
        <v>3.6</v>
      </c>
      <c r="E204" s="218">
        <v>1110</v>
      </c>
      <c r="F204" s="218">
        <v>425</v>
      </c>
      <c r="G204" s="223">
        <f t="shared" si="10"/>
        <v>50.4504504504505</v>
      </c>
      <c r="H204" s="220">
        <f t="shared" si="11"/>
        <v>2016</v>
      </c>
      <c r="I204" s="224">
        <v>1885.71428571429</v>
      </c>
      <c r="J204" s="224">
        <v>94.2857142857143</v>
      </c>
      <c r="K204" s="218">
        <v>1980</v>
      </c>
      <c r="L204" s="225"/>
      <c r="M204" s="225"/>
      <c r="N204" s="225">
        <f t="shared" si="12"/>
        <v>450</v>
      </c>
    </row>
    <row r="205" ht="15.2" spans="1:14">
      <c r="A205" s="219">
        <v>44961</v>
      </c>
      <c r="B205" s="216" t="s">
        <v>176</v>
      </c>
      <c r="C205" s="217" t="s">
        <v>24</v>
      </c>
      <c r="D205" s="218">
        <v>1.2</v>
      </c>
      <c r="E205" s="218">
        <v>1040</v>
      </c>
      <c r="F205" s="218">
        <v>279.3</v>
      </c>
      <c r="G205" s="223">
        <f t="shared" si="10"/>
        <v>49.5192307692308</v>
      </c>
      <c r="H205" s="220">
        <f t="shared" si="11"/>
        <v>618</v>
      </c>
      <c r="I205" s="224">
        <v>600</v>
      </c>
      <c r="J205" s="224">
        <v>30</v>
      </c>
      <c r="K205" s="218">
        <v>630</v>
      </c>
      <c r="L205" s="225"/>
      <c r="M205" s="225">
        <v>3678</v>
      </c>
      <c r="N205" s="225">
        <f t="shared" si="12"/>
        <v>294.84</v>
      </c>
    </row>
    <row r="206" ht="15.2" spans="1:14">
      <c r="A206" s="219"/>
      <c r="B206" s="216"/>
      <c r="C206" s="217"/>
      <c r="D206" s="218"/>
      <c r="E206" s="220"/>
      <c r="F206" s="221"/>
      <c r="G206" s="223"/>
      <c r="H206" s="220"/>
      <c r="I206" s="224"/>
      <c r="J206" s="224"/>
      <c r="K206" s="220"/>
      <c r="L206" s="225"/>
      <c r="M206" s="225"/>
      <c r="N206" s="225"/>
    </row>
    <row r="207" ht="15.2" spans="1:14">
      <c r="A207" s="219">
        <v>44961</v>
      </c>
      <c r="B207" s="216" t="s">
        <v>178</v>
      </c>
      <c r="C207" s="217" t="s">
        <v>179</v>
      </c>
      <c r="D207" s="218">
        <v>2.2</v>
      </c>
      <c r="E207" s="218">
        <v>4398</v>
      </c>
      <c r="F207" s="218">
        <v>907</v>
      </c>
      <c r="G207" s="223">
        <f t="shared" ref="G207:G270" si="13">(H207*100)/(E207*D207)</f>
        <v>75.7534416470296</v>
      </c>
      <c r="H207" s="220">
        <f t="shared" ref="H207:H270" si="14">D207*E207-K207</f>
        <v>7329.6</v>
      </c>
      <c r="I207" s="224">
        <v>2234.28571428571</v>
      </c>
      <c r="J207" s="224">
        <v>111.714285714286</v>
      </c>
      <c r="K207" s="220">
        <v>2346</v>
      </c>
      <c r="L207" s="225"/>
      <c r="M207" s="225">
        <v>2346</v>
      </c>
      <c r="N207" s="225">
        <f t="shared" si="12"/>
        <v>350.6</v>
      </c>
    </row>
    <row r="208" ht="15.2" spans="1:14">
      <c r="A208" s="219"/>
      <c r="B208" s="216"/>
      <c r="C208" s="217"/>
      <c r="D208" s="218"/>
      <c r="E208" s="220"/>
      <c r="F208" s="221"/>
      <c r="G208" s="223"/>
      <c r="H208" s="220"/>
      <c r="I208" s="224"/>
      <c r="J208" s="224"/>
      <c r="K208" s="220"/>
      <c r="L208" s="225"/>
      <c r="M208" s="225"/>
      <c r="N208" s="225"/>
    </row>
    <row r="209" ht="15.2" spans="1:14">
      <c r="A209" s="219">
        <v>44963</v>
      </c>
      <c r="B209" s="216" t="s">
        <v>180</v>
      </c>
      <c r="C209" s="217" t="s">
        <v>162</v>
      </c>
      <c r="D209" s="218">
        <v>1</v>
      </c>
      <c r="E209" s="218">
        <v>2800</v>
      </c>
      <c r="F209" s="218">
        <v>1848</v>
      </c>
      <c r="G209" s="223">
        <f t="shared" si="13"/>
        <v>0</v>
      </c>
      <c r="H209" s="220">
        <f t="shared" si="14"/>
        <v>0</v>
      </c>
      <c r="I209" s="224"/>
      <c r="J209" s="224"/>
      <c r="K209" s="218">
        <v>2800</v>
      </c>
      <c r="L209" s="225"/>
      <c r="M209" s="225">
        <v>2800</v>
      </c>
      <c r="N209" s="225">
        <f t="shared" si="12"/>
        <v>952</v>
      </c>
    </row>
    <row r="210" ht="15.2" spans="1:14">
      <c r="A210" s="219"/>
      <c r="B210" s="216"/>
      <c r="C210" s="217"/>
      <c r="D210" s="218"/>
      <c r="E210" s="220"/>
      <c r="F210" s="221"/>
      <c r="G210" s="223"/>
      <c r="H210" s="220"/>
      <c r="I210" s="224"/>
      <c r="J210" s="224"/>
      <c r="K210" s="220"/>
      <c r="L210" s="225"/>
      <c r="M210" s="225"/>
      <c r="N210" s="225"/>
    </row>
    <row r="211" ht="15.2" spans="1:14">
      <c r="A211" s="219">
        <v>44963</v>
      </c>
      <c r="B211" s="216" t="s">
        <v>181</v>
      </c>
      <c r="C211" s="217" t="s">
        <v>182</v>
      </c>
      <c r="D211" s="218">
        <v>1.6</v>
      </c>
      <c r="E211" s="218">
        <v>1730</v>
      </c>
      <c r="F211" s="218">
        <v>564</v>
      </c>
      <c r="G211" s="223">
        <f t="shared" si="13"/>
        <v>50</v>
      </c>
      <c r="H211" s="220">
        <f t="shared" si="14"/>
        <v>1384</v>
      </c>
      <c r="I211" s="224">
        <v>1318.09523809524</v>
      </c>
      <c r="J211" s="224">
        <v>65.9047619047619</v>
      </c>
      <c r="K211" s="218">
        <v>1384</v>
      </c>
      <c r="L211" s="225"/>
      <c r="M211" s="225"/>
      <c r="N211" s="225">
        <f t="shared" si="12"/>
        <v>481.6</v>
      </c>
    </row>
    <row r="212" ht="15.2" spans="1:14">
      <c r="A212" s="219">
        <v>44963</v>
      </c>
      <c r="B212" s="216" t="s">
        <v>181</v>
      </c>
      <c r="C212" s="217" t="s">
        <v>87</v>
      </c>
      <c r="D212" s="218">
        <v>1.2</v>
      </c>
      <c r="E212" s="218">
        <v>780</v>
      </c>
      <c r="F212" s="218">
        <v>299</v>
      </c>
      <c r="G212" s="223">
        <f t="shared" si="13"/>
        <v>50</v>
      </c>
      <c r="H212" s="220">
        <f t="shared" si="14"/>
        <v>468</v>
      </c>
      <c r="I212" s="224">
        <v>445.714285714286</v>
      </c>
      <c r="J212" s="224">
        <v>22.2857142857143</v>
      </c>
      <c r="K212" s="218">
        <v>468</v>
      </c>
      <c r="L212" s="225"/>
      <c r="M212" s="225"/>
      <c r="N212" s="225">
        <f t="shared" si="12"/>
        <v>109.2</v>
      </c>
    </row>
    <row r="213" ht="15.2" spans="1:14">
      <c r="A213" s="219">
        <v>44963</v>
      </c>
      <c r="B213" s="216" t="s">
        <v>181</v>
      </c>
      <c r="C213" s="217" t="s">
        <v>128</v>
      </c>
      <c r="D213" s="218">
        <v>1.2</v>
      </c>
      <c r="E213" s="218">
        <v>980</v>
      </c>
      <c r="F213" s="218">
        <v>262.5</v>
      </c>
      <c r="G213" s="223">
        <f t="shared" si="13"/>
        <v>50</v>
      </c>
      <c r="H213" s="220">
        <f t="shared" si="14"/>
        <v>588</v>
      </c>
      <c r="I213" s="224">
        <v>560</v>
      </c>
      <c r="J213" s="224">
        <v>28</v>
      </c>
      <c r="K213" s="218">
        <v>588</v>
      </c>
      <c r="L213" s="225"/>
      <c r="M213" s="225"/>
      <c r="N213" s="225">
        <f t="shared" si="12"/>
        <v>273</v>
      </c>
    </row>
    <row r="214" ht="15.2" spans="1:14">
      <c r="A214" s="219">
        <v>44963</v>
      </c>
      <c r="B214" s="216" t="s">
        <v>181</v>
      </c>
      <c r="C214" s="217">
        <v>8907686837703</v>
      </c>
      <c r="D214" s="218">
        <v>1</v>
      </c>
      <c r="E214" s="218">
        <v>2299</v>
      </c>
      <c r="F214" s="218">
        <v>1517.34</v>
      </c>
      <c r="G214" s="223">
        <f t="shared" si="13"/>
        <v>69.9869508481949</v>
      </c>
      <c r="H214" s="220">
        <f t="shared" si="14"/>
        <v>1609</v>
      </c>
      <c r="I214" s="224"/>
      <c r="J214" s="224"/>
      <c r="K214" s="218">
        <v>690</v>
      </c>
      <c r="L214" s="225"/>
      <c r="M214" s="225"/>
      <c r="N214" s="225">
        <f t="shared" ref="N214:N277" si="15">K214-(D214*F214)</f>
        <v>-827.34</v>
      </c>
    </row>
    <row r="215" ht="15.2" spans="1:14">
      <c r="A215" s="219">
        <v>44963</v>
      </c>
      <c r="B215" s="216" t="s">
        <v>181</v>
      </c>
      <c r="C215" s="217">
        <v>8907538730930</v>
      </c>
      <c r="D215" s="218">
        <v>1</v>
      </c>
      <c r="E215" s="218">
        <v>1999</v>
      </c>
      <c r="F215" s="218">
        <v>1319.34</v>
      </c>
      <c r="G215" s="223">
        <f t="shared" si="13"/>
        <v>69.9849924962481</v>
      </c>
      <c r="H215" s="220">
        <f t="shared" si="14"/>
        <v>1399</v>
      </c>
      <c r="I215" s="224"/>
      <c r="J215" s="224"/>
      <c r="K215" s="218">
        <v>600</v>
      </c>
      <c r="L215" s="225"/>
      <c r="M215" s="225"/>
      <c r="N215" s="225">
        <f t="shared" si="15"/>
        <v>-719.34</v>
      </c>
    </row>
    <row r="216" ht="15.2" spans="1:14">
      <c r="A216" s="219">
        <v>44963</v>
      </c>
      <c r="B216" s="216" t="s">
        <v>181</v>
      </c>
      <c r="C216" s="217">
        <v>8907259344362</v>
      </c>
      <c r="D216" s="218">
        <v>1</v>
      </c>
      <c r="E216" s="218">
        <v>3599</v>
      </c>
      <c r="F216" s="218">
        <v>2375.34</v>
      </c>
      <c r="G216" s="223">
        <f t="shared" si="13"/>
        <v>69.9916643512087</v>
      </c>
      <c r="H216" s="220">
        <f t="shared" si="14"/>
        <v>2519</v>
      </c>
      <c r="I216" s="224"/>
      <c r="J216" s="224"/>
      <c r="K216" s="218">
        <v>1080</v>
      </c>
      <c r="L216" s="225"/>
      <c r="M216" s="225">
        <v>4810</v>
      </c>
      <c r="N216" s="225">
        <f t="shared" si="15"/>
        <v>-1295.34</v>
      </c>
    </row>
    <row r="217" ht="15.2" spans="1:14">
      <c r="A217" s="219"/>
      <c r="B217" s="216"/>
      <c r="C217" s="217"/>
      <c r="D217" s="218"/>
      <c r="E217" s="220"/>
      <c r="F217" s="221"/>
      <c r="G217" s="223"/>
      <c r="H217" s="220"/>
      <c r="I217" s="224"/>
      <c r="J217" s="224"/>
      <c r="K217" s="220"/>
      <c r="L217" s="225"/>
      <c r="M217" s="225"/>
      <c r="N217" s="225"/>
    </row>
    <row r="218" ht="15.2" spans="1:14">
      <c r="A218" s="219">
        <v>44963</v>
      </c>
      <c r="B218" s="216" t="s">
        <v>183</v>
      </c>
      <c r="C218" s="217" t="s">
        <v>184</v>
      </c>
      <c r="D218" s="218">
        <v>2.2</v>
      </c>
      <c r="E218" s="218">
        <v>830</v>
      </c>
      <c r="F218" s="218">
        <v>283</v>
      </c>
      <c r="G218" s="223">
        <f t="shared" si="13"/>
        <v>50</v>
      </c>
      <c r="H218" s="220">
        <f t="shared" si="14"/>
        <v>913</v>
      </c>
      <c r="I218" s="224">
        <v>869.52380952381</v>
      </c>
      <c r="J218" s="224">
        <v>43.4761904761905</v>
      </c>
      <c r="K218" s="220">
        <v>913</v>
      </c>
      <c r="L218" s="225"/>
      <c r="M218" s="225">
        <v>913</v>
      </c>
      <c r="N218" s="225">
        <f t="shared" si="15"/>
        <v>290.4</v>
      </c>
    </row>
    <row r="219" ht="15.2" spans="1:14">
      <c r="A219" s="219"/>
      <c r="B219" s="216"/>
      <c r="C219" s="217"/>
      <c r="D219" s="218"/>
      <c r="E219" s="220"/>
      <c r="F219" s="221"/>
      <c r="G219" s="223"/>
      <c r="H219" s="220"/>
      <c r="I219" s="224"/>
      <c r="J219" s="224"/>
      <c r="K219" s="220"/>
      <c r="L219" s="225"/>
      <c r="M219" s="225"/>
      <c r="N219" s="225"/>
    </row>
    <row r="220" ht="15.2" spans="1:14">
      <c r="A220" s="219">
        <v>44963</v>
      </c>
      <c r="B220" s="216" t="s">
        <v>185</v>
      </c>
      <c r="C220" s="217" t="s">
        <v>186</v>
      </c>
      <c r="D220" s="218">
        <v>1.3</v>
      </c>
      <c r="E220" s="218">
        <v>820</v>
      </c>
      <c r="F220" s="218">
        <v>299</v>
      </c>
      <c r="G220" s="223">
        <f t="shared" si="13"/>
        <v>45.1219512195122</v>
      </c>
      <c r="H220" s="220">
        <f t="shared" si="14"/>
        <v>481</v>
      </c>
      <c r="I220" s="224">
        <v>557.142857142857</v>
      </c>
      <c r="J220" s="224">
        <v>27.8571428571429</v>
      </c>
      <c r="K220" s="218">
        <v>585</v>
      </c>
      <c r="L220" s="225"/>
      <c r="M220" s="225"/>
      <c r="N220" s="225">
        <f t="shared" si="15"/>
        <v>196.3</v>
      </c>
    </row>
    <row r="221" ht="15.2" spans="1:14">
      <c r="A221" s="219">
        <v>44963</v>
      </c>
      <c r="B221" s="216" t="s">
        <v>185</v>
      </c>
      <c r="C221" s="217" t="s">
        <v>187</v>
      </c>
      <c r="D221" s="218">
        <v>1.2</v>
      </c>
      <c r="E221" s="218">
        <v>980</v>
      </c>
      <c r="F221" s="218">
        <v>351</v>
      </c>
      <c r="G221" s="223">
        <f t="shared" si="13"/>
        <v>48.9795918367347</v>
      </c>
      <c r="H221" s="220">
        <f t="shared" si="14"/>
        <v>576</v>
      </c>
      <c r="I221" s="224">
        <v>571.428571428571</v>
      </c>
      <c r="J221" s="224">
        <v>28.5714285714286</v>
      </c>
      <c r="K221" s="218">
        <v>600</v>
      </c>
      <c r="L221" s="225"/>
      <c r="M221" s="225"/>
      <c r="N221" s="225">
        <f t="shared" si="15"/>
        <v>178.8</v>
      </c>
    </row>
    <row r="222" ht="15.2" spans="1:14">
      <c r="A222" s="219">
        <v>44963</v>
      </c>
      <c r="B222" s="216" t="s">
        <v>185</v>
      </c>
      <c r="C222" s="217" t="s">
        <v>173</v>
      </c>
      <c r="D222" s="218">
        <v>1.6</v>
      </c>
      <c r="E222" s="218">
        <v>950</v>
      </c>
      <c r="F222" s="218">
        <v>321.47</v>
      </c>
      <c r="G222" s="223">
        <f t="shared" si="13"/>
        <v>50</v>
      </c>
      <c r="H222" s="220">
        <f t="shared" si="14"/>
        <v>760</v>
      </c>
      <c r="I222" s="224">
        <v>723.809523809524</v>
      </c>
      <c r="J222" s="224">
        <v>36.1904761904762</v>
      </c>
      <c r="K222" s="218">
        <v>760</v>
      </c>
      <c r="L222" s="225"/>
      <c r="M222" s="225"/>
      <c r="N222" s="225">
        <f t="shared" si="15"/>
        <v>245.648</v>
      </c>
    </row>
    <row r="223" ht="15.2" spans="1:14">
      <c r="A223" s="219">
        <v>44963</v>
      </c>
      <c r="B223" s="216" t="s">
        <v>185</v>
      </c>
      <c r="C223" s="217" t="s">
        <v>148</v>
      </c>
      <c r="D223" s="218">
        <v>1.6</v>
      </c>
      <c r="E223" s="218">
        <v>1470</v>
      </c>
      <c r="F223" s="218">
        <v>502</v>
      </c>
      <c r="G223" s="223">
        <f t="shared" si="13"/>
        <v>49.6598639455782</v>
      </c>
      <c r="H223" s="220">
        <f t="shared" si="14"/>
        <v>1168</v>
      </c>
      <c r="I223" s="224">
        <v>1127.61904761905</v>
      </c>
      <c r="J223" s="224">
        <v>56.3809523809524</v>
      </c>
      <c r="K223" s="218">
        <v>1184</v>
      </c>
      <c r="L223" s="225"/>
      <c r="M223" s="225"/>
      <c r="N223" s="225">
        <f t="shared" si="15"/>
        <v>380.8</v>
      </c>
    </row>
    <row r="224" ht="15.2" spans="1:14">
      <c r="A224" s="219">
        <v>44963</v>
      </c>
      <c r="B224" s="216" t="s">
        <v>185</v>
      </c>
      <c r="C224" s="217" t="s">
        <v>188</v>
      </c>
      <c r="D224" s="218">
        <v>1.6</v>
      </c>
      <c r="E224" s="218">
        <v>1130</v>
      </c>
      <c r="F224" s="218">
        <v>359</v>
      </c>
      <c r="G224" s="223">
        <f t="shared" si="13"/>
        <v>50</v>
      </c>
      <c r="H224" s="220">
        <f t="shared" si="14"/>
        <v>904</v>
      </c>
      <c r="I224" s="224">
        <v>860.952380952381</v>
      </c>
      <c r="J224" s="224">
        <v>43.0476190476191</v>
      </c>
      <c r="K224" s="218">
        <v>904</v>
      </c>
      <c r="L224" s="225"/>
      <c r="M224" s="225">
        <v>4033</v>
      </c>
      <c r="N224" s="225">
        <f t="shared" si="15"/>
        <v>329.6</v>
      </c>
    </row>
    <row r="225" ht="15.2" spans="1:14">
      <c r="A225" s="219"/>
      <c r="B225" s="216"/>
      <c r="C225" s="217"/>
      <c r="D225" s="218"/>
      <c r="E225" s="220"/>
      <c r="F225" s="221"/>
      <c r="G225" s="223"/>
      <c r="H225" s="220"/>
      <c r="I225" s="224"/>
      <c r="J225" s="224"/>
      <c r="K225" s="220"/>
      <c r="L225" s="225"/>
      <c r="M225" s="225"/>
      <c r="N225" s="225"/>
    </row>
    <row r="226" ht="15.2" spans="1:14">
      <c r="A226" s="219">
        <v>44963</v>
      </c>
      <c r="B226" s="216" t="s">
        <v>189</v>
      </c>
      <c r="C226" s="217" t="s">
        <v>190</v>
      </c>
      <c r="D226" s="218">
        <v>1.2</v>
      </c>
      <c r="E226" s="218">
        <v>2230</v>
      </c>
      <c r="F226" s="218">
        <v>702</v>
      </c>
      <c r="G226" s="223">
        <f t="shared" si="13"/>
        <v>50</v>
      </c>
      <c r="H226" s="220">
        <f t="shared" si="14"/>
        <v>1338</v>
      </c>
      <c r="I226" s="224">
        <v>1274.28571428571</v>
      </c>
      <c r="J226" s="224">
        <v>63.7142857142857</v>
      </c>
      <c r="K226" s="218">
        <v>1338</v>
      </c>
      <c r="L226" s="225"/>
      <c r="M226" s="225"/>
      <c r="N226" s="225">
        <f t="shared" si="15"/>
        <v>495.6</v>
      </c>
    </row>
    <row r="227" ht="15.2" spans="1:14">
      <c r="A227" s="219">
        <v>44963</v>
      </c>
      <c r="B227" s="216" t="s">
        <v>189</v>
      </c>
      <c r="C227" s="217" t="s">
        <v>155</v>
      </c>
      <c r="D227" s="218">
        <v>1.6</v>
      </c>
      <c r="E227" s="218">
        <v>1130</v>
      </c>
      <c r="F227" s="218">
        <v>359</v>
      </c>
      <c r="G227" s="223">
        <f t="shared" si="13"/>
        <v>49.5575221238938</v>
      </c>
      <c r="H227" s="220">
        <f t="shared" si="14"/>
        <v>896</v>
      </c>
      <c r="I227" s="224">
        <v>868.571428571429</v>
      </c>
      <c r="J227" s="224">
        <v>43.4285714285714</v>
      </c>
      <c r="K227" s="218">
        <v>912</v>
      </c>
      <c r="L227" s="225"/>
      <c r="M227" s="225"/>
      <c r="N227" s="225">
        <f t="shared" si="15"/>
        <v>337.6</v>
      </c>
    </row>
    <row r="228" ht="15.2" spans="1:14">
      <c r="A228" s="219">
        <v>44963</v>
      </c>
      <c r="B228" s="216" t="s">
        <v>189</v>
      </c>
      <c r="C228" s="217">
        <v>8907538637697</v>
      </c>
      <c r="D228" s="218">
        <v>1</v>
      </c>
      <c r="E228" s="218">
        <v>1699</v>
      </c>
      <c r="F228" s="218">
        <v>1121.34</v>
      </c>
      <c r="G228" s="223">
        <f t="shared" si="13"/>
        <v>69.9823425544438</v>
      </c>
      <c r="H228" s="220">
        <f t="shared" si="14"/>
        <v>1189</v>
      </c>
      <c r="I228" s="224"/>
      <c r="J228" s="224"/>
      <c r="K228" s="218">
        <v>510</v>
      </c>
      <c r="L228" s="225"/>
      <c r="M228" s="225">
        <v>2760</v>
      </c>
      <c r="N228" s="225">
        <f t="shared" si="15"/>
        <v>-611.34</v>
      </c>
    </row>
    <row r="229" ht="15.2" spans="1:14">
      <c r="A229" s="219"/>
      <c r="B229" s="216"/>
      <c r="C229" s="217"/>
      <c r="D229" s="218"/>
      <c r="E229" s="220"/>
      <c r="F229" s="221"/>
      <c r="G229" s="223"/>
      <c r="H229" s="220"/>
      <c r="I229" s="224"/>
      <c r="J229" s="224"/>
      <c r="K229" s="220"/>
      <c r="L229" s="225"/>
      <c r="M229" s="225"/>
      <c r="N229" s="225"/>
    </row>
    <row r="230" ht="15.2" spans="1:14">
      <c r="A230" s="219">
        <v>44963</v>
      </c>
      <c r="B230" s="216" t="s">
        <v>191</v>
      </c>
      <c r="C230" s="217">
        <v>8907538825636</v>
      </c>
      <c r="D230" s="218">
        <v>1</v>
      </c>
      <c r="E230" s="218">
        <v>2799</v>
      </c>
      <c r="F230" s="218">
        <v>1847.34</v>
      </c>
      <c r="G230" s="223">
        <f t="shared" si="13"/>
        <v>69.989281886388</v>
      </c>
      <c r="H230" s="220">
        <f t="shared" si="14"/>
        <v>1959</v>
      </c>
      <c r="I230" s="224"/>
      <c r="J230" s="224"/>
      <c r="K230" s="218">
        <v>840</v>
      </c>
      <c r="L230" s="225"/>
      <c r="M230" s="225"/>
      <c r="N230" s="225">
        <f t="shared" si="15"/>
        <v>-1007.34</v>
      </c>
    </row>
    <row r="231" ht="15.2" spans="1:14">
      <c r="A231" s="219">
        <v>44963</v>
      </c>
      <c r="B231" s="216" t="s">
        <v>191</v>
      </c>
      <c r="C231" s="217" t="s">
        <v>26</v>
      </c>
      <c r="D231" s="218">
        <v>1.2</v>
      </c>
      <c r="E231" s="218">
        <v>800</v>
      </c>
      <c r="F231" s="218">
        <v>289</v>
      </c>
      <c r="G231" s="223">
        <f t="shared" si="13"/>
        <v>50</v>
      </c>
      <c r="H231" s="220">
        <f t="shared" si="14"/>
        <v>480</v>
      </c>
      <c r="I231" s="224">
        <v>457.142857142857</v>
      </c>
      <c r="J231" s="224">
        <v>22.8571428571429</v>
      </c>
      <c r="K231" s="218">
        <v>480</v>
      </c>
      <c r="L231" s="225"/>
      <c r="M231" s="225">
        <v>1320</v>
      </c>
      <c r="N231" s="225">
        <f t="shared" si="15"/>
        <v>133.2</v>
      </c>
    </row>
    <row r="232" ht="15.2" spans="1:14">
      <c r="A232" s="219"/>
      <c r="B232" s="216"/>
      <c r="C232" s="217"/>
      <c r="D232" s="218"/>
      <c r="E232" s="220"/>
      <c r="F232" s="221"/>
      <c r="G232" s="223"/>
      <c r="H232" s="220"/>
      <c r="I232" s="224"/>
      <c r="J232" s="224"/>
      <c r="K232" s="220"/>
      <c r="L232" s="225"/>
      <c r="M232" s="225"/>
      <c r="N232" s="225"/>
    </row>
    <row r="233" ht="15.2" spans="1:14">
      <c r="A233" s="219">
        <v>44963</v>
      </c>
      <c r="B233" s="216" t="s">
        <v>192</v>
      </c>
      <c r="C233" s="217">
        <v>8904290622770</v>
      </c>
      <c r="D233" s="218">
        <v>1</v>
      </c>
      <c r="E233" s="218">
        <v>9999</v>
      </c>
      <c r="F233" s="218">
        <v>6599.34</v>
      </c>
      <c r="G233" s="223">
        <f t="shared" si="13"/>
        <v>64.996499649965</v>
      </c>
      <c r="H233" s="220">
        <f t="shared" si="14"/>
        <v>6499</v>
      </c>
      <c r="I233" s="224"/>
      <c r="J233" s="224"/>
      <c r="K233" s="220">
        <v>3500</v>
      </c>
      <c r="L233" s="225"/>
      <c r="M233" s="225">
        <v>3500</v>
      </c>
      <c r="N233" s="225">
        <f t="shared" si="15"/>
        <v>-3099.34</v>
      </c>
    </row>
    <row r="234" ht="15.2" spans="1:14">
      <c r="A234" s="219"/>
      <c r="B234" s="216"/>
      <c r="C234" s="217"/>
      <c r="D234" s="218"/>
      <c r="E234" s="220"/>
      <c r="F234" s="221"/>
      <c r="G234" s="223"/>
      <c r="H234" s="220"/>
      <c r="I234" s="224"/>
      <c r="J234" s="224"/>
      <c r="K234" s="220"/>
      <c r="L234" s="225"/>
      <c r="M234" s="225"/>
      <c r="N234" s="225"/>
    </row>
    <row r="235" ht="15.2" spans="1:14">
      <c r="A235" s="226">
        <v>44963</v>
      </c>
      <c r="B235" s="227" t="s">
        <v>193</v>
      </c>
      <c r="C235" s="217">
        <v>8907259790411</v>
      </c>
      <c r="D235" s="218">
        <v>1</v>
      </c>
      <c r="E235" s="218">
        <v>2299</v>
      </c>
      <c r="F235" s="218">
        <v>1517.34</v>
      </c>
      <c r="G235" s="223">
        <f t="shared" si="13"/>
        <v>64.9847759895607</v>
      </c>
      <c r="H235" s="220">
        <f t="shared" si="14"/>
        <v>1494</v>
      </c>
      <c r="I235" s="224"/>
      <c r="J235" s="224"/>
      <c r="K235" s="218">
        <v>805</v>
      </c>
      <c r="L235" s="225"/>
      <c r="M235" s="225"/>
      <c r="N235" s="225">
        <f t="shared" si="15"/>
        <v>-712.34</v>
      </c>
    </row>
    <row r="236" ht="15.2" spans="1:14">
      <c r="A236" s="226">
        <v>44963</v>
      </c>
      <c r="B236" s="227" t="s">
        <v>193</v>
      </c>
      <c r="C236" s="217">
        <v>8904290614805</v>
      </c>
      <c r="D236" s="218">
        <v>1</v>
      </c>
      <c r="E236" s="218">
        <v>2099</v>
      </c>
      <c r="F236" s="218">
        <v>1385.34</v>
      </c>
      <c r="G236" s="223">
        <f t="shared" si="13"/>
        <v>64.9833253930443</v>
      </c>
      <c r="H236" s="220">
        <f t="shared" si="14"/>
        <v>1364</v>
      </c>
      <c r="I236" s="224"/>
      <c r="J236" s="224"/>
      <c r="K236" s="218">
        <v>735</v>
      </c>
      <c r="L236" s="225"/>
      <c r="M236" s="225"/>
      <c r="N236" s="225">
        <f t="shared" si="15"/>
        <v>-650.34</v>
      </c>
    </row>
    <row r="237" ht="15.2" spans="1:14">
      <c r="A237" s="226">
        <v>44963</v>
      </c>
      <c r="B237" s="227" t="s">
        <v>193</v>
      </c>
      <c r="C237" s="217">
        <v>8904290611774</v>
      </c>
      <c r="D237" s="218">
        <v>1</v>
      </c>
      <c r="E237" s="218">
        <v>2799</v>
      </c>
      <c r="F237" s="218">
        <v>1847.34</v>
      </c>
      <c r="G237" s="223">
        <f t="shared" si="13"/>
        <v>64.9874955341193</v>
      </c>
      <c r="H237" s="220">
        <f t="shared" si="14"/>
        <v>1819</v>
      </c>
      <c r="I237" s="224"/>
      <c r="J237" s="224"/>
      <c r="K237" s="218">
        <v>980</v>
      </c>
      <c r="L237" s="225"/>
      <c r="M237" s="225">
        <v>2520</v>
      </c>
      <c r="N237" s="225">
        <f t="shared" si="15"/>
        <v>-867.34</v>
      </c>
    </row>
    <row r="238" ht="15.2" spans="1:14">
      <c r="A238" s="219"/>
      <c r="B238" s="216"/>
      <c r="C238" s="217"/>
      <c r="D238" s="218"/>
      <c r="E238" s="220"/>
      <c r="F238" s="221"/>
      <c r="G238" s="223"/>
      <c r="H238" s="220"/>
      <c r="I238" s="224"/>
      <c r="J238" s="224"/>
      <c r="K238" s="220"/>
      <c r="L238" s="225"/>
      <c r="M238" s="225"/>
      <c r="N238" s="225"/>
    </row>
    <row r="239" ht="15.2" spans="1:14">
      <c r="A239" s="226">
        <v>44964</v>
      </c>
      <c r="B239" s="227" t="s">
        <v>194</v>
      </c>
      <c r="C239" s="217" t="s">
        <v>195</v>
      </c>
      <c r="D239" s="218">
        <v>1.6</v>
      </c>
      <c r="E239" s="220"/>
      <c r="F239" s="218"/>
      <c r="G239" s="223"/>
      <c r="H239" s="220"/>
      <c r="I239" s="224"/>
      <c r="J239" s="224"/>
      <c r="K239" s="220">
        <v>1236</v>
      </c>
      <c r="L239" s="225"/>
      <c r="M239" s="225"/>
      <c r="N239" s="225">
        <f t="shared" si="15"/>
        <v>1236</v>
      </c>
    </row>
    <row r="240" ht="15.2" spans="1:14">
      <c r="A240" s="226">
        <v>44964</v>
      </c>
      <c r="B240" s="227" t="s">
        <v>194</v>
      </c>
      <c r="C240" s="217" t="s">
        <v>196</v>
      </c>
      <c r="D240" s="218">
        <v>1.2</v>
      </c>
      <c r="E240" s="220">
        <v>820</v>
      </c>
      <c r="F240" s="218">
        <v>299</v>
      </c>
      <c r="G240" s="223">
        <f t="shared" si="13"/>
        <v>49.5934959349593</v>
      </c>
      <c r="H240" s="220">
        <f t="shared" si="14"/>
        <v>488</v>
      </c>
      <c r="I240" s="224">
        <v>472.380952380952</v>
      </c>
      <c r="J240" s="224">
        <v>23.6190476190476</v>
      </c>
      <c r="K240" s="220">
        <v>496</v>
      </c>
      <c r="L240" s="225"/>
      <c r="M240" s="225">
        <v>1732</v>
      </c>
      <c r="N240" s="225">
        <f t="shared" si="15"/>
        <v>137.2</v>
      </c>
    </row>
    <row r="241" ht="15.2" spans="1:14">
      <c r="A241" s="219"/>
      <c r="B241" s="216"/>
      <c r="C241" s="217"/>
      <c r="D241" s="218"/>
      <c r="E241" s="220"/>
      <c r="F241" s="218"/>
      <c r="G241" s="223"/>
      <c r="H241" s="220">
        <f t="shared" si="14"/>
        <v>0</v>
      </c>
      <c r="I241" s="224"/>
      <c r="J241" s="224"/>
      <c r="K241" s="220"/>
      <c r="L241" s="225"/>
      <c r="M241" s="225"/>
      <c r="N241" s="225"/>
    </row>
    <row r="242" ht="15.2" spans="1:14">
      <c r="A242" s="226">
        <v>44964</v>
      </c>
      <c r="B242" s="227" t="s">
        <v>197</v>
      </c>
      <c r="C242" s="217" t="s">
        <v>198</v>
      </c>
      <c r="D242" s="218">
        <v>1</v>
      </c>
      <c r="E242" s="220">
        <v>1999</v>
      </c>
      <c r="F242" s="220">
        <v>1319.34</v>
      </c>
      <c r="G242" s="223">
        <f t="shared" si="13"/>
        <v>70</v>
      </c>
      <c r="H242" s="220">
        <f t="shared" si="14"/>
        <v>1399.3</v>
      </c>
      <c r="I242" s="224"/>
      <c r="J242" s="224"/>
      <c r="K242" s="220">
        <v>599.7</v>
      </c>
      <c r="L242" s="225"/>
      <c r="M242" s="225"/>
      <c r="N242" s="225">
        <f t="shared" si="15"/>
        <v>-719.64</v>
      </c>
    </row>
    <row r="243" ht="15.2" spans="1:14">
      <c r="A243" s="226">
        <v>44964</v>
      </c>
      <c r="B243" s="227" t="s">
        <v>197</v>
      </c>
      <c r="C243" s="217">
        <v>8902036516512</v>
      </c>
      <c r="D243" s="218">
        <v>1</v>
      </c>
      <c r="E243" s="220">
        <v>1599</v>
      </c>
      <c r="F243" s="218">
        <v>1055.34</v>
      </c>
      <c r="G243" s="223">
        <f t="shared" si="13"/>
        <v>70</v>
      </c>
      <c r="H243" s="220">
        <f t="shared" si="14"/>
        <v>1119.3</v>
      </c>
      <c r="I243" s="224"/>
      <c r="J243" s="224"/>
      <c r="K243" s="220">
        <v>479.7</v>
      </c>
      <c r="L243" s="225">
        <v>-0.4</v>
      </c>
      <c r="M243" s="225">
        <v>1079</v>
      </c>
      <c r="N243" s="225">
        <f t="shared" si="15"/>
        <v>-575.64</v>
      </c>
    </row>
    <row r="244" ht="15.2" spans="1:14">
      <c r="A244" s="219"/>
      <c r="B244" s="216"/>
      <c r="C244" s="217"/>
      <c r="D244" s="218"/>
      <c r="E244" s="220"/>
      <c r="F244" s="221"/>
      <c r="G244" s="223"/>
      <c r="H244" s="220"/>
      <c r="I244" s="224"/>
      <c r="J244" s="224"/>
      <c r="K244" s="220"/>
      <c r="L244" s="225"/>
      <c r="M244" s="225"/>
      <c r="N244" s="225"/>
    </row>
    <row r="245" ht="15.2" spans="1:14">
      <c r="A245" s="226">
        <v>44964</v>
      </c>
      <c r="B245" s="227" t="s">
        <v>199</v>
      </c>
      <c r="C245" s="217" t="s">
        <v>200</v>
      </c>
      <c r="D245" s="218">
        <v>1.55</v>
      </c>
      <c r="E245" s="218">
        <v>1290</v>
      </c>
      <c r="F245" s="218">
        <v>409</v>
      </c>
      <c r="G245" s="223">
        <f t="shared" si="13"/>
        <v>49.9874968742186</v>
      </c>
      <c r="H245" s="220">
        <f t="shared" si="14"/>
        <v>999.5</v>
      </c>
      <c r="I245" s="224">
        <v>952.380952380952</v>
      </c>
      <c r="J245" s="224">
        <v>47.6190476190476</v>
      </c>
      <c r="K245" s="218">
        <v>1000</v>
      </c>
      <c r="L245" s="225"/>
      <c r="M245" s="225"/>
      <c r="N245" s="225">
        <f t="shared" si="15"/>
        <v>366.05</v>
      </c>
    </row>
    <row r="246" ht="15.2" spans="1:14">
      <c r="A246" s="226">
        <v>44964</v>
      </c>
      <c r="B246" s="227" t="s">
        <v>199</v>
      </c>
      <c r="C246" s="217" t="s">
        <v>201</v>
      </c>
      <c r="D246" s="218">
        <v>1.2</v>
      </c>
      <c r="E246" s="218">
        <v>4850</v>
      </c>
      <c r="F246" s="218">
        <v>1619</v>
      </c>
      <c r="G246" s="223">
        <f t="shared" si="13"/>
        <v>50</v>
      </c>
      <c r="H246" s="220">
        <f t="shared" si="14"/>
        <v>2910</v>
      </c>
      <c r="I246" s="224">
        <v>2771.42857142857</v>
      </c>
      <c r="J246" s="224">
        <v>138.571428571429</v>
      </c>
      <c r="K246" s="218">
        <v>2910</v>
      </c>
      <c r="L246" s="225"/>
      <c r="M246" s="225"/>
      <c r="N246" s="225">
        <f t="shared" si="15"/>
        <v>967.2</v>
      </c>
    </row>
    <row r="247" ht="15.2" spans="1:14">
      <c r="A247" s="226">
        <v>44964</v>
      </c>
      <c r="B247" s="227" t="s">
        <v>199</v>
      </c>
      <c r="C247" s="217" t="s">
        <v>24</v>
      </c>
      <c r="D247" s="218">
        <v>1.2</v>
      </c>
      <c r="E247" s="218">
        <v>1040</v>
      </c>
      <c r="F247" s="218">
        <v>279.3</v>
      </c>
      <c r="G247" s="223">
        <f t="shared" si="13"/>
        <v>49.5192307692308</v>
      </c>
      <c r="H247" s="220">
        <f t="shared" si="14"/>
        <v>618</v>
      </c>
      <c r="I247" s="224">
        <v>600</v>
      </c>
      <c r="J247" s="224">
        <v>30</v>
      </c>
      <c r="K247" s="218">
        <v>630</v>
      </c>
      <c r="L247" s="225"/>
      <c r="M247" s="225">
        <v>4540</v>
      </c>
      <c r="N247" s="225">
        <f t="shared" si="15"/>
        <v>294.84</v>
      </c>
    </row>
    <row r="248" ht="15.2" spans="1:14">
      <c r="A248" s="219"/>
      <c r="B248" s="216"/>
      <c r="C248" s="217"/>
      <c r="D248" s="218"/>
      <c r="E248" s="220"/>
      <c r="F248" s="221"/>
      <c r="G248" s="223"/>
      <c r="H248" s="220"/>
      <c r="I248" s="224"/>
      <c r="J248" s="224"/>
      <c r="K248" s="220"/>
      <c r="L248" s="225"/>
      <c r="M248" s="225"/>
      <c r="N248" s="225"/>
    </row>
    <row r="249" ht="15.2" spans="1:14">
      <c r="A249" s="226">
        <v>44964</v>
      </c>
      <c r="B249" s="227" t="s">
        <v>202</v>
      </c>
      <c r="C249" s="217" t="s">
        <v>203</v>
      </c>
      <c r="D249" s="218">
        <v>1.2</v>
      </c>
      <c r="E249" s="218">
        <v>800</v>
      </c>
      <c r="F249" s="218">
        <v>297</v>
      </c>
      <c r="G249" s="223">
        <f t="shared" si="13"/>
        <v>50</v>
      </c>
      <c r="H249" s="220">
        <f t="shared" si="14"/>
        <v>480</v>
      </c>
      <c r="I249" s="224">
        <v>457.142857142857</v>
      </c>
      <c r="J249" s="224">
        <v>22.8571428571429</v>
      </c>
      <c r="K249" s="218">
        <v>480</v>
      </c>
      <c r="L249" s="225"/>
      <c r="M249" s="225"/>
      <c r="N249" s="225">
        <f t="shared" si="15"/>
        <v>123.6</v>
      </c>
    </row>
    <row r="250" ht="15.2" spans="1:14">
      <c r="A250" s="226">
        <v>44964</v>
      </c>
      <c r="B250" s="227" t="s">
        <v>202</v>
      </c>
      <c r="C250" s="217" t="s">
        <v>204</v>
      </c>
      <c r="D250" s="218">
        <v>1.4</v>
      </c>
      <c r="E250" s="218">
        <v>1070</v>
      </c>
      <c r="F250" s="218">
        <v>399</v>
      </c>
      <c r="G250" s="223">
        <f t="shared" si="13"/>
        <v>50</v>
      </c>
      <c r="H250" s="220">
        <f t="shared" si="14"/>
        <v>749</v>
      </c>
      <c r="I250" s="224">
        <v>713.333333333333</v>
      </c>
      <c r="J250" s="224">
        <v>35.6666666666667</v>
      </c>
      <c r="K250" s="218">
        <v>749</v>
      </c>
      <c r="L250" s="225"/>
      <c r="M250" s="225">
        <v>1229</v>
      </c>
      <c r="N250" s="225">
        <f t="shared" si="15"/>
        <v>190.4</v>
      </c>
    </row>
    <row r="251" ht="15.2" spans="1:14">
      <c r="A251" s="219"/>
      <c r="B251" s="216"/>
      <c r="C251" s="217"/>
      <c r="D251" s="218"/>
      <c r="E251" s="220"/>
      <c r="F251" s="221"/>
      <c r="G251" s="223"/>
      <c r="H251" s="220"/>
      <c r="I251" s="224"/>
      <c r="J251" s="224"/>
      <c r="K251" s="220"/>
      <c r="L251" s="225"/>
      <c r="M251" s="225"/>
      <c r="N251" s="225"/>
    </row>
    <row r="252" ht="15.2" spans="1:14">
      <c r="A252" s="226">
        <v>44964</v>
      </c>
      <c r="B252" s="227" t="s">
        <v>205</v>
      </c>
      <c r="C252" s="217">
        <v>8904290618902</v>
      </c>
      <c r="D252" s="218">
        <v>1</v>
      </c>
      <c r="E252" s="218">
        <v>2499</v>
      </c>
      <c r="F252" s="218">
        <v>1649.34</v>
      </c>
      <c r="G252" s="223">
        <f t="shared" si="13"/>
        <v>69.9879951980792</v>
      </c>
      <c r="H252" s="220">
        <f t="shared" si="14"/>
        <v>1749</v>
      </c>
      <c r="I252" s="224"/>
      <c r="J252" s="224"/>
      <c r="K252" s="218">
        <v>750</v>
      </c>
      <c r="L252" s="225"/>
      <c r="M252" s="225"/>
      <c r="N252" s="225">
        <f t="shared" si="15"/>
        <v>-899.34</v>
      </c>
    </row>
    <row r="253" ht="15.2" spans="1:14">
      <c r="A253" s="226">
        <v>44964</v>
      </c>
      <c r="B253" s="227" t="s">
        <v>205</v>
      </c>
      <c r="C253" s="217">
        <v>8907538825544</v>
      </c>
      <c r="D253" s="218">
        <v>1</v>
      </c>
      <c r="E253" s="218">
        <v>2399</v>
      </c>
      <c r="F253" s="218">
        <v>1583.34</v>
      </c>
      <c r="G253" s="223">
        <f t="shared" si="13"/>
        <v>69.9874947894956</v>
      </c>
      <c r="H253" s="220">
        <f t="shared" si="14"/>
        <v>1679</v>
      </c>
      <c r="I253" s="224"/>
      <c r="J253" s="224"/>
      <c r="K253" s="218">
        <v>720</v>
      </c>
      <c r="L253" s="225"/>
      <c r="M253" s="225"/>
      <c r="N253" s="225">
        <f t="shared" si="15"/>
        <v>-863.34</v>
      </c>
    </row>
    <row r="254" ht="15.2" spans="1:14">
      <c r="A254" s="226">
        <v>44964</v>
      </c>
      <c r="B254" s="227" t="s">
        <v>205</v>
      </c>
      <c r="C254" s="217">
        <v>8907538619754</v>
      </c>
      <c r="D254" s="218">
        <v>1</v>
      </c>
      <c r="E254" s="218">
        <v>1799</v>
      </c>
      <c r="F254" s="218">
        <v>1187.34</v>
      </c>
      <c r="G254" s="223">
        <f t="shared" si="13"/>
        <v>69.9833240689272</v>
      </c>
      <c r="H254" s="220">
        <f t="shared" si="14"/>
        <v>1259</v>
      </c>
      <c r="I254" s="224"/>
      <c r="J254" s="224"/>
      <c r="K254" s="218">
        <v>540</v>
      </c>
      <c r="L254" s="225"/>
      <c r="M254" s="225"/>
      <c r="N254" s="225">
        <f t="shared" si="15"/>
        <v>-647.34</v>
      </c>
    </row>
    <row r="255" ht="15.2" spans="1:14">
      <c r="A255" s="226">
        <v>44964</v>
      </c>
      <c r="B255" s="227" t="s">
        <v>205</v>
      </c>
      <c r="C255" s="217">
        <v>8907538620316</v>
      </c>
      <c r="D255" s="218">
        <v>1</v>
      </c>
      <c r="E255" s="218">
        <v>1799</v>
      </c>
      <c r="F255" s="218">
        <v>1187.34</v>
      </c>
      <c r="G255" s="223">
        <f t="shared" si="13"/>
        <v>69.9833240689272</v>
      </c>
      <c r="H255" s="220">
        <f t="shared" si="14"/>
        <v>1259</v>
      </c>
      <c r="I255" s="224"/>
      <c r="J255" s="224"/>
      <c r="K255" s="218">
        <v>540</v>
      </c>
      <c r="L255" s="225"/>
      <c r="M255" s="225"/>
      <c r="N255" s="225">
        <f t="shared" si="15"/>
        <v>-647.34</v>
      </c>
    </row>
    <row r="256" ht="15.2" spans="1:14">
      <c r="A256" s="226">
        <v>44964</v>
      </c>
      <c r="B256" s="227" t="s">
        <v>205</v>
      </c>
      <c r="C256" s="217">
        <v>8904290614041</v>
      </c>
      <c r="D256" s="218">
        <v>1</v>
      </c>
      <c r="E256" s="218">
        <v>1899</v>
      </c>
      <c r="F256" s="218">
        <v>1253.34</v>
      </c>
      <c r="G256" s="223">
        <f t="shared" si="13"/>
        <v>69.9842022116904</v>
      </c>
      <c r="H256" s="220">
        <f t="shared" si="14"/>
        <v>1329</v>
      </c>
      <c r="I256" s="224"/>
      <c r="J256" s="224"/>
      <c r="K256" s="218">
        <v>570</v>
      </c>
      <c r="L256" s="225"/>
      <c r="M256" s="225">
        <v>3120</v>
      </c>
      <c r="N256" s="225">
        <f t="shared" si="15"/>
        <v>-683.34</v>
      </c>
    </row>
    <row r="257" ht="15.2" spans="1:14">
      <c r="A257" s="219"/>
      <c r="B257" s="216"/>
      <c r="C257" s="217"/>
      <c r="D257" s="218"/>
      <c r="E257" s="220"/>
      <c r="F257" s="221"/>
      <c r="G257" s="223"/>
      <c r="H257" s="220"/>
      <c r="I257" s="224"/>
      <c r="J257" s="224"/>
      <c r="K257" s="220"/>
      <c r="L257" s="225"/>
      <c r="M257" s="225"/>
      <c r="N257" s="225"/>
    </row>
    <row r="258" ht="15.2" spans="1:14">
      <c r="A258" s="226">
        <v>44964</v>
      </c>
      <c r="B258" s="227" t="s">
        <v>206</v>
      </c>
      <c r="C258" s="217" t="s">
        <v>207</v>
      </c>
      <c r="D258" s="218">
        <v>1.2</v>
      </c>
      <c r="E258" s="218">
        <v>1500</v>
      </c>
      <c r="F258" s="218">
        <v>540</v>
      </c>
      <c r="G258" s="223">
        <f t="shared" si="13"/>
        <v>50</v>
      </c>
      <c r="H258" s="220">
        <f t="shared" si="14"/>
        <v>900</v>
      </c>
      <c r="I258" s="224">
        <v>857.142857142857</v>
      </c>
      <c r="J258" s="224">
        <v>42.8571428571429</v>
      </c>
      <c r="K258" s="218">
        <v>900</v>
      </c>
      <c r="L258" s="225"/>
      <c r="M258" s="225"/>
      <c r="N258" s="225">
        <f t="shared" si="15"/>
        <v>252</v>
      </c>
    </row>
    <row r="259" ht="15.2" spans="1:14">
      <c r="A259" s="226">
        <v>44964</v>
      </c>
      <c r="B259" s="227" t="s">
        <v>206</v>
      </c>
      <c r="C259" s="217" t="s">
        <v>21</v>
      </c>
      <c r="D259" s="218">
        <v>1.8</v>
      </c>
      <c r="E259" s="218">
        <v>1000</v>
      </c>
      <c r="F259" s="218">
        <v>353</v>
      </c>
      <c r="G259" s="223">
        <f t="shared" si="13"/>
        <v>50</v>
      </c>
      <c r="H259" s="220">
        <f t="shared" si="14"/>
        <v>900</v>
      </c>
      <c r="I259" s="224">
        <v>857.142857142857</v>
      </c>
      <c r="J259" s="224">
        <v>42.8571428571429</v>
      </c>
      <c r="K259" s="218">
        <v>900</v>
      </c>
      <c r="L259" s="225"/>
      <c r="M259" s="225"/>
      <c r="N259" s="225">
        <f t="shared" si="15"/>
        <v>264.6</v>
      </c>
    </row>
    <row r="260" ht="15.2" spans="1:14">
      <c r="A260" s="226">
        <v>44964</v>
      </c>
      <c r="B260" s="227" t="s">
        <v>206</v>
      </c>
      <c r="C260" s="217" t="s">
        <v>16</v>
      </c>
      <c r="D260" s="218">
        <v>1.8</v>
      </c>
      <c r="E260" s="218">
        <v>820</v>
      </c>
      <c r="F260" s="218">
        <v>299</v>
      </c>
      <c r="G260" s="223">
        <f t="shared" si="13"/>
        <v>50</v>
      </c>
      <c r="H260" s="220">
        <f t="shared" si="14"/>
        <v>738</v>
      </c>
      <c r="I260" s="224">
        <v>702.857142857143</v>
      </c>
      <c r="J260" s="224">
        <v>35.1428571428571</v>
      </c>
      <c r="K260" s="218">
        <v>738</v>
      </c>
      <c r="L260" s="225"/>
      <c r="M260" s="225"/>
      <c r="N260" s="225">
        <f t="shared" si="15"/>
        <v>199.8</v>
      </c>
    </row>
    <row r="261" ht="15.2" spans="1:14">
      <c r="A261" s="226">
        <v>44964</v>
      </c>
      <c r="B261" s="227" t="s">
        <v>206</v>
      </c>
      <c r="C261" s="217" t="s">
        <v>208</v>
      </c>
      <c r="D261" s="218">
        <v>1.8</v>
      </c>
      <c r="E261" s="218">
        <v>1460</v>
      </c>
      <c r="F261" s="218">
        <v>525</v>
      </c>
      <c r="G261" s="223">
        <f t="shared" si="13"/>
        <v>50</v>
      </c>
      <c r="H261" s="220">
        <f t="shared" si="14"/>
        <v>1314</v>
      </c>
      <c r="I261" s="224">
        <v>1251.42857142857</v>
      </c>
      <c r="J261" s="224">
        <v>62.5714285714286</v>
      </c>
      <c r="K261" s="218">
        <v>1314</v>
      </c>
      <c r="L261" s="225"/>
      <c r="M261" s="225"/>
      <c r="N261" s="225">
        <f t="shared" si="15"/>
        <v>369</v>
      </c>
    </row>
    <row r="262" ht="15.2" spans="1:14">
      <c r="A262" s="226">
        <v>44964</v>
      </c>
      <c r="B262" s="227" t="s">
        <v>206</v>
      </c>
      <c r="C262" s="217" t="s">
        <v>209</v>
      </c>
      <c r="D262" s="218">
        <v>1.2</v>
      </c>
      <c r="E262" s="218">
        <v>960</v>
      </c>
      <c r="F262" s="218">
        <v>349</v>
      </c>
      <c r="G262" s="223">
        <f t="shared" si="13"/>
        <v>50</v>
      </c>
      <c r="H262" s="220">
        <f t="shared" si="14"/>
        <v>576</v>
      </c>
      <c r="I262" s="224">
        <v>548.571428571429</v>
      </c>
      <c r="J262" s="224">
        <v>27.4285714285714</v>
      </c>
      <c r="K262" s="218">
        <v>576</v>
      </c>
      <c r="L262" s="225"/>
      <c r="M262" s="225"/>
      <c r="N262" s="225">
        <f t="shared" si="15"/>
        <v>157.2</v>
      </c>
    </row>
    <row r="263" ht="15.2" spans="1:14">
      <c r="A263" s="226">
        <v>44964</v>
      </c>
      <c r="B263" s="227" t="s">
        <v>206</v>
      </c>
      <c r="C263" s="217">
        <v>8907686325842</v>
      </c>
      <c r="D263" s="218">
        <v>1</v>
      </c>
      <c r="E263" s="218">
        <v>1999</v>
      </c>
      <c r="F263" s="218">
        <v>1319.34</v>
      </c>
      <c r="G263" s="223">
        <f t="shared" si="13"/>
        <v>64.9824912456228</v>
      </c>
      <c r="H263" s="220">
        <f t="shared" si="14"/>
        <v>1299</v>
      </c>
      <c r="I263" s="224"/>
      <c r="J263" s="224"/>
      <c r="K263" s="218">
        <v>700</v>
      </c>
      <c r="L263" s="225"/>
      <c r="M263" s="225"/>
      <c r="N263" s="225">
        <f t="shared" si="15"/>
        <v>-619.34</v>
      </c>
    </row>
    <row r="264" ht="15.2" spans="1:14">
      <c r="A264" s="226">
        <v>44964</v>
      </c>
      <c r="B264" s="227" t="s">
        <v>206</v>
      </c>
      <c r="C264" s="217">
        <v>8907378981394</v>
      </c>
      <c r="D264" s="218">
        <v>1</v>
      </c>
      <c r="E264" s="218">
        <v>699</v>
      </c>
      <c r="F264" s="218">
        <v>461.34</v>
      </c>
      <c r="G264" s="223">
        <f t="shared" si="13"/>
        <v>64.9499284692418</v>
      </c>
      <c r="H264" s="220">
        <f t="shared" si="14"/>
        <v>454</v>
      </c>
      <c r="I264" s="224"/>
      <c r="J264" s="224"/>
      <c r="K264" s="218">
        <v>245</v>
      </c>
      <c r="L264" s="225"/>
      <c r="M264" s="225"/>
      <c r="N264" s="225">
        <f t="shared" si="15"/>
        <v>-216.34</v>
      </c>
    </row>
    <row r="265" ht="15.2" spans="1:14">
      <c r="A265" s="226">
        <v>44964</v>
      </c>
      <c r="B265" s="227" t="s">
        <v>206</v>
      </c>
      <c r="C265" s="217">
        <v>8907538651600</v>
      </c>
      <c r="D265" s="218">
        <v>1</v>
      </c>
      <c r="E265" s="218">
        <v>999</v>
      </c>
      <c r="F265" s="218">
        <v>659.34</v>
      </c>
      <c r="G265" s="223">
        <f t="shared" si="13"/>
        <v>64.964964964965</v>
      </c>
      <c r="H265" s="220">
        <f t="shared" si="14"/>
        <v>649</v>
      </c>
      <c r="I265" s="224"/>
      <c r="J265" s="224"/>
      <c r="K265" s="218">
        <v>350</v>
      </c>
      <c r="L265" s="225"/>
      <c r="M265" s="225">
        <v>5723</v>
      </c>
      <c r="N265" s="225">
        <f t="shared" si="15"/>
        <v>-309.34</v>
      </c>
    </row>
    <row r="266" ht="15.2" spans="1:14">
      <c r="A266" s="219"/>
      <c r="B266" s="216"/>
      <c r="C266" s="217"/>
      <c r="D266" s="218"/>
      <c r="E266" s="220"/>
      <c r="F266" s="221"/>
      <c r="G266" s="223"/>
      <c r="H266" s="220"/>
      <c r="I266" s="224"/>
      <c r="J266" s="224"/>
      <c r="K266" s="220"/>
      <c r="L266" s="225"/>
      <c r="M266" s="225"/>
      <c r="N266" s="225"/>
    </row>
    <row r="267" ht="15.2" spans="1:14">
      <c r="A267" s="226">
        <v>44964</v>
      </c>
      <c r="B267" s="227" t="s">
        <v>210</v>
      </c>
      <c r="C267" s="217">
        <v>8904290615772</v>
      </c>
      <c r="D267" s="218">
        <v>1</v>
      </c>
      <c r="E267" s="218">
        <v>1999</v>
      </c>
      <c r="F267" s="218">
        <v>1319.34</v>
      </c>
      <c r="G267" s="223">
        <f t="shared" si="13"/>
        <v>64.9824912456228</v>
      </c>
      <c r="H267" s="220">
        <f t="shared" si="14"/>
        <v>1299</v>
      </c>
      <c r="I267" s="224"/>
      <c r="J267" s="224"/>
      <c r="K267" s="218">
        <v>700</v>
      </c>
      <c r="L267" s="225"/>
      <c r="M267" s="225"/>
      <c r="N267" s="225">
        <f t="shared" si="15"/>
        <v>-619.34</v>
      </c>
    </row>
    <row r="268" ht="15.2" spans="1:14">
      <c r="A268" s="226">
        <v>44964</v>
      </c>
      <c r="B268" s="227" t="s">
        <v>210</v>
      </c>
      <c r="C268" s="217">
        <v>8904290615956</v>
      </c>
      <c r="D268" s="218">
        <v>1</v>
      </c>
      <c r="E268" s="218">
        <v>2299</v>
      </c>
      <c r="F268" s="218">
        <v>1517.34</v>
      </c>
      <c r="G268" s="223">
        <f t="shared" si="13"/>
        <v>64.9847759895607</v>
      </c>
      <c r="H268" s="220">
        <f t="shared" si="14"/>
        <v>1494</v>
      </c>
      <c r="I268" s="224"/>
      <c r="J268" s="224"/>
      <c r="K268" s="218">
        <v>805</v>
      </c>
      <c r="L268" s="225"/>
      <c r="M268" s="225">
        <v>1505</v>
      </c>
      <c r="N268" s="225">
        <f t="shared" si="15"/>
        <v>-712.34</v>
      </c>
    </row>
    <row r="269" ht="15.2" spans="1:14">
      <c r="A269" s="219"/>
      <c r="B269" s="216"/>
      <c r="C269" s="217"/>
      <c r="D269" s="218"/>
      <c r="E269" s="220"/>
      <c r="F269" s="221"/>
      <c r="G269" s="223"/>
      <c r="H269" s="220"/>
      <c r="I269" s="224"/>
      <c r="J269" s="224"/>
      <c r="K269" s="220"/>
      <c r="L269" s="225"/>
      <c r="M269" s="225"/>
      <c r="N269" s="225"/>
    </row>
    <row r="270" ht="15.2" spans="1:14">
      <c r="A270" s="226">
        <v>44964</v>
      </c>
      <c r="B270" s="227" t="s">
        <v>211</v>
      </c>
      <c r="C270" s="217" t="s">
        <v>207</v>
      </c>
      <c r="D270" s="218">
        <v>1.2</v>
      </c>
      <c r="E270" s="218">
        <v>1500</v>
      </c>
      <c r="F270" s="218">
        <v>540</v>
      </c>
      <c r="G270" s="223">
        <f t="shared" si="13"/>
        <v>50</v>
      </c>
      <c r="H270" s="220">
        <f t="shared" si="14"/>
        <v>900</v>
      </c>
      <c r="I270" s="224">
        <v>857.142857142857</v>
      </c>
      <c r="J270" s="224">
        <v>42.8571428571429</v>
      </c>
      <c r="K270" s="218">
        <v>900</v>
      </c>
      <c r="L270" s="225"/>
      <c r="M270" s="225"/>
      <c r="N270" s="225">
        <f t="shared" si="15"/>
        <v>252</v>
      </c>
    </row>
    <row r="271" ht="15.2" spans="1:14">
      <c r="A271" s="226">
        <v>44964</v>
      </c>
      <c r="B271" s="227" t="s">
        <v>211</v>
      </c>
      <c r="C271" s="217" t="s">
        <v>212</v>
      </c>
      <c r="D271" s="218">
        <v>1.45</v>
      </c>
      <c r="E271" s="218">
        <v>710</v>
      </c>
      <c r="F271" s="218">
        <v>283</v>
      </c>
      <c r="G271" s="223">
        <f t="shared" ref="G271:G332" si="16">(H271*100)/(E271*D271)</f>
        <v>49.9757163671685</v>
      </c>
      <c r="H271" s="220">
        <f t="shared" ref="H271:H332" si="17">D271*E271-K271</f>
        <v>514.5</v>
      </c>
      <c r="I271" s="224">
        <v>490.47619047619</v>
      </c>
      <c r="J271" s="224">
        <v>24.5238095238095</v>
      </c>
      <c r="K271" s="218">
        <v>515</v>
      </c>
      <c r="L271" s="225"/>
      <c r="M271" s="225">
        <v>1415</v>
      </c>
      <c r="N271" s="225">
        <f t="shared" si="15"/>
        <v>104.65</v>
      </c>
    </row>
    <row r="272" ht="15.2" spans="1:14">
      <c r="A272" s="219"/>
      <c r="B272" s="216"/>
      <c r="C272" s="217"/>
      <c r="D272" s="218"/>
      <c r="E272" s="220"/>
      <c r="F272" s="221"/>
      <c r="G272" s="223"/>
      <c r="H272" s="220"/>
      <c r="I272" s="224"/>
      <c r="J272" s="224"/>
      <c r="K272" s="220"/>
      <c r="L272" s="225"/>
      <c r="M272" s="225"/>
      <c r="N272" s="225"/>
    </row>
    <row r="273" ht="15.2" spans="1:14">
      <c r="A273" s="226">
        <v>44964</v>
      </c>
      <c r="B273" s="227" t="s">
        <v>213</v>
      </c>
      <c r="C273" s="217">
        <v>8904290618445</v>
      </c>
      <c r="D273" s="218">
        <v>1</v>
      </c>
      <c r="E273" s="218">
        <v>2099</v>
      </c>
      <c r="F273" s="218">
        <v>1385.34</v>
      </c>
      <c r="G273" s="223">
        <f t="shared" si="16"/>
        <v>69.9857074797523</v>
      </c>
      <c r="H273" s="220">
        <f t="shared" si="17"/>
        <v>1469</v>
      </c>
      <c r="I273" s="224"/>
      <c r="J273" s="224"/>
      <c r="K273" s="218">
        <v>630</v>
      </c>
      <c r="L273" s="225"/>
      <c r="M273" s="225"/>
      <c r="N273" s="225">
        <f t="shared" si="15"/>
        <v>-755.34</v>
      </c>
    </row>
    <row r="274" ht="15.2" spans="1:14">
      <c r="A274" s="226">
        <v>44964</v>
      </c>
      <c r="B274" s="227" t="s">
        <v>213</v>
      </c>
      <c r="C274" s="217">
        <v>8904290618360</v>
      </c>
      <c r="D274" s="218">
        <v>1</v>
      </c>
      <c r="E274" s="218">
        <v>2099</v>
      </c>
      <c r="F274" s="218">
        <v>1385.34</v>
      </c>
      <c r="G274" s="223">
        <f t="shared" si="16"/>
        <v>69.9857074797523</v>
      </c>
      <c r="H274" s="220">
        <f t="shared" si="17"/>
        <v>1469</v>
      </c>
      <c r="I274" s="224"/>
      <c r="J274" s="224"/>
      <c r="K274" s="218">
        <v>630</v>
      </c>
      <c r="L274" s="225"/>
      <c r="M274" s="225"/>
      <c r="N274" s="225">
        <f t="shared" si="15"/>
        <v>-755.34</v>
      </c>
    </row>
    <row r="275" ht="15.2" spans="1:14">
      <c r="A275" s="226">
        <v>44964</v>
      </c>
      <c r="B275" s="227" t="s">
        <v>213</v>
      </c>
      <c r="C275" s="217">
        <v>8907036564648</v>
      </c>
      <c r="D275" s="218">
        <v>1</v>
      </c>
      <c r="E275" s="218">
        <v>1399</v>
      </c>
      <c r="F275" s="218">
        <v>923.34</v>
      </c>
      <c r="G275" s="223">
        <f t="shared" si="16"/>
        <v>69.9785561115082</v>
      </c>
      <c r="H275" s="220">
        <f t="shared" si="17"/>
        <v>979</v>
      </c>
      <c r="I275" s="224"/>
      <c r="J275" s="224"/>
      <c r="K275" s="218">
        <v>420</v>
      </c>
      <c r="L275" s="225"/>
      <c r="M275" s="225"/>
      <c r="N275" s="225">
        <f t="shared" si="15"/>
        <v>-503.34</v>
      </c>
    </row>
    <row r="276" ht="15.2" spans="1:14">
      <c r="A276" s="226">
        <v>44964</v>
      </c>
      <c r="B276" s="227" t="s">
        <v>213</v>
      </c>
      <c r="C276" s="217">
        <v>8907686312453</v>
      </c>
      <c r="D276" s="218">
        <v>1</v>
      </c>
      <c r="E276" s="218">
        <v>1399</v>
      </c>
      <c r="F276" s="218">
        <v>923.34</v>
      </c>
      <c r="G276" s="223">
        <f t="shared" si="16"/>
        <v>69.9785561115082</v>
      </c>
      <c r="H276" s="220">
        <f t="shared" si="17"/>
        <v>979</v>
      </c>
      <c r="I276" s="224"/>
      <c r="J276" s="224"/>
      <c r="K276" s="218">
        <v>420</v>
      </c>
      <c r="L276" s="225"/>
      <c r="M276" s="225"/>
      <c r="N276" s="225">
        <f t="shared" si="15"/>
        <v>-503.34</v>
      </c>
    </row>
    <row r="277" ht="15.2" spans="1:14">
      <c r="A277" s="226">
        <v>44964</v>
      </c>
      <c r="B277" s="227" t="s">
        <v>213</v>
      </c>
      <c r="C277" s="217">
        <v>8904290614218</v>
      </c>
      <c r="D277" s="218">
        <v>1</v>
      </c>
      <c r="E277" s="218">
        <v>1899</v>
      </c>
      <c r="F277" s="218">
        <v>1253.34</v>
      </c>
      <c r="G277" s="223">
        <f t="shared" si="16"/>
        <v>69.9842022116904</v>
      </c>
      <c r="H277" s="220">
        <f t="shared" si="17"/>
        <v>1329</v>
      </c>
      <c r="I277" s="224"/>
      <c r="J277" s="224"/>
      <c r="K277" s="218">
        <v>570</v>
      </c>
      <c r="L277" s="225"/>
      <c r="M277" s="225"/>
      <c r="N277" s="225">
        <f t="shared" si="15"/>
        <v>-683.34</v>
      </c>
    </row>
    <row r="278" ht="15.2" spans="1:14">
      <c r="A278" s="226">
        <v>44964</v>
      </c>
      <c r="B278" s="227" t="s">
        <v>213</v>
      </c>
      <c r="C278" s="217">
        <v>8904290606718</v>
      </c>
      <c r="D278" s="218">
        <v>1</v>
      </c>
      <c r="E278" s="218">
        <v>1899</v>
      </c>
      <c r="F278" s="218">
        <v>1253.34</v>
      </c>
      <c r="G278" s="223">
        <f t="shared" si="16"/>
        <v>69.9842022116904</v>
      </c>
      <c r="H278" s="220">
        <f t="shared" si="17"/>
        <v>1329</v>
      </c>
      <c r="I278" s="224"/>
      <c r="J278" s="224"/>
      <c r="K278" s="218">
        <v>570</v>
      </c>
      <c r="L278" s="225"/>
      <c r="M278" s="225"/>
      <c r="N278" s="225">
        <f t="shared" ref="N278:N339" si="18">K278-(D278*F278)</f>
        <v>-683.34</v>
      </c>
    </row>
    <row r="279" ht="15.2" spans="1:14">
      <c r="A279" s="226">
        <v>44964</v>
      </c>
      <c r="B279" s="227" t="s">
        <v>213</v>
      </c>
      <c r="C279" s="217">
        <v>8904290609603</v>
      </c>
      <c r="D279" s="218">
        <v>1</v>
      </c>
      <c r="E279" s="218">
        <v>1999</v>
      </c>
      <c r="F279" s="218">
        <v>1319.34</v>
      </c>
      <c r="G279" s="223">
        <f t="shared" si="16"/>
        <v>69.9849924962481</v>
      </c>
      <c r="H279" s="220">
        <f t="shared" si="17"/>
        <v>1399</v>
      </c>
      <c r="I279" s="224"/>
      <c r="J279" s="224"/>
      <c r="K279" s="218">
        <v>600</v>
      </c>
      <c r="L279" s="225"/>
      <c r="M279" s="225">
        <v>3840</v>
      </c>
      <c r="N279" s="225">
        <f t="shared" si="18"/>
        <v>-719.34</v>
      </c>
    </row>
    <row r="280" ht="15.2" spans="1:14">
      <c r="A280" s="219"/>
      <c r="B280" s="216"/>
      <c r="C280" s="217"/>
      <c r="D280" s="218"/>
      <c r="E280" s="220"/>
      <c r="F280" s="221"/>
      <c r="G280" s="223"/>
      <c r="H280" s="220"/>
      <c r="I280" s="224"/>
      <c r="J280" s="224"/>
      <c r="K280" s="220"/>
      <c r="L280" s="225"/>
      <c r="M280" s="225"/>
      <c r="N280" s="225"/>
    </row>
    <row r="281" ht="15.2" spans="1:14">
      <c r="A281" s="226">
        <v>44965</v>
      </c>
      <c r="B281" s="218" t="s">
        <v>214</v>
      </c>
      <c r="C281" s="217" t="s">
        <v>215</v>
      </c>
      <c r="D281" s="218">
        <v>2.5</v>
      </c>
      <c r="E281" s="218">
        <v>1700</v>
      </c>
      <c r="F281" s="218">
        <v>675</v>
      </c>
      <c r="G281" s="223">
        <f t="shared" si="16"/>
        <v>49.6941176470588</v>
      </c>
      <c r="H281" s="220">
        <f t="shared" si="17"/>
        <v>2112</v>
      </c>
      <c r="I281" s="224">
        <v>2036.19047619048</v>
      </c>
      <c r="J281" s="224">
        <v>101.809523809524</v>
      </c>
      <c r="K281" s="220">
        <v>2138</v>
      </c>
      <c r="L281" s="225"/>
      <c r="M281" s="225">
        <v>2138</v>
      </c>
      <c r="N281" s="225">
        <f t="shared" si="18"/>
        <v>450.5</v>
      </c>
    </row>
    <row r="282" ht="15.2" spans="1:14">
      <c r="A282" s="219"/>
      <c r="B282" s="216"/>
      <c r="C282" s="217"/>
      <c r="D282" s="218"/>
      <c r="E282" s="220"/>
      <c r="F282" s="221"/>
      <c r="G282" s="223"/>
      <c r="H282" s="220"/>
      <c r="I282" s="224"/>
      <c r="J282" s="224"/>
      <c r="K282" s="220"/>
      <c r="L282" s="225"/>
      <c r="M282" s="225"/>
      <c r="N282" s="225"/>
    </row>
    <row r="283" ht="15.2" spans="1:14">
      <c r="A283" s="226">
        <v>44965</v>
      </c>
      <c r="B283" s="218" t="s">
        <v>216</v>
      </c>
      <c r="C283" s="217" t="s">
        <v>217</v>
      </c>
      <c r="D283" s="218">
        <v>1.4</v>
      </c>
      <c r="E283" s="218">
        <v>1450</v>
      </c>
      <c r="F283" s="218">
        <v>461</v>
      </c>
      <c r="G283" s="223">
        <f t="shared" si="16"/>
        <v>50</v>
      </c>
      <c r="H283" s="220">
        <f t="shared" si="17"/>
        <v>1015</v>
      </c>
      <c r="I283" s="224">
        <v>966.666666666667</v>
      </c>
      <c r="J283" s="224">
        <v>48.3333333333333</v>
      </c>
      <c r="K283" s="220">
        <v>1015</v>
      </c>
      <c r="L283" s="225"/>
      <c r="M283" s="225">
        <v>1015</v>
      </c>
      <c r="N283" s="225">
        <f t="shared" si="18"/>
        <v>369.6</v>
      </c>
    </row>
    <row r="284" ht="15.2" spans="1:14">
      <c r="A284" s="219"/>
      <c r="B284" s="216"/>
      <c r="C284" s="217"/>
      <c r="D284" s="218"/>
      <c r="E284" s="220"/>
      <c r="F284" s="221"/>
      <c r="G284" s="223"/>
      <c r="H284" s="220"/>
      <c r="I284" s="224"/>
      <c r="J284" s="224"/>
      <c r="K284" s="220"/>
      <c r="L284" s="225"/>
      <c r="M284" s="225"/>
      <c r="N284" s="225"/>
    </row>
    <row r="285" ht="15.2" spans="1:14">
      <c r="A285" s="226">
        <v>44965</v>
      </c>
      <c r="B285" s="218" t="s">
        <v>218</v>
      </c>
      <c r="C285" s="217">
        <v>8904290622831</v>
      </c>
      <c r="D285" s="218">
        <v>1</v>
      </c>
      <c r="E285" s="218">
        <v>9999</v>
      </c>
      <c r="F285" s="218">
        <v>6599.34</v>
      </c>
      <c r="G285" s="223">
        <f t="shared" si="16"/>
        <v>64.996499649965</v>
      </c>
      <c r="H285" s="220">
        <f t="shared" si="17"/>
        <v>6499</v>
      </c>
      <c r="I285" s="224"/>
      <c r="J285" s="224"/>
      <c r="K285" s="220">
        <v>3500</v>
      </c>
      <c r="L285" s="225"/>
      <c r="M285" s="225">
        <v>3500</v>
      </c>
      <c r="N285" s="225">
        <f t="shared" si="18"/>
        <v>-3099.34</v>
      </c>
    </row>
    <row r="286" ht="15.2" spans="1:14">
      <c r="A286" s="219"/>
      <c r="B286" s="216"/>
      <c r="C286" s="217"/>
      <c r="D286" s="218"/>
      <c r="E286" s="220"/>
      <c r="F286" s="221"/>
      <c r="G286" s="223"/>
      <c r="H286" s="220"/>
      <c r="I286" s="224"/>
      <c r="J286" s="224"/>
      <c r="K286" s="220"/>
      <c r="L286" s="225"/>
      <c r="M286" s="225"/>
      <c r="N286" s="225"/>
    </row>
    <row r="287" ht="15.2" spans="1:14">
      <c r="A287" s="226">
        <v>44965</v>
      </c>
      <c r="B287" s="218" t="s">
        <v>219</v>
      </c>
      <c r="C287" s="217" t="s">
        <v>220</v>
      </c>
      <c r="D287" s="218">
        <v>1.5</v>
      </c>
      <c r="E287" s="218">
        <v>1200</v>
      </c>
      <c r="F287" s="218">
        <v>384</v>
      </c>
      <c r="G287" s="223">
        <f t="shared" si="16"/>
        <v>66.6666666666667</v>
      </c>
      <c r="H287" s="220">
        <f t="shared" si="17"/>
        <v>1200</v>
      </c>
      <c r="I287" s="224">
        <v>571.428571428571</v>
      </c>
      <c r="J287" s="224">
        <v>28.5714285714286</v>
      </c>
      <c r="K287" s="218">
        <v>600</v>
      </c>
      <c r="L287" s="225"/>
      <c r="M287" s="225"/>
      <c r="N287" s="225">
        <f t="shared" si="18"/>
        <v>24</v>
      </c>
    </row>
    <row r="288" ht="15.2" spans="1:14">
      <c r="A288" s="226">
        <v>44965</v>
      </c>
      <c r="B288" s="218" t="s">
        <v>219</v>
      </c>
      <c r="C288" s="217">
        <v>8904290601010</v>
      </c>
      <c r="D288" s="218">
        <v>1</v>
      </c>
      <c r="E288" s="218">
        <v>1999</v>
      </c>
      <c r="F288" s="218">
        <v>1319.34</v>
      </c>
      <c r="G288" s="223">
        <f t="shared" si="16"/>
        <v>69.9849924962481</v>
      </c>
      <c r="H288" s="220">
        <f t="shared" si="17"/>
        <v>1399</v>
      </c>
      <c r="I288" s="224"/>
      <c r="J288" s="224"/>
      <c r="K288" s="218">
        <v>600</v>
      </c>
      <c r="L288" s="225"/>
      <c r="M288" s="225"/>
      <c r="N288" s="225">
        <f t="shared" si="18"/>
        <v>-719.34</v>
      </c>
    </row>
    <row r="289" ht="15.2" spans="1:14">
      <c r="A289" s="226">
        <v>44965</v>
      </c>
      <c r="B289" s="218" t="s">
        <v>219</v>
      </c>
      <c r="C289" s="217">
        <v>8907538213792</v>
      </c>
      <c r="D289" s="218">
        <v>1</v>
      </c>
      <c r="E289" s="218">
        <v>1799</v>
      </c>
      <c r="F289" s="218">
        <v>1187.34</v>
      </c>
      <c r="G289" s="223">
        <f t="shared" si="16"/>
        <v>69.9833240689272</v>
      </c>
      <c r="H289" s="220">
        <f t="shared" si="17"/>
        <v>1259</v>
      </c>
      <c r="I289" s="224"/>
      <c r="J289" s="224"/>
      <c r="K289" s="218">
        <v>540</v>
      </c>
      <c r="L289" s="225"/>
      <c r="M289" s="225"/>
      <c r="N289" s="225">
        <f t="shared" si="18"/>
        <v>-647.34</v>
      </c>
    </row>
    <row r="290" ht="15.2" spans="1:14">
      <c r="A290" s="226">
        <v>44965</v>
      </c>
      <c r="B290" s="218" t="s">
        <v>219</v>
      </c>
      <c r="C290" s="217">
        <v>8904290618285</v>
      </c>
      <c r="D290" s="218">
        <v>2</v>
      </c>
      <c r="E290" s="218">
        <v>2099</v>
      </c>
      <c r="F290" s="218">
        <v>1385.34</v>
      </c>
      <c r="G290" s="223">
        <f t="shared" si="16"/>
        <v>69.9857074797523</v>
      </c>
      <c r="H290" s="220">
        <f t="shared" si="17"/>
        <v>2938</v>
      </c>
      <c r="I290" s="224"/>
      <c r="J290" s="224"/>
      <c r="K290" s="218">
        <v>1260</v>
      </c>
      <c r="L290" s="225"/>
      <c r="M290" s="225">
        <v>3000</v>
      </c>
      <c r="N290" s="225">
        <f t="shared" si="18"/>
        <v>-1510.68</v>
      </c>
    </row>
    <row r="291" ht="15.2" spans="1:14">
      <c r="A291" s="219"/>
      <c r="B291" s="216"/>
      <c r="C291" s="217"/>
      <c r="D291" s="218"/>
      <c r="E291" s="220"/>
      <c r="F291" s="221"/>
      <c r="G291" s="223"/>
      <c r="H291" s="220"/>
      <c r="I291" s="224"/>
      <c r="J291" s="224"/>
      <c r="K291" s="220"/>
      <c r="L291" s="225"/>
      <c r="M291" s="225"/>
      <c r="N291" s="225"/>
    </row>
    <row r="292" ht="15.2" spans="1:14">
      <c r="A292" s="226">
        <v>44965</v>
      </c>
      <c r="B292" s="218" t="s">
        <v>221</v>
      </c>
      <c r="C292" s="217" t="s">
        <v>222</v>
      </c>
      <c r="D292" s="218">
        <v>1.2</v>
      </c>
      <c r="E292" s="218">
        <v>1070</v>
      </c>
      <c r="F292" s="218">
        <v>419.1</v>
      </c>
      <c r="G292" s="223">
        <f t="shared" si="16"/>
        <v>53.2710280373832</v>
      </c>
      <c r="H292" s="220">
        <f t="shared" si="17"/>
        <v>684</v>
      </c>
      <c r="I292" s="224">
        <v>571.428571428571</v>
      </c>
      <c r="J292" s="224">
        <v>28.5714285714286</v>
      </c>
      <c r="K292" s="218">
        <v>600</v>
      </c>
      <c r="L292" s="225"/>
      <c r="M292" s="225"/>
      <c r="N292" s="225">
        <f t="shared" si="18"/>
        <v>97.08</v>
      </c>
    </row>
    <row r="293" ht="15.2" spans="1:14">
      <c r="A293" s="226">
        <v>44965</v>
      </c>
      <c r="B293" s="218" t="s">
        <v>221</v>
      </c>
      <c r="C293" s="217" t="s">
        <v>212</v>
      </c>
      <c r="D293" s="218">
        <v>1.6</v>
      </c>
      <c r="E293" s="218">
        <v>710</v>
      </c>
      <c r="F293" s="218">
        <v>283</v>
      </c>
      <c r="G293" s="223">
        <f t="shared" si="16"/>
        <v>50</v>
      </c>
      <c r="H293" s="220">
        <f t="shared" si="17"/>
        <v>568</v>
      </c>
      <c r="I293" s="224">
        <v>540.952380952381</v>
      </c>
      <c r="J293" s="224">
        <v>27.0476190476191</v>
      </c>
      <c r="K293" s="218">
        <v>568</v>
      </c>
      <c r="L293" s="225"/>
      <c r="M293" s="225"/>
      <c r="N293" s="225">
        <f t="shared" si="18"/>
        <v>115.2</v>
      </c>
    </row>
    <row r="294" ht="15.2" spans="1:14">
      <c r="A294" s="226">
        <v>44965</v>
      </c>
      <c r="B294" s="218" t="s">
        <v>221</v>
      </c>
      <c r="C294" s="217" t="s">
        <v>223</v>
      </c>
      <c r="D294" s="218">
        <v>1.5</v>
      </c>
      <c r="E294" s="218">
        <v>700</v>
      </c>
      <c r="F294" s="218">
        <v>257</v>
      </c>
      <c r="G294" s="223">
        <f t="shared" si="16"/>
        <v>50</v>
      </c>
      <c r="H294" s="220">
        <f t="shared" si="17"/>
        <v>525</v>
      </c>
      <c r="I294" s="224">
        <v>500</v>
      </c>
      <c r="J294" s="224">
        <v>25</v>
      </c>
      <c r="K294" s="218">
        <v>525</v>
      </c>
      <c r="L294" s="225"/>
      <c r="M294" s="225"/>
      <c r="N294" s="225">
        <f t="shared" si="18"/>
        <v>139.5</v>
      </c>
    </row>
    <row r="295" ht="15.2" spans="1:14">
      <c r="A295" s="226">
        <v>44965</v>
      </c>
      <c r="B295" s="218" t="s">
        <v>221</v>
      </c>
      <c r="C295" s="217">
        <v>2700324</v>
      </c>
      <c r="D295" s="218">
        <v>2</v>
      </c>
      <c r="E295" s="218">
        <v>570</v>
      </c>
      <c r="F295" s="218">
        <v>340.8</v>
      </c>
      <c r="G295" s="223">
        <f t="shared" si="16"/>
        <v>48.6842105263158</v>
      </c>
      <c r="H295" s="220">
        <f t="shared" si="17"/>
        <v>555</v>
      </c>
      <c r="I295" s="224"/>
      <c r="J295" s="224"/>
      <c r="K295" s="218">
        <v>585</v>
      </c>
      <c r="L295" s="225"/>
      <c r="M295" s="225"/>
      <c r="N295" s="225">
        <f t="shared" si="18"/>
        <v>-96.6</v>
      </c>
    </row>
    <row r="296" ht="15.2" spans="1:14">
      <c r="A296" s="226">
        <v>44965</v>
      </c>
      <c r="B296" s="218" t="s">
        <v>221</v>
      </c>
      <c r="C296" s="217" t="s">
        <v>224</v>
      </c>
      <c r="D296" s="218">
        <v>1.5</v>
      </c>
      <c r="E296" s="218">
        <v>900</v>
      </c>
      <c r="F296" s="218">
        <v>282</v>
      </c>
      <c r="G296" s="223">
        <f t="shared" si="16"/>
        <v>50</v>
      </c>
      <c r="H296" s="220">
        <f t="shared" si="17"/>
        <v>675</v>
      </c>
      <c r="I296" s="224">
        <v>642.857142857143</v>
      </c>
      <c r="J296" s="224">
        <v>32.1428571428571</v>
      </c>
      <c r="K296" s="218">
        <v>675</v>
      </c>
      <c r="L296" s="225"/>
      <c r="M296" s="225">
        <v>2953</v>
      </c>
      <c r="N296" s="225">
        <f t="shared" si="18"/>
        <v>252</v>
      </c>
    </row>
    <row r="297" ht="15.2" spans="1:14">
      <c r="A297" s="219"/>
      <c r="B297" s="216"/>
      <c r="C297" s="217"/>
      <c r="D297" s="218"/>
      <c r="E297" s="220"/>
      <c r="F297" s="221"/>
      <c r="G297" s="223"/>
      <c r="H297" s="220"/>
      <c r="I297" s="224"/>
      <c r="J297" s="224"/>
      <c r="K297" s="220"/>
      <c r="L297" s="225"/>
      <c r="M297" s="225"/>
      <c r="N297" s="225"/>
    </row>
    <row r="298" ht="15.2" spans="1:14">
      <c r="A298" s="226">
        <v>44965</v>
      </c>
      <c r="B298" s="218" t="s">
        <v>225</v>
      </c>
      <c r="C298" s="217">
        <v>8907036564273</v>
      </c>
      <c r="D298" s="218">
        <v>1</v>
      </c>
      <c r="E298" s="218">
        <v>1399</v>
      </c>
      <c r="F298" s="218">
        <v>923.34</v>
      </c>
      <c r="G298" s="223">
        <f t="shared" si="16"/>
        <v>69.9785561115082</v>
      </c>
      <c r="H298" s="220">
        <f t="shared" si="17"/>
        <v>979</v>
      </c>
      <c r="I298" s="224"/>
      <c r="J298" s="224"/>
      <c r="K298" s="218">
        <v>420</v>
      </c>
      <c r="L298" s="225"/>
      <c r="M298" s="225"/>
      <c r="N298" s="225">
        <f t="shared" si="18"/>
        <v>-503.34</v>
      </c>
    </row>
    <row r="299" ht="15.2" spans="1:14">
      <c r="A299" s="226">
        <v>44965</v>
      </c>
      <c r="B299" s="218" t="s">
        <v>225</v>
      </c>
      <c r="C299" s="217">
        <v>8907687168783</v>
      </c>
      <c r="D299" s="218">
        <v>1</v>
      </c>
      <c r="E299" s="218">
        <v>1499</v>
      </c>
      <c r="F299" s="218">
        <v>989.34</v>
      </c>
      <c r="G299" s="223">
        <f t="shared" si="16"/>
        <v>69.9799866577718</v>
      </c>
      <c r="H299" s="220">
        <f t="shared" si="17"/>
        <v>1049</v>
      </c>
      <c r="I299" s="224"/>
      <c r="J299" s="224"/>
      <c r="K299" s="218">
        <v>450</v>
      </c>
      <c r="L299" s="225"/>
      <c r="M299" s="225"/>
      <c r="N299" s="225">
        <f t="shared" si="18"/>
        <v>-539.34</v>
      </c>
    </row>
    <row r="300" ht="15.2" spans="1:14">
      <c r="A300" s="226">
        <v>44965</v>
      </c>
      <c r="B300" s="218" t="s">
        <v>225</v>
      </c>
      <c r="C300" s="217">
        <v>8907686809663</v>
      </c>
      <c r="D300" s="218">
        <v>1</v>
      </c>
      <c r="E300" s="218">
        <v>1499</v>
      </c>
      <c r="F300" s="218">
        <v>989.34</v>
      </c>
      <c r="G300" s="223">
        <f t="shared" si="16"/>
        <v>69.9799866577718</v>
      </c>
      <c r="H300" s="220">
        <f t="shared" si="17"/>
        <v>1049</v>
      </c>
      <c r="I300" s="224"/>
      <c r="J300" s="224"/>
      <c r="K300" s="218">
        <v>450</v>
      </c>
      <c r="L300" s="225"/>
      <c r="M300" s="225"/>
      <c r="N300" s="225">
        <f t="shared" si="18"/>
        <v>-539.34</v>
      </c>
    </row>
    <row r="301" ht="15.2" spans="1:14">
      <c r="A301" s="226">
        <v>44965</v>
      </c>
      <c r="B301" s="218" t="s">
        <v>225</v>
      </c>
      <c r="C301" s="217">
        <v>8907686285672</v>
      </c>
      <c r="D301" s="218">
        <v>1</v>
      </c>
      <c r="E301" s="218">
        <v>1299</v>
      </c>
      <c r="F301" s="218">
        <v>857.34</v>
      </c>
      <c r="G301" s="223">
        <f t="shared" si="16"/>
        <v>69.9769053117783</v>
      </c>
      <c r="H301" s="220">
        <f t="shared" si="17"/>
        <v>909</v>
      </c>
      <c r="I301" s="224"/>
      <c r="J301" s="224"/>
      <c r="K301" s="218">
        <v>390</v>
      </c>
      <c r="L301" s="225"/>
      <c r="M301" s="225">
        <v>1710</v>
      </c>
      <c r="N301" s="225">
        <f t="shared" si="18"/>
        <v>-467.34</v>
      </c>
    </row>
    <row r="302" ht="15.2" spans="1:14">
      <c r="A302" s="228"/>
      <c r="B302" s="218"/>
      <c r="C302" s="217"/>
      <c r="D302" s="218"/>
      <c r="E302" s="220"/>
      <c r="F302" s="221"/>
      <c r="G302" s="223"/>
      <c r="H302" s="220"/>
      <c r="I302" s="224"/>
      <c r="J302" s="224"/>
      <c r="K302" s="220"/>
      <c r="L302" s="225"/>
      <c r="M302" s="225"/>
      <c r="N302" s="225"/>
    </row>
    <row r="303" ht="15.2" spans="1:14">
      <c r="A303" s="226">
        <v>44965</v>
      </c>
      <c r="B303" s="218" t="s">
        <v>226</v>
      </c>
      <c r="C303" s="217">
        <v>8904290616434</v>
      </c>
      <c r="D303" s="218">
        <v>1</v>
      </c>
      <c r="E303" s="218">
        <v>2299</v>
      </c>
      <c r="F303" s="218">
        <v>1517.34</v>
      </c>
      <c r="G303" s="223">
        <f t="shared" si="16"/>
        <v>69.9869508481949</v>
      </c>
      <c r="H303" s="220">
        <f t="shared" si="17"/>
        <v>1609</v>
      </c>
      <c r="I303" s="224"/>
      <c r="J303" s="224"/>
      <c r="K303" s="218">
        <v>690</v>
      </c>
      <c r="L303" s="225"/>
      <c r="M303" s="225"/>
      <c r="N303" s="225">
        <f t="shared" si="18"/>
        <v>-827.34</v>
      </c>
    </row>
    <row r="304" ht="15.2" spans="1:14">
      <c r="A304" s="226">
        <v>44965</v>
      </c>
      <c r="B304" s="218" t="s">
        <v>226</v>
      </c>
      <c r="C304" s="217">
        <v>8904290618674</v>
      </c>
      <c r="D304" s="218">
        <v>1</v>
      </c>
      <c r="E304" s="218">
        <v>1999</v>
      </c>
      <c r="F304" s="218">
        <v>1319.34</v>
      </c>
      <c r="G304" s="223">
        <f t="shared" si="16"/>
        <v>69.9849924962481</v>
      </c>
      <c r="H304" s="220">
        <f t="shared" si="17"/>
        <v>1399</v>
      </c>
      <c r="I304" s="224"/>
      <c r="J304" s="224"/>
      <c r="K304" s="218">
        <v>600</v>
      </c>
      <c r="L304" s="225"/>
      <c r="M304" s="225"/>
      <c r="N304" s="225">
        <f t="shared" si="18"/>
        <v>-719.34</v>
      </c>
    </row>
    <row r="305" ht="15.2" spans="1:14">
      <c r="A305" s="226">
        <v>44965</v>
      </c>
      <c r="B305" s="218" t="s">
        <v>226</v>
      </c>
      <c r="C305" s="217" t="s">
        <v>227</v>
      </c>
      <c r="D305" s="218">
        <v>1.25</v>
      </c>
      <c r="E305" s="218">
        <v>3100</v>
      </c>
      <c r="F305" s="218">
        <v>881</v>
      </c>
      <c r="G305" s="223">
        <f t="shared" si="16"/>
        <v>49.9870967741935</v>
      </c>
      <c r="H305" s="220">
        <f t="shared" si="17"/>
        <v>1937</v>
      </c>
      <c r="I305" s="224">
        <v>1845.71428571429</v>
      </c>
      <c r="J305" s="224">
        <v>92.2857142857143</v>
      </c>
      <c r="K305" s="218">
        <v>1938</v>
      </c>
      <c r="L305" s="225"/>
      <c r="M305" s="225">
        <v>3228</v>
      </c>
      <c r="N305" s="225">
        <f t="shared" si="18"/>
        <v>836.75</v>
      </c>
    </row>
    <row r="306" ht="15.2" spans="1:14">
      <c r="A306" s="228"/>
      <c r="B306" s="218"/>
      <c r="C306" s="217"/>
      <c r="D306" s="218"/>
      <c r="E306" s="220"/>
      <c r="F306" s="221"/>
      <c r="G306" s="223"/>
      <c r="H306" s="220"/>
      <c r="I306" s="224"/>
      <c r="J306" s="224"/>
      <c r="K306" s="220"/>
      <c r="L306" s="225"/>
      <c r="M306" s="225"/>
      <c r="N306" s="225"/>
    </row>
    <row r="307" ht="15.2" spans="1:14">
      <c r="A307" s="226">
        <v>44965</v>
      </c>
      <c r="B307" s="218" t="s">
        <v>228</v>
      </c>
      <c r="C307" s="217">
        <v>8907259333663</v>
      </c>
      <c r="D307" s="218">
        <v>1</v>
      </c>
      <c r="E307" s="218">
        <v>5999</v>
      </c>
      <c r="F307" s="218">
        <v>3959.34</v>
      </c>
      <c r="G307" s="223">
        <f t="shared" si="16"/>
        <v>74.9958326387731</v>
      </c>
      <c r="H307" s="220">
        <f t="shared" si="17"/>
        <v>4499</v>
      </c>
      <c r="I307" s="224"/>
      <c r="J307" s="224"/>
      <c r="K307" s="220">
        <v>1500</v>
      </c>
      <c r="L307" s="225"/>
      <c r="M307" s="225">
        <v>1500</v>
      </c>
      <c r="N307" s="225">
        <f t="shared" si="18"/>
        <v>-2459.34</v>
      </c>
    </row>
    <row r="308" ht="15.2" spans="1:14">
      <c r="A308" s="219"/>
      <c r="B308" s="216"/>
      <c r="C308" s="217"/>
      <c r="D308" s="218"/>
      <c r="E308" s="220"/>
      <c r="F308" s="221"/>
      <c r="G308" s="223"/>
      <c r="H308" s="220"/>
      <c r="I308" s="224"/>
      <c r="J308" s="224"/>
      <c r="K308" s="220"/>
      <c r="L308" s="225"/>
      <c r="M308" s="225"/>
      <c r="N308" s="225"/>
    </row>
    <row r="309" ht="15.2" spans="1:14">
      <c r="A309" s="226">
        <v>44966</v>
      </c>
      <c r="B309" s="218" t="s">
        <v>229</v>
      </c>
      <c r="C309" s="217">
        <v>8904290619008</v>
      </c>
      <c r="D309" s="218">
        <v>1</v>
      </c>
      <c r="E309" s="218">
        <v>2499</v>
      </c>
      <c r="F309" s="218">
        <v>1649.34</v>
      </c>
      <c r="G309" s="223">
        <f t="shared" si="16"/>
        <v>64.9859943977591</v>
      </c>
      <c r="H309" s="220">
        <f t="shared" si="17"/>
        <v>1624</v>
      </c>
      <c r="I309" s="224"/>
      <c r="J309" s="224"/>
      <c r="K309" s="218">
        <v>875</v>
      </c>
      <c r="L309" s="225"/>
      <c r="M309" s="225"/>
      <c r="N309" s="225">
        <f t="shared" si="18"/>
        <v>-774.34</v>
      </c>
    </row>
    <row r="310" ht="15.2" spans="1:14">
      <c r="A310" s="226">
        <v>44966</v>
      </c>
      <c r="B310" s="218" t="s">
        <v>229</v>
      </c>
      <c r="C310" s="217">
        <v>8907036702514</v>
      </c>
      <c r="D310" s="218">
        <v>1</v>
      </c>
      <c r="E310" s="218">
        <v>1799</v>
      </c>
      <c r="F310" s="218">
        <v>1187.34</v>
      </c>
      <c r="G310" s="223">
        <f t="shared" si="16"/>
        <v>64.9805447470817</v>
      </c>
      <c r="H310" s="220">
        <f t="shared" si="17"/>
        <v>1169</v>
      </c>
      <c r="I310" s="224"/>
      <c r="J310" s="224"/>
      <c r="K310" s="218">
        <v>630</v>
      </c>
      <c r="L310" s="225"/>
      <c r="M310" s="225">
        <v>1505</v>
      </c>
      <c r="N310" s="225">
        <f t="shared" si="18"/>
        <v>-557.34</v>
      </c>
    </row>
    <row r="311" ht="15.2" spans="1:14">
      <c r="A311" s="219"/>
      <c r="B311" s="216"/>
      <c r="C311" s="217"/>
      <c r="D311" s="218"/>
      <c r="E311" s="220"/>
      <c r="F311" s="221"/>
      <c r="G311" s="223"/>
      <c r="H311" s="220"/>
      <c r="I311" s="224"/>
      <c r="J311" s="224"/>
      <c r="K311" s="220"/>
      <c r="L311" s="225"/>
      <c r="M311" s="225"/>
      <c r="N311" s="225"/>
    </row>
    <row r="312" ht="15.2" spans="1:14">
      <c r="A312" s="226">
        <v>44966</v>
      </c>
      <c r="B312" s="218" t="s">
        <v>230</v>
      </c>
      <c r="C312" s="217" t="s">
        <v>231</v>
      </c>
      <c r="D312" s="218">
        <v>3.25</v>
      </c>
      <c r="E312" s="218">
        <v>2321</v>
      </c>
      <c r="F312" s="218">
        <v>938</v>
      </c>
      <c r="G312" s="223">
        <f t="shared" si="16"/>
        <v>40.3440161734001</v>
      </c>
      <c r="H312" s="220">
        <f t="shared" si="17"/>
        <v>3043.25</v>
      </c>
      <c r="I312" s="224">
        <v>4285.71428571429</v>
      </c>
      <c r="J312" s="224">
        <v>214.285714285714</v>
      </c>
      <c r="K312" s="220">
        <v>4500</v>
      </c>
      <c r="L312" s="225"/>
      <c r="M312" s="225">
        <v>4500</v>
      </c>
      <c r="N312" s="225">
        <f t="shared" si="18"/>
        <v>1451.5</v>
      </c>
    </row>
    <row r="313" ht="15.2" spans="1:14">
      <c r="A313" s="219"/>
      <c r="B313" s="216"/>
      <c r="C313" s="217"/>
      <c r="D313" s="218"/>
      <c r="E313" s="220"/>
      <c r="F313" s="221"/>
      <c r="G313" s="223"/>
      <c r="H313" s="220"/>
      <c r="I313" s="224"/>
      <c r="J313" s="224"/>
      <c r="K313" s="220"/>
      <c r="L313" s="225"/>
      <c r="M313" s="225"/>
      <c r="N313" s="225"/>
    </row>
    <row r="314" ht="15.2" spans="1:14">
      <c r="A314" s="226">
        <v>44966</v>
      </c>
      <c r="B314" s="218" t="s">
        <v>232</v>
      </c>
      <c r="C314" s="217">
        <v>8907538495099</v>
      </c>
      <c r="D314" s="218">
        <v>1</v>
      </c>
      <c r="E314" s="218">
        <v>3099</v>
      </c>
      <c r="F314" s="218">
        <v>2045.34</v>
      </c>
      <c r="G314" s="223">
        <f t="shared" si="16"/>
        <v>69.9903194578896</v>
      </c>
      <c r="H314" s="220">
        <f t="shared" si="17"/>
        <v>2169</v>
      </c>
      <c r="I314" s="224"/>
      <c r="J314" s="224"/>
      <c r="K314" s="220">
        <v>930</v>
      </c>
      <c r="L314" s="225"/>
      <c r="M314" s="225">
        <v>930</v>
      </c>
      <c r="N314" s="225">
        <f t="shared" si="18"/>
        <v>-1115.34</v>
      </c>
    </row>
    <row r="315" ht="15.2" spans="1:14">
      <c r="A315" s="219"/>
      <c r="B315" s="216"/>
      <c r="C315" s="217"/>
      <c r="D315" s="218"/>
      <c r="E315" s="220"/>
      <c r="F315" s="221"/>
      <c r="G315" s="223"/>
      <c r="H315" s="220"/>
      <c r="I315" s="224"/>
      <c r="J315" s="224"/>
      <c r="K315" s="220"/>
      <c r="L315" s="225"/>
      <c r="M315" s="225"/>
      <c r="N315" s="225"/>
    </row>
    <row r="316" ht="15.2" spans="1:14">
      <c r="A316" s="226">
        <v>44966</v>
      </c>
      <c r="B316" s="218" t="s">
        <v>233</v>
      </c>
      <c r="C316" s="217">
        <v>8904290606749</v>
      </c>
      <c r="D316" s="218">
        <v>1</v>
      </c>
      <c r="E316" s="220">
        <v>3798</v>
      </c>
      <c r="F316" s="221">
        <v>1119.05</v>
      </c>
      <c r="G316" s="223">
        <f t="shared" si="16"/>
        <v>87.4934175882043</v>
      </c>
      <c r="H316" s="220">
        <f t="shared" si="17"/>
        <v>3323</v>
      </c>
      <c r="I316" s="224"/>
      <c r="J316" s="224"/>
      <c r="K316" s="220">
        <v>475</v>
      </c>
      <c r="L316" s="225"/>
      <c r="M316" s="225"/>
      <c r="N316" s="225">
        <f t="shared" si="18"/>
        <v>-644.05</v>
      </c>
    </row>
    <row r="317" ht="15.2" spans="1:14">
      <c r="A317" s="226">
        <v>44966</v>
      </c>
      <c r="B317" s="218" t="s">
        <v>233</v>
      </c>
      <c r="C317" s="217">
        <v>8907538563613</v>
      </c>
      <c r="D317" s="218">
        <v>1</v>
      </c>
      <c r="E317" s="220">
        <v>3299</v>
      </c>
      <c r="F317" s="221">
        <v>2002.96</v>
      </c>
      <c r="G317" s="223">
        <f t="shared" si="16"/>
        <v>74.9924219460443</v>
      </c>
      <c r="H317" s="220">
        <f t="shared" si="17"/>
        <v>2474</v>
      </c>
      <c r="I317" s="224"/>
      <c r="J317" s="224"/>
      <c r="K317" s="220">
        <v>825</v>
      </c>
      <c r="L317" s="225"/>
      <c r="M317" s="225">
        <v>1300</v>
      </c>
      <c r="N317" s="225">
        <f t="shared" si="18"/>
        <v>-1177.96</v>
      </c>
    </row>
    <row r="318" ht="15.2" spans="1:14">
      <c r="A318" s="219"/>
      <c r="B318" s="216"/>
      <c r="C318" s="217"/>
      <c r="D318" s="218"/>
      <c r="E318" s="220"/>
      <c r="F318" s="221"/>
      <c r="G318" s="223"/>
      <c r="H318" s="220"/>
      <c r="I318" s="224"/>
      <c r="J318" s="224"/>
      <c r="K318" s="220"/>
      <c r="L318" s="225"/>
      <c r="M318" s="225"/>
      <c r="N318" s="225"/>
    </row>
    <row r="319" ht="15.2" spans="1:14">
      <c r="A319" s="219">
        <v>44966</v>
      </c>
      <c r="B319" s="216" t="s">
        <v>234</v>
      </c>
      <c r="C319" s="217" t="s">
        <v>235</v>
      </c>
      <c r="D319" s="218">
        <v>2.2</v>
      </c>
      <c r="E319" s="218">
        <v>6080</v>
      </c>
      <c r="F319" s="218">
        <v>996.6</v>
      </c>
      <c r="G319" s="223">
        <f t="shared" si="16"/>
        <v>75.6803229665072</v>
      </c>
      <c r="H319" s="220">
        <f t="shared" si="17"/>
        <v>10123</v>
      </c>
      <c r="I319" s="224">
        <v>3098.09523809524</v>
      </c>
      <c r="J319" s="224">
        <v>154.904761904762</v>
      </c>
      <c r="K319" s="218">
        <v>3253</v>
      </c>
      <c r="L319" s="225"/>
      <c r="M319" s="225"/>
      <c r="N319" s="225">
        <f t="shared" si="18"/>
        <v>1060.48</v>
      </c>
    </row>
    <row r="320" ht="15.2" spans="1:14">
      <c r="A320" s="219">
        <v>44966</v>
      </c>
      <c r="B320" s="216" t="s">
        <v>234</v>
      </c>
      <c r="C320" s="217" t="s">
        <v>236</v>
      </c>
      <c r="D320" s="218">
        <v>4.9</v>
      </c>
      <c r="E320" s="218">
        <v>280</v>
      </c>
      <c r="F320" s="218">
        <v>110</v>
      </c>
      <c r="G320" s="223">
        <f t="shared" si="16"/>
        <v>47.4854227405248</v>
      </c>
      <c r="H320" s="220">
        <f t="shared" si="17"/>
        <v>651.5</v>
      </c>
      <c r="I320" s="224">
        <v>686.190476190476</v>
      </c>
      <c r="J320" s="224">
        <v>34.3095238095238</v>
      </c>
      <c r="K320" s="218">
        <v>720.5</v>
      </c>
      <c r="L320" s="225"/>
      <c r="M320" s="225"/>
      <c r="N320" s="225">
        <f t="shared" si="18"/>
        <v>181.5</v>
      </c>
    </row>
    <row r="321" ht="15.2" spans="1:14">
      <c r="A321" s="219">
        <v>44966</v>
      </c>
      <c r="B321" s="216" t="s">
        <v>234</v>
      </c>
      <c r="C321" s="217">
        <v>8907259475585</v>
      </c>
      <c r="D321" s="218">
        <v>1</v>
      </c>
      <c r="E321" s="218">
        <v>425</v>
      </c>
      <c r="F321" s="218">
        <v>280.5</v>
      </c>
      <c r="G321" s="223">
        <f t="shared" si="16"/>
        <v>49.8823529411765</v>
      </c>
      <c r="H321" s="220">
        <f t="shared" si="17"/>
        <v>212</v>
      </c>
      <c r="I321" s="224"/>
      <c r="J321" s="224"/>
      <c r="K321" s="218">
        <v>213</v>
      </c>
      <c r="L321" s="225"/>
      <c r="M321" s="225"/>
      <c r="N321" s="225">
        <f t="shared" si="18"/>
        <v>-67.5</v>
      </c>
    </row>
    <row r="322" ht="15.2" spans="1:14">
      <c r="A322" s="219">
        <v>44966</v>
      </c>
      <c r="B322" s="216" t="s">
        <v>234</v>
      </c>
      <c r="C322" s="217">
        <v>8907259613390</v>
      </c>
      <c r="D322" s="218">
        <v>4</v>
      </c>
      <c r="E322" s="218">
        <v>195</v>
      </c>
      <c r="F322" s="218">
        <v>128.7</v>
      </c>
      <c r="G322" s="223">
        <f t="shared" si="16"/>
        <v>48.7179487179487</v>
      </c>
      <c r="H322" s="220">
        <f t="shared" si="17"/>
        <v>380</v>
      </c>
      <c r="I322" s="224"/>
      <c r="J322" s="224"/>
      <c r="K322" s="218">
        <v>400</v>
      </c>
      <c r="L322" s="225"/>
      <c r="M322" s="225"/>
      <c r="N322" s="225">
        <f t="shared" si="18"/>
        <v>-114.8</v>
      </c>
    </row>
    <row r="323" ht="15.2" spans="1:14">
      <c r="A323" s="219">
        <v>44966</v>
      </c>
      <c r="B323" s="216" t="s">
        <v>234</v>
      </c>
      <c r="C323" s="217" t="s">
        <v>237</v>
      </c>
      <c r="D323" s="218">
        <v>2.2</v>
      </c>
      <c r="E323" s="218">
        <v>3530</v>
      </c>
      <c r="F323" s="218">
        <v>547.19</v>
      </c>
      <c r="G323" s="223">
        <f t="shared" si="16"/>
        <v>74.5428792171002</v>
      </c>
      <c r="H323" s="220">
        <f t="shared" si="17"/>
        <v>5789</v>
      </c>
      <c r="I323" s="224">
        <v>1882.85714285714</v>
      </c>
      <c r="J323" s="224">
        <v>94.1428571428572</v>
      </c>
      <c r="K323" s="218">
        <v>1977</v>
      </c>
      <c r="L323" s="225">
        <v>0.5</v>
      </c>
      <c r="M323" s="225">
        <v>6400</v>
      </c>
      <c r="N323" s="225">
        <f t="shared" si="18"/>
        <v>773.182</v>
      </c>
    </row>
    <row r="324" ht="15.2" spans="1:14">
      <c r="A324" s="219"/>
      <c r="B324" s="216"/>
      <c r="C324" s="217"/>
      <c r="D324" s="218"/>
      <c r="E324" s="220"/>
      <c r="F324" s="221"/>
      <c r="G324" s="223"/>
      <c r="H324" s="220"/>
      <c r="I324" s="224"/>
      <c r="J324" s="224"/>
      <c r="K324" s="220"/>
      <c r="L324" s="225"/>
      <c r="M324" s="225"/>
      <c r="N324" s="225"/>
    </row>
    <row r="325" ht="15.2" spans="1:14">
      <c r="A325" s="219">
        <v>44966</v>
      </c>
      <c r="B325" s="216" t="s">
        <v>238</v>
      </c>
      <c r="C325" s="217">
        <v>8904290611781</v>
      </c>
      <c r="D325" s="218">
        <v>1</v>
      </c>
      <c r="E325" s="218">
        <v>2799</v>
      </c>
      <c r="F325" s="218">
        <v>1847.34</v>
      </c>
      <c r="G325" s="223">
        <f t="shared" si="16"/>
        <v>64.9874955341193</v>
      </c>
      <c r="H325" s="220">
        <f t="shared" si="17"/>
        <v>1819</v>
      </c>
      <c r="I325" s="224"/>
      <c r="J325" s="224"/>
      <c r="K325" s="218">
        <v>980</v>
      </c>
      <c r="L325" s="225"/>
      <c r="M325" s="225"/>
      <c r="N325" s="225">
        <f t="shared" si="18"/>
        <v>-867.34</v>
      </c>
    </row>
    <row r="326" ht="15.2" spans="1:14">
      <c r="A326" s="219">
        <v>44966</v>
      </c>
      <c r="B326" s="216" t="s">
        <v>238</v>
      </c>
      <c r="C326" s="217" t="s">
        <v>162</v>
      </c>
      <c r="D326" s="218">
        <v>1</v>
      </c>
      <c r="E326" s="218">
        <v>2000</v>
      </c>
      <c r="F326" s="218">
        <v>1320</v>
      </c>
      <c r="G326" s="223">
        <f t="shared" si="16"/>
        <v>0</v>
      </c>
      <c r="H326" s="220">
        <f t="shared" si="17"/>
        <v>0</v>
      </c>
      <c r="I326" s="224"/>
      <c r="J326" s="224"/>
      <c r="K326" s="218">
        <v>2000</v>
      </c>
      <c r="L326" s="225"/>
      <c r="M326" s="225">
        <v>2980</v>
      </c>
      <c r="N326" s="225">
        <f t="shared" si="18"/>
        <v>680</v>
      </c>
    </row>
    <row r="327" ht="15.2" spans="1:14">
      <c r="A327" s="219"/>
      <c r="B327" s="216"/>
      <c r="C327" s="217"/>
      <c r="D327" s="218"/>
      <c r="E327" s="220"/>
      <c r="F327" s="221"/>
      <c r="G327" s="223"/>
      <c r="H327" s="220"/>
      <c r="I327" s="224"/>
      <c r="J327" s="224"/>
      <c r="K327" s="220"/>
      <c r="L327" s="225"/>
      <c r="M327" s="225"/>
      <c r="N327" s="225"/>
    </row>
    <row r="328" ht="15.2" spans="1:14">
      <c r="A328" s="219">
        <v>44966</v>
      </c>
      <c r="B328" s="216" t="s">
        <v>239</v>
      </c>
      <c r="C328" s="217">
        <v>8907686772844</v>
      </c>
      <c r="D328" s="218">
        <v>1</v>
      </c>
      <c r="E328" s="218">
        <v>1899</v>
      </c>
      <c r="F328" s="218">
        <v>1253.34</v>
      </c>
      <c r="G328" s="223">
        <f t="shared" si="16"/>
        <v>74.9868351764086</v>
      </c>
      <c r="H328" s="220">
        <f t="shared" si="17"/>
        <v>1424</v>
      </c>
      <c r="I328" s="224"/>
      <c r="J328" s="224"/>
      <c r="K328" s="218">
        <v>475</v>
      </c>
      <c r="L328" s="225"/>
      <c r="M328" s="225"/>
      <c r="N328" s="225">
        <f t="shared" si="18"/>
        <v>-778.34</v>
      </c>
    </row>
    <row r="329" ht="15.2" spans="1:14">
      <c r="A329" s="219">
        <v>44966</v>
      </c>
      <c r="B329" s="216" t="s">
        <v>239</v>
      </c>
      <c r="C329" s="217">
        <v>8904290618667</v>
      </c>
      <c r="D329" s="218">
        <v>1</v>
      </c>
      <c r="E329" s="218">
        <v>1999</v>
      </c>
      <c r="F329" s="218">
        <v>1319.34</v>
      </c>
      <c r="G329" s="223">
        <f t="shared" si="16"/>
        <v>74.9874937468734</v>
      </c>
      <c r="H329" s="220">
        <f t="shared" si="17"/>
        <v>1499</v>
      </c>
      <c r="I329" s="224"/>
      <c r="J329" s="224"/>
      <c r="K329" s="218">
        <v>500</v>
      </c>
      <c r="L329" s="225"/>
      <c r="M329" s="225"/>
      <c r="N329" s="225">
        <f t="shared" si="18"/>
        <v>-819.34</v>
      </c>
    </row>
    <row r="330" ht="15.2" spans="1:14">
      <c r="A330" s="219">
        <v>44966</v>
      </c>
      <c r="B330" s="216" t="s">
        <v>239</v>
      </c>
      <c r="C330" s="217">
        <v>8907259475585</v>
      </c>
      <c r="D330" s="218">
        <v>1</v>
      </c>
      <c r="E330" s="218">
        <v>425</v>
      </c>
      <c r="F330" s="218">
        <v>280.5</v>
      </c>
      <c r="G330" s="223">
        <f t="shared" si="16"/>
        <v>0</v>
      </c>
      <c r="H330" s="220">
        <f t="shared" si="17"/>
        <v>0</v>
      </c>
      <c r="I330" s="224"/>
      <c r="J330" s="224"/>
      <c r="K330" s="218">
        <v>425</v>
      </c>
      <c r="L330" s="225"/>
      <c r="M330" s="225"/>
      <c r="N330" s="225">
        <f t="shared" si="18"/>
        <v>144.5</v>
      </c>
    </row>
    <row r="331" ht="15.2" spans="1:14">
      <c r="A331" s="219">
        <v>44966</v>
      </c>
      <c r="B331" s="216" t="s">
        <v>239</v>
      </c>
      <c r="C331" s="217">
        <v>8907686179339</v>
      </c>
      <c r="D331" s="218">
        <v>1</v>
      </c>
      <c r="E331" s="218">
        <v>398</v>
      </c>
      <c r="F331" s="218">
        <v>262.68</v>
      </c>
      <c r="G331" s="223">
        <f t="shared" si="16"/>
        <v>-65.0753768844221</v>
      </c>
      <c r="H331" s="220">
        <f t="shared" si="17"/>
        <v>-259</v>
      </c>
      <c r="I331" s="224"/>
      <c r="J331" s="224"/>
      <c r="K331" s="218">
        <v>657</v>
      </c>
      <c r="L331" s="225"/>
      <c r="M331" s="225"/>
      <c r="N331" s="225">
        <f t="shared" si="18"/>
        <v>394.32</v>
      </c>
    </row>
    <row r="332" ht="15.2" spans="1:14">
      <c r="A332" s="219">
        <v>44966</v>
      </c>
      <c r="B332" s="216" t="s">
        <v>239</v>
      </c>
      <c r="C332" s="217">
        <v>8907686694245</v>
      </c>
      <c r="D332" s="218">
        <v>1</v>
      </c>
      <c r="E332" s="218">
        <v>699</v>
      </c>
      <c r="F332" s="218">
        <v>461.34</v>
      </c>
      <c r="G332" s="223">
        <f t="shared" si="16"/>
        <v>44.9213161659514</v>
      </c>
      <c r="H332" s="220">
        <f t="shared" si="17"/>
        <v>314</v>
      </c>
      <c r="I332" s="224"/>
      <c r="J332" s="224"/>
      <c r="K332" s="218">
        <v>385</v>
      </c>
      <c r="L332" s="225"/>
      <c r="M332" s="225">
        <v>2442</v>
      </c>
      <c r="N332" s="225">
        <f t="shared" si="18"/>
        <v>-76.34</v>
      </c>
    </row>
    <row r="333" ht="15.2" spans="1:14">
      <c r="A333" s="219"/>
      <c r="B333" s="216"/>
      <c r="C333" s="217"/>
      <c r="D333" s="218"/>
      <c r="E333" s="220"/>
      <c r="F333" s="221"/>
      <c r="G333" s="223"/>
      <c r="H333" s="220"/>
      <c r="I333" s="224"/>
      <c r="J333" s="224"/>
      <c r="K333" s="220"/>
      <c r="L333" s="225"/>
      <c r="M333" s="225"/>
      <c r="N333" s="225"/>
    </row>
    <row r="334" ht="15.2" spans="1:14">
      <c r="A334" s="219">
        <v>44966</v>
      </c>
      <c r="B334" s="216" t="s">
        <v>240</v>
      </c>
      <c r="C334" s="217">
        <v>8907036515909</v>
      </c>
      <c r="D334" s="218">
        <v>1</v>
      </c>
      <c r="E334" s="218"/>
      <c r="F334" s="218"/>
      <c r="G334" s="223"/>
      <c r="H334" s="220"/>
      <c r="I334" s="224"/>
      <c r="J334" s="224"/>
      <c r="K334" s="220">
        <v>400</v>
      </c>
      <c r="L334" s="225"/>
      <c r="M334" s="225"/>
      <c r="N334" s="225">
        <f t="shared" si="18"/>
        <v>400</v>
      </c>
    </row>
    <row r="335" ht="15.2" spans="1:14">
      <c r="A335" s="219">
        <v>44966</v>
      </c>
      <c r="B335" s="216" t="s">
        <v>240</v>
      </c>
      <c r="C335" s="217">
        <v>8907259480930</v>
      </c>
      <c r="D335" s="218">
        <v>1</v>
      </c>
      <c r="E335" s="218">
        <v>1999</v>
      </c>
      <c r="F335" s="218">
        <v>1319.34</v>
      </c>
      <c r="G335" s="223">
        <f t="shared" ref="G335:G397" si="19">(H335*100)/(E335*D335)</f>
        <v>74.9874937468734</v>
      </c>
      <c r="H335" s="220">
        <f t="shared" ref="H335:H397" si="20">D335*E335-K335</f>
        <v>1499</v>
      </c>
      <c r="I335" s="224"/>
      <c r="J335" s="224"/>
      <c r="K335" s="220">
        <v>500</v>
      </c>
      <c r="L335" s="225"/>
      <c r="M335" s="225"/>
      <c r="N335" s="225">
        <f t="shared" si="18"/>
        <v>-819.34</v>
      </c>
    </row>
    <row r="336" ht="15.2" spans="1:14">
      <c r="A336" s="219">
        <v>44966</v>
      </c>
      <c r="B336" s="216" t="s">
        <v>240</v>
      </c>
      <c r="C336" s="217">
        <v>8907687169667</v>
      </c>
      <c r="D336" s="218">
        <v>1</v>
      </c>
      <c r="E336" s="218">
        <v>1399</v>
      </c>
      <c r="F336" s="218">
        <v>923.34</v>
      </c>
      <c r="G336" s="223">
        <f t="shared" si="19"/>
        <v>74.9821300929235</v>
      </c>
      <c r="H336" s="220">
        <f t="shared" si="20"/>
        <v>1049</v>
      </c>
      <c r="I336" s="224"/>
      <c r="J336" s="224"/>
      <c r="K336" s="220">
        <v>350</v>
      </c>
      <c r="L336" s="225"/>
      <c r="M336" s="225"/>
      <c r="N336" s="225">
        <f t="shared" si="18"/>
        <v>-573.34</v>
      </c>
    </row>
    <row r="337" ht="15.2" spans="1:14">
      <c r="A337" s="219">
        <v>44966</v>
      </c>
      <c r="B337" s="216" t="s">
        <v>240</v>
      </c>
      <c r="C337" s="217">
        <v>8907686312460</v>
      </c>
      <c r="D337" s="218">
        <v>1</v>
      </c>
      <c r="E337" s="218">
        <v>1399</v>
      </c>
      <c r="F337" s="218">
        <v>923.34</v>
      </c>
      <c r="G337" s="223">
        <f t="shared" si="19"/>
        <v>74.9821300929235</v>
      </c>
      <c r="H337" s="220">
        <f t="shared" si="20"/>
        <v>1049</v>
      </c>
      <c r="I337" s="224"/>
      <c r="J337" s="224"/>
      <c r="K337" s="220">
        <v>350</v>
      </c>
      <c r="L337" s="225"/>
      <c r="M337" s="225"/>
      <c r="N337" s="225">
        <f t="shared" si="18"/>
        <v>-573.34</v>
      </c>
    </row>
    <row r="338" ht="15.2" spans="1:14">
      <c r="A338" s="219">
        <v>44966</v>
      </c>
      <c r="B338" s="216" t="s">
        <v>240</v>
      </c>
      <c r="C338" s="217">
        <v>8907259475585</v>
      </c>
      <c r="D338" s="218">
        <v>2</v>
      </c>
      <c r="E338" s="218">
        <v>425</v>
      </c>
      <c r="F338" s="218">
        <v>280.5</v>
      </c>
      <c r="G338" s="223">
        <f t="shared" si="19"/>
        <v>50</v>
      </c>
      <c r="H338" s="220">
        <f t="shared" si="20"/>
        <v>425</v>
      </c>
      <c r="I338" s="224"/>
      <c r="J338" s="224"/>
      <c r="K338" s="220">
        <v>425</v>
      </c>
      <c r="L338" s="225"/>
      <c r="M338" s="225"/>
      <c r="N338" s="225">
        <f t="shared" si="18"/>
        <v>-136</v>
      </c>
    </row>
    <row r="339" ht="15.2" spans="1:14">
      <c r="A339" s="219">
        <v>44966</v>
      </c>
      <c r="B339" s="216" t="s">
        <v>240</v>
      </c>
      <c r="C339" s="217">
        <v>8907797002335</v>
      </c>
      <c r="D339" s="218">
        <v>3</v>
      </c>
      <c r="E339" s="218">
        <v>239</v>
      </c>
      <c r="F339" s="218">
        <v>157.74</v>
      </c>
      <c r="G339" s="223">
        <f t="shared" si="19"/>
        <v>45.0488145048814</v>
      </c>
      <c r="H339" s="220">
        <f t="shared" si="20"/>
        <v>323</v>
      </c>
      <c r="I339" s="224"/>
      <c r="J339" s="224"/>
      <c r="K339" s="220">
        <v>394</v>
      </c>
      <c r="L339" s="225"/>
      <c r="M339" s="225">
        <v>2419</v>
      </c>
      <c r="N339" s="225">
        <f t="shared" si="18"/>
        <v>-79.22</v>
      </c>
    </row>
    <row r="340" ht="15.2" spans="1:14">
      <c r="A340" s="219"/>
      <c r="B340" s="216"/>
      <c r="C340" s="217"/>
      <c r="D340" s="218"/>
      <c r="E340" s="220"/>
      <c r="F340" s="221"/>
      <c r="G340" s="223"/>
      <c r="H340" s="220"/>
      <c r="I340" s="224"/>
      <c r="J340" s="224"/>
      <c r="K340" s="220"/>
      <c r="L340" s="225"/>
      <c r="M340" s="225"/>
      <c r="N340" s="225"/>
    </row>
    <row r="341" ht="15.2" spans="1:14">
      <c r="A341" s="219">
        <v>44966</v>
      </c>
      <c r="B341" s="216" t="s">
        <v>241</v>
      </c>
      <c r="C341" s="217">
        <v>8907686415352</v>
      </c>
      <c r="D341" s="218">
        <v>1</v>
      </c>
      <c r="E341" s="218">
        <v>3499</v>
      </c>
      <c r="F341" s="218">
        <v>2309.34</v>
      </c>
      <c r="G341" s="223">
        <f t="shared" si="19"/>
        <v>65.1328951128894</v>
      </c>
      <c r="H341" s="220">
        <f t="shared" si="20"/>
        <v>2279</v>
      </c>
      <c r="I341" s="224"/>
      <c r="J341" s="224"/>
      <c r="K341" s="218">
        <v>1220</v>
      </c>
      <c r="L341" s="225"/>
      <c r="M341" s="225"/>
      <c r="N341" s="225">
        <f t="shared" ref="N341:N403" si="21">K341-(D341*F341)</f>
        <v>-1089.34</v>
      </c>
    </row>
    <row r="342" ht="15.2" spans="1:14">
      <c r="A342" s="219">
        <v>44966</v>
      </c>
      <c r="B342" s="216" t="s">
        <v>241</v>
      </c>
      <c r="C342" s="217">
        <v>8907686301297</v>
      </c>
      <c r="D342" s="218">
        <v>1</v>
      </c>
      <c r="E342" s="218">
        <v>2199</v>
      </c>
      <c r="F342" s="218">
        <v>1451.34</v>
      </c>
      <c r="G342" s="223">
        <f t="shared" si="19"/>
        <v>65.893587994543</v>
      </c>
      <c r="H342" s="220">
        <f t="shared" si="20"/>
        <v>1449</v>
      </c>
      <c r="I342" s="224"/>
      <c r="J342" s="224"/>
      <c r="K342" s="218">
        <v>750</v>
      </c>
      <c r="L342" s="225"/>
      <c r="M342" s="225"/>
      <c r="N342" s="225">
        <f t="shared" si="21"/>
        <v>-701.34</v>
      </c>
    </row>
    <row r="343" ht="15.2" spans="1:14">
      <c r="A343" s="219">
        <v>44966</v>
      </c>
      <c r="B343" s="216" t="s">
        <v>241</v>
      </c>
      <c r="C343" s="217">
        <v>8907686779065</v>
      </c>
      <c r="D343" s="218">
        <v>1</v>
      </c>
      <c r="E343" s="218">
        <v>1199</v>
      </c>
      <c r="F343" s="218">
        <v>791.34</v>
      </c>
      <c r="G343" s="223">
        <f t="shared" si="19"/>
        <v>66.6388657214345</v>
      </c>
      <c r="H343" s="220">
        <f t="shared" si="20"/>
        <v>799</v>
      </c>
      <c r="I343" s="224"/>
      <c r="J343" s="224"/>
      <c r="K343" s="218">
        <v>400</v>
      </c>
      <c r="L343" s="225"/>
      <c r="M343" s="225"/>
      <c r="N343" s="225">
        <f t="shared" si="21"/>
        <v>-391.34</v>
      </c>
    </row>
    <row r="344" ht="15.2" spans="1:14">
      <c r="A344" s="219">
        <v>44966</v>
      </c>
      <c r="B344" s="216" t="s">
        <v>241</v>
      </c>
      <c r="C344" s="217">
        <v>8907686134826</v>
      </c>
      <c r="D344" s="218">
        <v>1</v>
      </c>
      <c r="E344" s="218">
        <v>849</v>
      </c>
      <c r="F344" s="218">
        <v>560.34</v>
      </c>
      <c r="G344" s="223">
        <f t="shared" si="19"/>
        <v>69.7290930506478</v>
      </c>
      <c r="H344" s="220">
        <f t="shared" si="20"/>
        <v>592</v>
      </c>
      <c r="I344" s="224"/>
      <c r="J344" s="224"/>
      <c r="K344" s="218">
        <v>257</v>
      </c>
      <c r="L344" s="225"/>
      <c r="M344" s="225"/>
      <c r="N344" s="225">
        <f t="shared" si="21"/>
        <v>-303.34</v>
      </c>
    </row>
    <row r="345" ht="15.2" spans="1:14">
      <c r="A345" s="219">
        <v>44966</v>
      </c>
      <c r="B345" s="216" t="s">
        <v>241</v>
      </c>
      <c r="C345" s="217">
        <v>8907538826244</v>
      </c>
      <c r="D345" s="218">
        <v>1</v>
      </c>
      <c r="E345" s="218">
        <v>2799</v>
      </c>
      <c r="F345" s="218">
        <v>1847.34</v>
      </c>
      <c r="G345" s="223">
        <f t="shared" si="19"/>
        <v>65.2375848517328</v>
      </c>
      <c r="H345" s="220">
        <f t="shared" si="20"/>
        <v>1826</v>
      </c>
      <c r="I345" s="224"/>
      <c r="J345" s="224"/>
      <c r="K345" s="218">
        <v>973</v>
      </c>
      <c r="L345" s="225"/>
      <c r="M345" s="225">
        <v>3600</v>
      </c>
      <c r="N345" s="225">
        <f t="shared" si="21"/>
        <v>-874.34</v>
      </c>
    </row>
    <row r="346" ht="15.2" spans="1:14">
      <c r="A346" s="219"/>
      <c r="B346" s="216"/>
      <c r="C346" s="217"/>
      <c r="D346" s="218"/>
      <c r="E346" s="220"/>
      <c r="F346" s="221"/>
      <c r="G346" s="223"/>
      <c r="H346" s="220"/>
      <c r="I346" s="224"/>
      <c r="J346" s="224"/>
      <c r="K346" s="220"/>
      <c r="L346" s="225"/>
      <c r="M346" s="225"/>
      <c r="N346" s="225"/>
    </row>
    <row r="347" ht="15.2" spans="1:14">
      <c r="A347" s="219">
        <v>44966</v>
      </c>
      <c r="B347" s="216" t="s">
        <v>242</v>
      </c>
      <c r="C347" s="217" t="s">
        <v>243</v>
      </c>
      <c r="D347" s="218">
        <v>1.6</v>
      </c>
      <c r="E347" s="218">
        <v>1030</v>
      </c>
      <c r="F347" s="218">
        <v>316</v>
      </c>
      <c r="G347" s="223">
        <f t="shared" si="19"/>
        <v>50</v>
      </c>
      <c r="H347" s="220">
        <f t="shared" si="20"/>
        <v>824</v>
      </c>
      <c r="I347" s="224">
        <v>784.761904761905</v>
      </c>
      <c r="J347" s="224">
        <v>39.2380952380952</v>
      </c>
      <c r="K347" s="218">
        <v>824</v>
      </c>
      <c r="L347" s="225"/>
      <c r="M347" s="225"/>
      <c r="N347" s="225">
        <f t="shared" si="21"/>
        <v>318.4</v>
      </c>
    </row>
    <row r="348" ht="15.2" spans="1:14">
      <c r="A348" s="219">
        <v>44966</v>
      </c>
      <c r="B348" s="216" t="s">
        <v>242</v>
      </c>
      <c r="C348" s="217">
        <v>8904290618919</v>
      </c>
      <c r="D348" s="218">
        <v>1</v>
      </c>
      <c r="E348" s="218">
        <v>2499</v>
      </c>
      <c r="F348" s="218">
        <v>1649.34</v>
      </c>
      <c r="G348" s="223">
        <f t="shared" si="19"/>
        <v>64.9859943977591</v>
      </c>
      <c r="H348" s="220">
        <f t="shared" si="20"/>
        <v>1624</v>
      </c>
      <c r="I348" s="224"/>
      <c r="J348" s="224"/>
      <c r="K348" s="218">
        <v>875</v>
      </c>
      <c r="L348" s="225"/>
      <c r="M348" s="225">
        <v>1699</v>
      </c>
      <c r="N348" s="225">
        <f t="shared" si="21"/>
        <v>-774.34</v>
      </c>
    </row>
    <row r="349" ht="15.2" spans="1:14">
      <c r="A349" s="219"/>
      <c r="B349" s="216"/>
      <c r="C349" s="217"/>
      <c r="D349" s="218"/>
      <c r="E349" s="220"/>
      <c r="F349" s="221"/>
      <c r="G349" s="223"/>
      <c r="H349" s="220"/>
      <c r="I349" s="224"/>
      <c r="J349" s="224"/>
      <c r="K349" s="220"/>
      <c r="L349" s="225"/>
      <c r="M349" s="225"/>
      <c r="N349" s="225"/>
    </row>
    <row r="350" ht="15.2" spans="1:14">
      <c r="A350" s="219">
        <v>44966</v>
      </c>
      <c r="B350" s="216" t="s">
        <v>244</v>
      </c>
      <c r="C350" s="217" t="s">
        <v>201</v>
      </c>
      <c r="D350" s="218">
        <v>1.2</v>
      </c>
      <c r="E350" s="218">
        <v>4850</v>
      </c>
      <c r="F350" s="218">
        <v>1619</v>
      </c>
      <c r="G350" s="223">
        <f t="shared" si="19"/>
        <v>50</v>
      </c>
      <c r="H350" s="220">
        <f t="shared" si="20"/>
        <v>2910</v>
      </c>
      <c r="I350" s="224">
        <v>2771.42857142857</v>
      </c>
      <c r="J350" s="224">
        <v>138.571428571429</v>
      </c>
      <c r="K350" s="220">
        <v>2910</v>
      </c>
      <c r="L350" s="225"/>
      <c r="M350" s="225">
        <v>2910</v>
      </c>
      <c r="N350" s="225">
        <f t="shared" si="21"/>
        <v>967.2</v>
      </c>
    </row>
    <row r="351" ht="15.2" spans="1:14">
      <c r="A351" s="219"/>
      <c r="B351" s="216"/>
      <c r="C351" s="217"/>
      <c r="D351" s="218"/>
      <c r="E351" s="220"/>
      <c r="F351" s="221"/>
      <c r="G351" s="223"/>
      <c r="H351" s="220"/>
      <c r="I351" s="224"/>
      <c r="J351" s="224"/>
      <c r="K351" s="220"/>
      <c r="L351" s="225"/>
      <c r="M351" s="225"/>
      <c r="N351" s="225"/>
    </row>
    <row r="352" ht="15.2" spans="1:14">
      <c r="A352" s="219">
        <v>44966</v>
      </c>
      <c r="B352" s="216" t="s">
        <v>245</v>
      </c>
      <c r="C352" s="217">
        <v>8907686415352</v>
      </c>
      <c r="D352" s="218">
        <v>1</v>
      </c>
      <c r="E352" s="218">
        <v>3499</v>
      </c>
      <c r="F352" s="218">
        <v>2309.34</v>
      </c>
      <c r="G352" s="223">
        <f t="shared" si="19"/>
        <v>65.7044869962847</v>
      </c>
      <c r="H352" s="220">
        <f t="shared" si="20"/>
        <v>2299</v>
      </c>
      <c r="I352" s="224"/>
      <c r="J352" s="224"/>
      <c r="K352" s="220">
        <v>1200</v>
      </c>
      <c r="L352" s="225"/>
      <c r="M352" s="225">
        <v>1200</v>
      </c>
      <c r="N352" s="225">
        <f t="shared" si="21"/>
        <v>-1109.34</v>
      </c>
    </row>
    <row r="353" ht="15.2" spans="1:14">
      <c r="A353" s="219"/>
      <c r="B353" s="216"/>
      <c r="C353" s="217"/>
      <c r="D353" s="218"/>
      <c r="E353" s="220"/>
      <c r="F353" s="221"/>
      <c r="G353" s="223"/>
      <c r="H353" s="220"/>
      <c r="I353" s="224"/>
      <c r="J353" s="224"/>
      <c r="K353" s="220"/>
      <c r="L353" s="225"/>
      <c r="M353" s="225"/>
      <c r="N353" s="225"/>
    </row>
    <row r="354" ht="15.2" spans="1:14">
      <c r="A354" s="219">
        <v>44966</v>
      </c>
      <c r="B354" s="216" t="s">
        <v>246</v>
      </c>
      <c r="C354" s="217">
        <v>8907259480572</v>
      </c>
      <c r="D354" s="218">
        <v>1</v>
      </c>
      <c r="E354" s="218">
        <v>1999</v>
      </c>
      <c r="F354" s="218">
        <v>1319.34</v>
      </c>
      <c r="G354" s="223">
        <f t="shared" si="19"/>
        <v>74.9874937468734</v>
      </c>
      <c r="H354" s="220">
        <f t="shared" si="20"/>
        <v>1499</v>
      </c>
      <c r="I354" s="224"/>
      <c r="J354" s="224"/>
      <c r="K354" s="218">
        <v>500</v>
      </c>
      <c r="L354" s="225"/>
      <c r="M354" s="225"/>
      <c r="N354" s="225">
        <f t="shared" si="21"/>
        <v>-819.34</v>
      </c>
    </row>
    <row r="355" ht="15.2" spans="1:14">
      <c r="A355" s="219">
        <v>44966</v>
      </c>
      <c r="B355" s="216" t="s">
        <v>246</v>
      </c>
      <c r="C355" s="217">
        <v>8907259517292</v>
      </c>
      <c r="D355" s="218">
        <v>1</v>
      </c>
      <c r="E355" s="218">
        <v>1899</v>
      </c>
      <c r="F355" s="218">
        <v>1253.34</v>
      </c>
      <c r="G355" s="223">
        <f t="shared" si="19"/>
        <v>74.9868351764086</v>
      </c>
      <c r="H355" s="220">
        <f t="shared" si="20"/>
        <v>1424</v>
      </c>
      <c r="I355" s="224"/>
      <c r="J355" s="224"/>
      <c r="K355" s="218">
        <v>475</v>
      </c>
      <c r="L355" s="225"/>
      <c r="M355" s="225">
        <v>975</v>
      </c>
      <c r="N355" s="225">
        <f t="shared" si="21"/>
        <v>-778.34</v>
      </c>
    </row>
    <row r="356" ht="15.2" spans="1:14">
      <c r="A356" s="219"/>
      <c r="B356" s="216"/>
      <c r="C356" s="217"/>
      <c r="D356" s="218"/>
      <c r="E356" s="220"/>
      <c r="F356" s="221"/>
      <c r="G356" s="223"/>
      <c r="H356" s="220"/>
      <c r="I356" s="224"/>
      <c r="J356" s="224"/>
      <c r="K356" s="220"/>
      <c r="L356" s="225"/>
      <c r="M356" s="225"/>
      <c r="N356" s="225"/>
    </row>
    <row r="357" ht="15.2" spans="1:14">
      <c r="A357" s="219">
        <v>44967</v>
      </c>
      <c r="B357" s="216" t="s">
        <v>247</v>
      </c>
      <c r="C357" s="217">
        <v>8907686661834</v>
      </c>
      <c r="D357" s="218">
        <v>1</v>
      </c>
      <c r="E357" s="218">
        <v>449</v>
      </c>
      <c r="F357" s="218">
        <v>296.34</v>
      </c>
      <c r="G357" s="223">
        <f t="shared" si="19"/>
        <v>45</v>
      </c>
      <c r="H357" s="220">
        <f t="shared" si="20"/>
        <v>202.05</v>
      </c>
      <c r="I357" s="224"/>
      <c r="J357" s="224"/>
      <c r="K357" s="218">
        <v>246.95</v>
      </c>
      <c r="L357" s="225"/>
      <c r="M357" s="225"/>
      <c r="N357" s="225">
        <f t="shared" si="21"/>
        <v>-49.39</v>
      </c>
    </row>
    <row r="358" ht="15.2" spans="1:14">
      <c r="A358" s="219">
        <v>44967</v>
      </c>
      <c r="B358" s="216" t="s">
        <v>247</v>
      </c>
      <c r="C358" s="217">
        <v>8907686185446</v>
      </c>
      <c r="D358" s="218">
        <v>1</v>
      </c>
      <c r="E358" s="218">
        <v>1099</v>
      </c>
      <c r="F358" s="218">
        <v>725.34</v>
      </c>
      <c r="G358" s="223">
        <f t="shared" si="19"/>
        <v>45</v>
      </c>
      <c r="H358" s="220">
        <f t="shared" si="20"/>
        <v>494.55</v>
      </c>
      <c r="I358" s="224"/>
      <c r="J358" s="224"/>
      <c r="K358" s="218">
        <v>604.45</v>
      </c>
      <c r="L358" s="225">
        <v>-0.4</v>
      </c>
      <c r="M358" s="225">
        <v>851</v>
      </c>
      <c r="N358" s="225">
        <f t="shared" si="21"/>
        <v>-120.89</v>
      </c>
    </row>
    <row r="359" ht="15.2" spans="1:14">
      <c r="A359" s="219"/>
      <c r="B359" s="216"/>
      <c r="C359" s="217"/>
      <c r="D359" s="218"/>
      <c r="E359" s="220"/>
      <c r="F359" s="221"/>
      <c r="G359" s="223"/>
      <c r="H359" s="220"/>
      <c r="I359" s="224"/>
      <c r="J359" s="224"/>
      <c r="K359" s="220"/>
      <c r="L359" s="225"/>
      <c r="M359" s="225"/>
      <c r="N359" s="225"/>
    </row>
    <row r="360" ht="15.2" spans="1:14">
      <c r="A360" s="219">
        <v>44967</v>
      </c>
      <c r="B360" s="216" t="s">
        <v>248</v>
      </c>
      <c r="C360" s="217" t="s">
        <v>173</v>
      </c>
      <c r="D360" s="218">
        <v>1.6</v>
      </c>
      <c r="E360" s="218">
        <v>950</v>
      </c>
      <c r="F360" s="218">
        <v>321.47</v>
      </c>
      <c r="G360" s="223">
        <f t="shared" si="19"/>
        <v>50</v>
      </c>
      <c r="H360" s="220">
        <f t="shared" si="20"/>
        <v>760</v>
      </c>
      <c r="I360" s="224">
        <v>723.809523809524</v>
      </c>
      <c r="J360" s="224">
        <v>36.1904761904762</v>
      </c>
      <c r="K360" s="218">
        <v>760</v>
      </c>
      <c r="L360" s="225"/>
      <c r="M360" s="225"/>
      <c r="N360" s="225">
        <f t="shared" si="21"/>
        <v>245.648</v>
      </c>
    </row>
    <row r="361" ht="15.2" spans="1:14">
      <c r="A361" s="219">
        <v>44967</v>
      </c>
      <c r="B361" s="216" t="s">
        <v>248</v>
      </c>
      <c r="C361" s="217" t="s">
        <v>24</v>
      </c>
      <c r="D361" s="218">
        <v>1.2</v>
      </c>
      <c r="E361" s="218">
        <v>1050</v>
      </c>
      <c r="F361" s="218">
        <v>279.3</v>
      </c>
      <c r="G361" s="223">
        <f t="shared" si="19"/>
        <v>50</v>
      </c>
      <c r="H361" s="220">
        <f t="shared" si="20"/>
        <v>630</v>
      </c>
      <c r="I361" s="224">
        <v>600</v>
      </c>
      <c r="J361" s="224">
        <v>30</v>
      </c>
      <c r="K361" s="218">
        <v>630</v>
      </c>
      <c r="L361" s="225"/>
      <c r="M361" s="225">
        <v>1390</v>
      </c>
      <c r="N361" s="225">
        <f t="shared" si="21"/>
        <v>294.84</v>
      </c>
    </row>
    <row r="362" ht="15.2" spans="1:14">
      <c r="A362" s="219"/>
      <c r="B362" s="216"/>
      <c r="C362" s="217"/>
      <c r="D362" s="218"/>
      <c r="E362" s="220"/>
      <c r="F362" s="221"/>
      <c r="G362" s="223"/>
      <c r="H362" s="220"/>
      <c r="I362" s="224"/>
      <c r="J362" s="224"/>
      <c r="K362" s="220"/>
      <c r="L362" s="225"/>
      <c r="M362" s="225"/>
      <c r="N362" s="225"/>
    </row>
    <row r="363" ht="15.2" spans="1:14">
      <c r="A363" s="219">
        <v>44967</v>
      </c>
      <c r="B363" s="216" t="s">
        <v>249</v>
      </c>
      <c r="C363" s="217">
        <v>510000000484</v>
      </c>
      <c r="D363" s="218">
        <v>1</v>
      </c>
      <c r="E363" s="218">
        <v>1999</v>
      </c>
      <c r="F363" s="218">
        <v>1319.34</v>
      </c>
      <c r="G363" s="223">
        <f t="shared" si="19"/>
        <v>65</v>
      </c>
      <c r="H363" s="220">
        <f t="shared" si="20"/>
        <v>1299.35</v>
      </c>
      <c r="I363" s="224"/>
      <c r="J363" s="224"/>
      <c r="K363" s="218">
        <v>699.65</v>
      </c>
      <c r="L363" s="225"/>
      <c r="M363" s="225"/>
      <c r="N363" s="225">
        <f t="shared" si="21"/>
        <v>-619.69</v>
      </c>
    </row>
    <row r="364" ht="15.2" spans="1:14">
      <c r="A364" s="219">
        <v>44967</v>
      </c>
      <c r="B364" s="216" t="s">
        <v>249</v>
      </c>
      <c r="C364" s="217">
        <v>8904290614768</v>
      </c>
      <c r="D364" s="218">
        <v>1</v>
      </c>
      <c r="E364" s="218">
        <v>2099</v>
      </c>
      <c r="F364" s="218">
        <v>1385.34</v>
      </c>
      <c r="G364" s="223">
        <f t="shared" si="19"/>
        <v>70</v>
      </c>
      <c r="H364" s="220">
        <f t="shared" si="20"/>
        <v>1469.3</v>
      </c>
      <c r="I364" s="224"/>
      <c r="J364" s="224"/>
      <c r="K364" s="218">
        <v>629.7</v>
      </c>
      <c r="L364" s="225"/>
      <c r="M364" s="225"/>
      <c r="N364" s="225">
        <f t="shared" si="21"/>
        <v>-755.64</v>
      </c>
    </row>
    <row r="365" ht="15.2" spans="1:14">
      <c r="A365" s="219">
        <v>44967</v>
      </c>
      <c r="B365" s="216" t="s">
        <v>249</v>
      </c>
      <c r="C365" s="217">
        <v>8904290618353</v>
      </c>
      <c r="D365" s="218">
        <v>1</v>
      </c>
      <c r="E365" s="218">
        <v>2099</v>
      </c>
      <c r="F365" s="218">
        <v>1385.34</v>
      </c>
      <c r="G365" s="223">
        <f t="shared" si="19"/>
        <v>70</v>
      </c>
      <c r="H365" s="220">
        <f t="shared" si="20"/>
        <v>1469.3</v>
      </c>
      <c r="I365" s="224"/>
      <c r="J365" s="224"/>
      <c r="K365" s="218">
        <v>629.7</v>
      </c>
      <c r="L365" s="225">
        <v>-0.05</v>
      </c>
      <c r="M365" s="225">
        <v>1959</v>
      </c>
      <c r="N365" s="225">
        <f t="shared" si="21"/>
        <v>-755.64</v>
      </c>
    </row>
    <row r="366" ht="15.2" spans="1:14">
      <c r="A366" s="219"/>
      <c r="B366" s="216"/>
      <c r="C366" s="217"/>
      <c r="D366" s="218"/>
      <c r="E366" s="220"/>
      <c r="F366" s="221"/>
      <c r="G366" s="223"/>
      <c r="H366" s="220"/>
      <c r="I366" s="224"/>
      <c r="J366" s="224"/>
      <c r="K366" s="220"/>
      <c r="L366" s="225"/>
      <c r="M366" s="225"/>
      <c r="N366" s="225"/>
    </row>
    <row r="367" ht="15.2" spans="1:14">
      <c r="A367" s="219">
        <v>44967</v>
      </c>
      <c r="B367" s="216" t="s">
        <v>250</v>
      </c>
      <c r="C367" s="217" t="s">
        <v>251</v>
      </c>
      <c r="D367" s="218">
        <v>1.6</v>
      </c>
      <c r="E367" s="218">
        <v>1390</v>
      </c>
      <c r="F367" s="218">
        <v>499</v>
      </c>
      <c r="G367" s="223">
        <f t="shared" si="19"/>
        <v>50</v>
      </c>
      <c r="H367" s="220">
        <f t="shared" si="20"/>
        <v>1112</v>
      </c>
      <c r="I367" s="224">
        <v>1059.04761904762</v>
      </c>
      <c r="J367" s="224">
        <v>52.952380952381</v>
      </c>
      <c r="K367" s="218">
        <v>1112</v>
      </c>
      <c r="L367" s="225"/>
      <c r="M367" s="225"/>
      <c r="N367" s="225">
        <f t="shared" si="21"/>
        <v>313.6</v>
      </c>
    </row>
    <row r="368" ht="15.2" spans="1:14">
      <c r="A368" s="219">
        <v>44967</v>
      </c>
      <c r="B368" s="216" t="s">
        <v>250</v>
      </c>
      <c r="C368" s="217" t="s">
        <v>252</v>
      </c>
      <c r="D368" s="218">
        <v>1.6</v>
      </c>
      <c r="E368" s="218">
        <v>1040</v>
      </c>
      <c r="F368" s="218">
        <v>399</v>
      </c>
      <c r="G368" s="223">
        <f t="shared" si="19"/>
        <v>50</v>
      </c>
      <c r="H368" s="220">
        <f t="shared" si="20"/>
        <v>832</v>
      </c>
      <c r="I368" s="224">
        <v>792.380952380952</v>
      </c>
      <c r="J368" s="224">
        <v>39.6190476190476</v>
      </c>
      <c r="K368" s="218">
        <v>832</v>
      </c>
      <c r="L368" s="225"/>
      <c r="M368" s="225">
        <v>1944</v>
      </c>
      <c r="N368" s="225">
        <f t="shared" si="21"/>
        <v>193.6</v>
      </c>
    </row>
    <row r="369" ht="15.2" spans="1:14">
      <c r="A369" s="219"/>
      <c r="B369" s="216"/>
      <c r="C369" s="217"/>
      <c r="D369" s="218"/>
      <c r="E369" s="220"/>
      <c r="F369" s="221"/>
      <c r="G369" s="223"/>
      <c r="H369" s="220"/>
      <c r="I369" s="224"/>
      <c r="J369" s="224"/>
      <c r="K369" s="220"/>
      <c r="L369" s="225"/>
      <c r="M369" s="225"/>
      <c r="N369" s="225"/>
    </row>
    <row r="370" ht="15.2" spans="1:14">
      <c r="A370" s="219">
        <v>44968</v>
      </c>
      <c r="B370" s="216" t="s">
        <v>253</v>
      </c>
      <c r="C370" s="217" t="s">
        <v>254</v>
      </c>
      <c r="D370" s="218">
        <v>1.6</v>
      </c>
      <c r="E370" s="218">
        <v>1320</v>
      </c>
      <c r="F370" s="218">
        <v>446</v>
      </c>
      <c r="G370" s="223">
        <f t="shared" si="19"/>
        <v>50</v>
      </c>
      <c r="H370" s="220">
        <f t="shared" si="20"/>
        <v>1056</v>
      </c>
      <c r="I370" s="224">
        <v>1005.71428571429</v>
      </c>
      <c r="J370" s="224">
        <v>50.2857142857143</v>
      </c>
      <c r="K370" s="220">
        <v>1056</v>
      </c>
      <c r="L370" s="225"/>
      <c r="M370" s="225">
        <v>1056</v>
      </c>
      <c r="N370" s="225">
        <f t="shared" si="21"/>
        <v>342.4</v>
      </c>
    </row>
    <row r="371" ht="15.2" spans="1:14">
      <c r="A371" s="219"/>
      <c r="B371" s="216"/>
      <c r="C371" s="217"/>
      <c r="D371" s="218"/>
      <c r="E371" s="220"/>
      <c r="F371" s="221"/>
      <c r="G371" s="223"/>
      <c r="H371" s="220"/>
      <c r="I371" s="224"/>
      <c r="J371" s="224"/>
      <c r="K371" s="220"/>
      <c r="L371" s="225"/>
      <c r="M371" s="225"/>
      <c r="N371" s="225"/>
    </row>
    <row r="372" ht="15.2" spans="1:14">
      <c r="A372" s="219">
        <v>44968</v>
      </c>
      <c r="B372" s="216" t="s">
        <v>255</v>
      </c>
      <c r="C372" s="217">
        <v>8907259209753</v>
      </c>
      <c r="D372" s="218">
        <v>1</v>
      </c>
      <c r="E372" s="218">
        <v>4999</v>
      </c>
      <c r="F372" s="218">
        <v>3299.34</v>
      </c>
      <c r="G372" s="223">
        <f t="shared" si="19"/>
        <v>70</v>
      </c>
      <c r="H372" s="220">
        <f t="shared" si="20"/>
        <v>3499.3</v>
      </c>
      <c r="I372" s="224"/>
      <c r="J372" s="224"/>
      <c r="K372" s="220">
        <v>1499.7</v>
      </c>
      <c r="L372" s="225">
        <v>0.3</v>
      </c>
      <c r="M372" s="225">
        <v>1500</v>
      </c>
      <c r="N372" s="225">
        <f t="shared" si="21"/>
        <v>-1799.64</v>
      </c>
    </row>
    <row r="373" ht="15.2" spans="1:14">
      <c r="A373" s="219"/>
      <c r="B373" s="216"/>
      <c r="C373" s="217"/>
      <c r="D373" s="218"/>
      <c r="E373" s="220"/>
      <c r="F373" s="221"/>
      <c r="G373" s="223"/>
      <c r="H373" s="220"/>
      <c r="I373" s="224"/>
      <c r="J373" s="224"/>
      <c r="K373" s="220"/>
      <c r="L373" s="225"/>
      <c r="M373" s="225"/>
      <c r="N373" s="225"/>
    </row>
    <row r="374" ht="15.2" spans="1:14">
      <c r="A374" s="219">
        <v>44968</v>
      </c>
      <c r="B374" s="216" t="s">
        <v>256</v>
      </c>
      <c r="C374" s="217" t="s">
        <v>257</v>
      </c>
      <c r="D374" s="218">
        <v>1.6</v>
      </c>
      <c r="E374" s="218">
        <v>1420</v>
      </c>
      <c r="F374" s="218">
        <v>410</v>
      </c>
      <c r="G374" s="223">
        <f t="shared" si="19"/>
        <v>50</v>
      </c>
      <c r="H374" s="220">
        <f t="shared" si="20"/>
        <v>1136</v>
      </c>
      <c r="I374" s="224">
        <v>1081.90476190476</v>
      </c>
      <c r="J374" s="224">
        <v>54.0952380952381</v>
      </c>
      <c r="K374" s="220">
        <v>1136</v>
      </c>
      <c r="L374" s="225"/>
      <c r="M374" s="225">
        <v>1136</v>
      </c>
      <c r="N374" s="225">
        <f t="shared" si="21"/>
        <v>480</v>
      </c>
    </row>
    <row r="375" ht="15.2" spans="1:14">
      <c r="A375" s="219"/>
      <c r="B375" s="216"/>
      <c r="C375" s="217"/>
      <c r="D375" s="218"/>
      <c r="E375" s="220"/>
      <c r="F375" s="221"/>
      <c r="G375" s="223"/>
      <c r="H375" s="220"/>
      <c r="I375" s="224"/>
      <c r="J375" s="224"/>
      <c r="K375" s="220"/>
      <c r="L375" s="225"/>
      <c r="M375" s="225"/>
      <c r="N375" s="225"/>
    </row>
    <row r="376" ht="15.2" spans="1:14">
      <c r="A376" s="219">
        <v>44968</v>
      </c>
      <c r="B376" s="216" t="s">
        <v>258</v>
      </c>
      <c r="C376" s="217">
        <v>8904290614041</v>
      </c>
      <c r="D376" s="218">
        <v>1</v>
      </c>
      <c r="E376" s="218">
        <v>1899</v>
      </c>
      <c r="F376" s="218">
        <v>1253.34</v>
      </c>
      <c r="G376" s="223">
        <f t="shared" si="19"/>
        <v>70</v>
      </c>
      <c r="H376" s="220">
        <f t="shared" si="20"/>
        <v>1329.3</v>
      </c>
      <c r="I376" s="224"/>
      <c r="J376" s="224"/>
      <c r="K376" s="218">
        <v>569.7</v>
      </c>
      <c r="L376" s="225"/>
      <c r="M376" s="225"/>
      <c r="N376" s="225">
        <f t="shared" si="21"/>
        <v>-683.64</v>
      </c>
    </row>
    <row r="377" ht="15.2" spans="1:14">
      <c r="A377" s="219">
        <v>44968</v>
      </c>
      <c r="B377" s="216" t="s">
        <v>258</v>
      </c>
      <c r="C377" s="217">
        <v>8904290623692</v>
      </c>
      <c r="D377" s="218">
        <v>1</v>
      </c>
      <c r="E377" s="218">
        <v>1799</v>
      </c>
      <c r="F377" s="218">
        <v>1187.34</v>
      </c>
      <c r="G377" s="223">
        <f t="shared" si="19"/>
        <v>70</v>
      </c>
      <c r="H377" s="220">
        <f t="shared" si="20"/>
        <v>1259.3</v>
      </c>
      <c r="I377" s="224"/>
      <c r="J377" s="224"/>
      <c r="K377" s="218">
        <v>539.7</v>
      </c>
      <c r="L377" s="225"/>
      <c r="M377" s="225"/>
      <c r="N377" s="225">
        <f t="shared" si="21"/>
        <v>-647.64</v>
      </c>
    </row>
    <row r="378" ht="15.2" spans="1:14">
      <c r="A378" s="219">
        <v>44968</v>
      </c>
      <c r="B378" s="216" t="s">
        <v>258</v>
      </c>
      <c r="C378" s="217">
        <v>8904290615772</v>
      </c>
      <c r="D378" s="218">
        <v>1</v>
      </c>
      <c r="E378" s="218">
        <v>1999</v>
      </c>
      <c r="F378" s="218">
        <v>1319.34</v>
      </c>
      <c r="G378" s="223">
        <f t="shared" si="19"/>
        <v>70</v>
      </c>
      <c r="H378" s="220">
        <f t="shared" si="20"/>
        <v>1399.3</v>
      </c>
      <c r="I378" s="224"/>
      <c r="J378" s="224"/>
      <c r="K378" s="218">
        <v>599.7</v>
      </c>
      <c r="L378" s="225">
        <v>-0.1</v>
      </c>
      <c r="M378" s="225">
        <v>1709</v>
      </c>
      <c r="N378" s="225">
        <f t="shared" si="21"/>
        <v>-719.64</v>
      </c>
    </row>
    <row r="379" ht="15.2" spans="1:14">
      <c r="A379" s="219"/>
      <c r="B379" s="216"/>
      <c r="C379" s="217"/>
      <c r="D379" s="218"/>
      <c r="E379" s="220"/>
      <c r="F379" s="221"/>
      <c r="G379" s="223"/>
      <c r="H379" s="220"/>
      <c r="I379" s="224"/>
      <c r="J379" s="224"/>
      <c r="K379" s="220"/>
      <c r="L379" s="225"/>
      <c r="M379" s="225"/>
      <c r="N379" s="225"/>
    </row>
    <row r="380" ht="15.2" spans="1:14">
      <c r="A380" s="219">
        <v>44968</v>
      </c>
      <c r="B380" s="216" t="s">
        <v>259</v>
      </c>
      <c r="C380" s="217" t="s">
        <v>260</v>
      </c>
      <c r="D380" s="218">
        <v>1.3</v>
      </c>
      <c r="E380" s="218">
        <v>1290</v>
      </c>
      <c r="F380" s="218">
        <v>409</v>
      </c>
      <c r="G380" s="223">
        <f t="shared" si="19"/>
        <v>50</v>
      </c>
      <c r="H380" s="220">
        <f t="shared" si="20"/>
        <v>838.5</v>
      </c>
      <c r="I380" s="224">
        <v>798.571428571429</v>
      </c>
      <c r="J380" s="224">
        <v>39.9285714285714</v>
      </c>
      <c r="K380" s="218">
        <v>838.5</v>
      </c>
      <c r="L380" s="225"/>
      <c r="M380" s="225"/>
      <c r="N380" s="225">
        <f t="shared" si="21"/>
        <v>306.8</v>
      </c>
    </row>
    <row r="381" ht="15.2" spans="1:14">
      <c r="A381" s="219">
        <v>44968</v>
      </c>
      <c r="B381" s="216" t="s">
        <v>259</v>
      </c>
      <c r="C381" s="217" t="s">
        <v>261</v>
      </c>
      <c r="D381" s="218">
        <v>1.3</v>
      </c>
      <c r="E381" s="218">
        <v>1310</v>
      </c>
      <c r="F381" s="218">
        <v>499</v>
      </c>
      <c r="G381" s="223">
        <f t="shared" si="19"/>
        <v>70</v>
      </c>
      <c r="H381" s="220">
        <f t="shared" si="20"/>
        <v>1192.1</v>
      </c>
      <c r="I381" s="224">
        <v>486.571428571429</v>
      </c>
      <c r="J381" s="224">
        <v>24.3285714285714</v>
      </c>
      <c r="K381" s="218">
        <v>510.9</v>
      </c>
      <c r="L381" s="225">
        <v>-0.4</v>
      </c>
      <c r="M381" s="225">
        <v>1349</v>
      </c>
      <c r="N381" s="225">
        <f t="shared" si="21"/>
        <v>-137.8</v>
      </c>
    </row>
    <row r="382" ht="15.2" spans="1:14">
      <c r="A382" s="219"/>
      <c r="B382" s="216"/>
      <c r="C382" s="217"/>
      <c r="D382" s="218"/>
      <c r="E382" s="220"/>
      <c r="F382" s="221"/>
      <c r="G382" s="223"/>
      <c r="H382" s="220"/>
      <c r="I382" s="224"/>
      <c r="J382" s="224"/>
      <c r="K382" s="220"/>
      <c r="L382" s="225"/>
      <c r="M382" s="225"/>
      <c r="N382" s="225"/>
    </row>
    <row r="383" ht="15.2" spans="1:14">
      <c r="A383" s="219">
        <v>44970</v>
      </c>
      <c r="B383" s="216" t="s">
        <v>262</v>
      </c>
      <c r="C383" s="217" t="s">
        <v>263</v>
      </c>
      <c r="D383" s="218">
        <v>1.2</v>
      </c>
      <c r="E383" s="218">
        <v>1110</v>
      </c>
      <c r="F383" s="218">
        <v>400</v>
      </c>
      <c r="G383" s="223">
        <f t="shared" si="19"/>
        <v>50</v>
      </c>
      <c r="H383" s="220">
        <f t="shared" si="20"/>
        <v>666</v>
      </c>
      <c r="I383" s="224">
        <v>634.285714285714</v>
      </c>
      <c r="J383" s="224">
        <v>31.7142857142857</v>
      </c>
      <c r="K383" s="218">
        <v>666</v>
      </c>
      <c r="L383" s="225"/>
      <c r="M383" s="225"/>
      <c r="N383" s="225">
        <f t="shared" si="21"/>
        <v>186</v>
      </c>
    </row>
    <row r="384" ht="15.2" spans="1:14">
      <c r="A384" s="219">
        <v>44970</v>
      </c>
      <c r="B384" s="216" t="s">
        <v>262</v>
      </c>
      <c r="C384" s="217" t="s">
        <v>264</v>
      </c>
      <c r="D384" s="218">
        <v>1.6</v>
      </c>
      <c r="E384" s="218">
        <v>1220</v>
      </c>
      <c r="F384" s="218">
        <v>338</v>
      </c>
      <c r="G384" s="223">
        <f t="shared" si="19"/>
        <v>50</v>
      </c>
      <c r="H384" s="220">
        <f t="shared" si="20"/>
        <v>976</v>
      </c>
      <c r="I384" s="224">
        <v>929.52380952381</v>
      </c>
      <c r="J384" s="224">
        <v>46.4761904761905</v>
      </c>
      <c r="K384" s="218">
        <v>976</v>
      </c>
      <c r="L384" s="225"/>
      <c r="M384" s="225"/>
      <c r="N384" s="225">
        <f t="shared" si="21"/>
        <v>435.2</v>
      </c>
    </row>
    <row r="385" ht="15.2" spans="1:14">
      <c r="A385" s="219">
        <v>44970</v>
      </c>
      <c r="B385" s="216" t="s">
        <v>262</v>
      </c>
      <c r="C385" s="217" t="s">
        <v>265</v>
      </c>
      <c r="D385" s="218">
        <v>1.25</v>
      </c>
      <c r="E385" s="218">
        <v>1630</v>
      </c>
      <c r="F385" s="218">
        <v>554</v>
      </c>
      <c r="G385" s="223">
        <f t="shared" si="19"/>
        <v>50</v>
      </c>
      <c r="H385" s="220">
        <f t="shared" si="20"/>
        <v>1018.75</v>
      </c>
      <c r="I385" s="224"/>
      <c r="J385" s="224"/>
      <c r="K385" s="218">
        <v>1018.75</v>
      </c>
      <c r="L385" s="225">
        <v>0.25</v>
      </c>
      <c r="M385" s="225">
        <v>2661</v>
      </c>
      <c r="N385" s="225">
        <f t="shared" si="21"/>
        <v>326.25</v>
      </c>
    </row>
    <row r="386" ht="15.2" spans="1:14">
      <c r="A386" s="219"/>
      <c r="B386" s="216"/>
      <c r="C386" s="217"/>
      <c r="D386" s="218"/>
      <c r="E386" s="220"/>
      <c r="F386" s="221"/>
      <c r="G386" s="223"/>
      <c r="H386" s="220"/>
      <c r="I386" s="224"/>
      <c r="J386" s="224"/>
      <c r="K386" s="220"/>
      <c r="L386" s="225"/>
      <c r="M386" s="225"/>
      <c r="N386" s="225"/>
    </row>
    <row r="387" ht="15.2" spans="1:14">
      <c r="A387" s="219">
        <v>44970</v>
      </c>
      <c r="B387" s="216" t="s">
        <v>266</v>
      </c>
      <c r="C387" s="217" t="s">
        <v>267</v>
      </c>
      <c r="D387" s="218">
        <v>1.2</v>
      </c>
      <c r="E387" s="218">
        <v>2460</v>
      </c>
      <c r="F387" s="218">
        <v>805</v>
      </c>
      <c r="G387" s="223">
        <f t="shared" si="19"/>
        <v>50</v>
      </c>
      <c r="H387" s="220">
        <f t="shared" si="20"/>
        <v>1476</v>
      </c>
      <c r="I387" s="224">
        <v>1405.71428571429</v>
      </c>
      <c r="J387" s="224">
        <v>70.2857142857143</v>
      </c>
      <c r="K387" s="218">
        <v>1476</v>
      </c>
      <c r="L387" s="225"/>
      <c r="M387" s="225"/>
      <c r="N387" s="225">
        <f t="shared" si="21"/>
        <v>510</v>
      </c>
    </row>
    <row r="388" ht="15.2" spans="1:14">
      <c r="A388" s="219">
        <v>44970</v>
      </c>
      <c r="B388" s="216" t="s">
        <v>266</v>
      </c>
      <c r="C388" s="217" t="s">
        <v>268</v>
      </c>
      <c r="D388" s="218">
        <v>1.6</v>
      </c>
      <c r="E388" s="218">
        <v>1830</v>
      </c>
      <c r="F388" s="218">
        <v>661</v>
      </c>
      <c r="G388" s="223">
        <f t="shared" si="19"/>
        <v>50</v>
      </c>
      <c r="H388" s="220">
        <f t="shared" si="20"/>
        <v>1464</v>
      </c>
      <c r="I388" s="224">
        <v>1394.28571428571</v>
      </c>
      <c r="J388" s="224">
        <v>69.7142857142857</v>
      </c>
      <c r="K388" s="218">
        <v>1464</v>
      </c>
      <c r="L388" s="225"/>
      <c r="M388" s="225">
        <v>2940</v>
      </c>
      <c r="N388" s="225">
        <f t="shared" si="21"/>
        <v>406.4</v>
      </c>
    </row>
    <row r="389" ht="15.2" spans="1:14">
      <c r="A389" s="219"/>
      <c r="B389" s="216"/>
      <c r="C389" s="217"/>
      <c r="D389" s="218"/>
      <c r="E389" s="220"/>
      <c r="F389" s="221"/>
      <c r="G389" s="223"/>
      <c r="H389" s="220"/>
      <c r="I389" s="224"/>
      <c r="J389" s="224"/>
      <c r="K389" s="220"/>
      <c r="L389" s="225"/>
      <c r="M389" s="225"/>
      <c r="N389" s="225"/>
    </row>
    <row r="390" ht="15.2" spans="1:14">
      <c r="A390" s="219">
        <v>44970</v>
      </c>
      <c r="B390" s="216" t="s">
        <v>269</v>
      </c>
      <c r="C390" s="217" t="s">
        <v>270</v>
      </c>
      <c r="D390" s="218">
        <v>1.3</v>
      </c>
      <c r="E390" s="218">
        <v>1140</v>
      </c>
      <c r="F390" s="218">
        <v>385</v>
      </c>
      <c r="G390" s="223">
        <f t="shared" si="19"/>
        <v>50</v>
      </c>
      <c r="H390" s="220">
        <f t="shared" si="20"/>
        <v>741</v>
      </c>
      <c r="I390" s="224">
        <v>705.714285714286</v>
      </c>
      <c r="J390" s="224">
        <v>35.2857142857143</v>
      </c>
      <c r="K390" s="218">
        <v>741</v>
      </c>
      <c r="L390" s="225"/>
      <c r="M390" s="225"/>
      <c r="N390" s="225">
        <f t="shared" si="21"/>
        <v>240.5</v>
      </c>
    </row>
    <row r="391" ht="15.2" spans="1:14">
      <c r="A391" s="219">
        <v>44970</v>
      </c>
      <c r="B391" s="216" t="s">
        <v>269</v>
      </c>
      <c r="C391" s="217" t="s">
        <v>271</v>
      </c>
      <c r="D391" s="218">
        <v>1.4</v>
      </c>
      <c r="E391" s="218">
        <v>1100</v>
      </c>
      <c r="F391" s="218">
        <v>374</v>
      </c>
      <c r="G391" s="223">
        <f t="shared" si="19"/>
        <v>50</v>
      </c>
      <c r="H391" s="220">
        <f t="shared" si="20"/>
        <v>770</v>
      </c>
      <c r="I391" s="224">
        <v>733.333333333333</v>
      </c>
      <c r="J391" s="224">
        <v>36.6666666666667</v>
      </c>
      <c r="K391" s="218">
        <v>770</v>
      </c>
      <c r="L391" s="225"/>
      <c r="M391" s="225">
        <v>1511</v>
      </c>
      <c r="N391" s="225">
        <f t="shared" si="21"/>
        <v>246.4</v>
      </c>
    </row>
    <row r="392" ht="15.2" spans="1:14">
      <c r="A392" s="219"/>
      <c r="B392" s="216"/>
      <c r="C392" s="217"/>
      <c r="D392" s="218"/>
      <c r="E392" s="220"/>
      <c r="F392" s="221"/>
      <c r="G392" s="223"/>
      <c r="H392" s="220"/>
      <c r="I392" s="224"/>
      <c r="J392" s="224"/>
      <c r="K392" s="220"/>
      <c r="L392" s="225"/>
      <c r="M392" s="225"/>
      <c r="N392" s="225"/>
    </row>
    <row r="393" ht="15.2" spans="1:14">
      <c r="A393" s="219">
        <v>44970</v>
      </c>
      <c r="B393" s="216" t="s">
        <v>272</v>
      </c>
      <c r="C393" s="217" t="s">
        <v>273</v>
      </c>
      <c r="D393" s="218">
        <v>1.6</v>
      </c>
      <c r="E393" s="218">
        <v>1790</v>
      </c>
      <c r="F393" s="218">
        <v>564</v>
      </c>
      <c r="G393" s="223">
        <f t="shared" si="19"/>
        <v>50</v>
      </c>
      <c r="H393" s="220">
        <f t="shared" si="20"/>
        <v>1432</v>
      </c>
      <c r="I393" s="224">
        <v>1363.80952380952</v>
      </c>
      <c r="J393" s="224">
        <v>68.1904761904762</v>
      </c>
      <c r="K393" s="218">
        <v>1432</v>
      </c>
      <c r="L393" s="225"/>
      <c r="M393" s="225"/>
      <c r="N393" s="225">
        <f t="shared" si="21"/>
        <v>529.6</v>
      </c>
    </row>
    <row r="394" ht="15.2" spans="1:14">
      <c r="A394" s="219">
        <v>44970</v>
      </c>
      <c r="B394" s="216" t="s">
        <v>272</v>
      </c>
      <c r="C394" s="217" t="s">
        <v>274</v>
      </c>
      <c r="D394" s="218">
        <v>1.5</v>
      </c>
      <c r="E394" s="218">
        <v>970</v>
      </c>
      <c r="F394" s="218">
        <v>354</v>
      </c>
      <c r="G394" s="223">
        <f t="shared" si="19"/>
        <v>50</v>
      </c>
      <c r="H394" s="220">
        <f t="shared" si="20"/>
        <v>727.5</v>
      </c>
      <c r="I394" s="224">
        <v>692.857142857143</v>
      </c>
      <c r="J394" s="224">
        <v>34.6428571428571</v>
      </c>
      <c r="K394" s="218">
        <v>727.5</v>
      </c>
      <c r="L394" s="225"/>
      <c r="M394" s="225"/>
      <c r="N394" s="225">
        <f t="shared" si="21"/>
        <v>196.5</v>
      </c>
    </row>
    <row r="395" ht="15.2" spans="1:14">
      <c r="A395" s="219">
        <v>44970</v>
      </c>
      <c r="B395" s="216" t="s">
        <v>272</v>
      </c>
      <c r="C395" s="217" t="s">
        <v>207</v>
      </c>
      <c r="D395" s="218">
        <v>1.2</v>
      </c>
      <c r="E395" s="218">
        <v>1500</v>
      </c>
      <c r="F395" s="218">
        <v>540</v>
      </c>
      <c r="G395" s="223">
        <f t="shared" si="19"/>
        <v>50</v>
      </c>
      <c r="H395" s="220">
        <f t="shared" si="20"/>
        <v>900</v>
      </c>
      <c r="I395" s="224">
        <v>857.142857142857</v>
      </c>
      <c r="J395" s="224">
        <v>42.8571428571429</v>
      </c>
      <c r="K395" s="218">
        <v>900</v>
      </c>
      <c r="L395" s="225">
        <v>0.5</v>
      </c>
      <c r="M395" s="225">
        <v>3060</v>
      </c>
      <c r="N395" s="225">
        <f t="shared" si="21"/>
        <v>252</v>
      </c>
    </row>
    <row r="396" ht="15.2" spans="1:14">
      <c r="A396" s="219"/>
      <c r="B396" s="216"/>
      <c r="C396" s="217"/>
      <c r="D396" s="218"/>
      <c r="E396" s="220"/>
      <c r="F396" s="221"/>
      <c r="G396" s="223"/>
      <c r="H396" s="220"/>
      <c r="I396" s="224"/>
      <c r="J396" s="224"/>
      <c r="K396" s="220"/>
      <c r="L396" s="225"/>
      <c r="M396" s="225"/>
      <c r="N396" s="225"/>
    </row>
    <row r="397" ht="15.2" spans="1:14">
      <c r="A397" s="219">
        <v>44970</v>
      </c>
      <c r="B397" s="216" t="s">
        <v>275</v>
      </c>
      <c r="C397" s="217" t="s">
        <v>21</v>
      </c>
      <c r="D397" s="218">
        <v>1.6</v>
      </c>
      <c r="E397" s="218">
        <v>1000</v>
      </c>
      <c r="F397" s="218">
        <v>353</v>
      </c>
      <c r="G397" s="223">
        <f t="shared" si="19"/>
        <v>50</v>
      </c>
      <c r="H397" s="220">
        <f t="shared" si="20"/>
        <v>800</v>
      </c>
      <c r="I397" s="224">
        <v>761.904761904762</v>
      </c>
      <c r="J397" s="224">
        <v>38.0952380952381</v>
      </c>
      <c r="K397" s="220">
        <v>800</v>
      </c>
      <c r="L397" s="225"/>
      <c r="M397" s="225">
        <v>800</v>
      </c>
      <c r="N397" s="225">
        <f t="shared" si="21"/>
        <v>235.2</v>
      </c>
    </row>
    <row r="398" ht="15.2" spans="1:14">
      <c r="A398" s="219"/>
      <c r="B398" s="216"/>
      <c r="C398" s="217"/>
      <c r="D398" s="218"/>
      <c r="E398" s="220"/>
      <c r="F398" s="221"/>
      <c r="G398" s="223"/>
      <c r="H398" s="220"/>
      <c r="I398" s="224"/>
      <c r="J398" s="224"/>
      <c r="K398" s="220"/>
      <c r="L398" s="225"/>
      <c r="M398" s="225"/>
      <c r="N398" s="225"/>
    </row>
    <row r="399" ht="15.2" spans="1:14">
      <c r="A399" s="219">
        <v>44970</v>
      </c>
      <c r="B399" s="216" t="s">
        <v>276</v>
      </c>
      <c r="C399" s="217">
        <v>8907259947839</v>
      </c>
      <c r="D399" s="218">
        <v>1</v>
      </c>
      <c r="E399" s="218">
        <v>1799</v>
      </c>
      <c r="F399" s="218">
        <v>1187.34</v>
      </c>
      <c r="G399" s="223">
        <f t="shared" ref="G399:G463" si="22">(H399*100)/(E399*D399)</f>
        <v>65</v>
      </c>
      <c r="H399" s="220">
        <f t="shared" ref="H399:H463" si="23">D399*E399-K399</f>
        <v>1169.35</v>
      </c>
      <c r="I399" s="224"/>
      <c r="J399" s="224"/>
      <c r="K399" s="220">
        <v>629.65</v>
      </c>
      <c r="L399" s="225">
        <v>0.35</v>
      </c>
      <c r="M399" s="225">
        <v>630</v>
      </c>
      <c r="N399" s="225">
        <f t="shared" si="21"/>
        <v>-557.69</v>
      </c>
    </row>
    <row r="400" ht="15.2" spans="1:14">
      <c r="A400" s="219"/>
      <c r="B400" s="216"/>
      <c r="C400" s="217"/>
      <c r="D400" s="218"/>
      <c r="E400" s="220"/>
      <c r="F400" s="221"/>
      <c r="G400" s="223"/>
      <c r="H400" s="220"/>
      <c r="I400" s="224"/>
      <c r="J400" s="224"/>
      <c r="K400" s="220"/>
      <c r="L400" s="225"/>
      <c r="M400" s="225"/>
      <c r="N400" s="225"/>
    </row>
    <row r="401" ht="15.2" spans="1:14">
      <c r="A401" s="219">
        <v>44970</v>
      </c>
      <c r="B401" s="216" t="s">
        <v>277</v>
      </c>
      <c r="C401" s="217" t="s">
        <v>65</v>
      </c>
      <c r="D401" s="218">
        <v>2</v>
      </c>
      <c r="E401" s="218">
        <v>1460</v>
      </c>
      <c r="F401" s="218">
        <v>525</v>
      </c>
      <c r="G401" s="223">
        <f t="shared" si="22"/>
        <v>50</v>
      </c>
      <c r="H401" s="220">
        <f t="shared" si="23"/>
        <v>1460</v>
      </c>
      <c r="I401" s="224">
        <v>1390.47619047619</v>
      </c>
      <c r="J401" s="224">
        <v>69.5238095238095</v>
      </c>
      <c r="K401" s="218">
        <v>1460</v>
      </c>
      <c r="L401" s="225"/>
      <c r="M401" s="225"/>
      <c r="N401" s="225">
        <f t="shared" si="21"/>
        <v>410</v>
      </c>
    </row>
    <row r="402" ht="15.2" spans="1:14">
      <c r="A402" s="219">
        <v>44970</v>
      </c>
      <c r="B402" s="216" t="s">
        <v>277</v>
      </c>
      <c r="C402" s="217" t="s">
        <v>278</v>
      </c>
      <c r="D402" s="218">
        <v>1.2</v>
      </c>
      <c r="E402" s="218">
        <v>1100</v>
      </c>
      <c r="F402" s="218">
        <v>443</v>
      </c>
      <c r="G402" s="223">
        <f t="shared" si="22"/>
        <v>50</v>
      </c>
      <c r="H402" s="220">
        <f t="shared" si="23"/>
        <v>660</v>
      </c>
      <c r="I402" s="224">
        <v>628.571428571429</v>
      </c>
      <c r="J402" s="224">
        <v>31.4285714285714</v>
      </c>
      <c r="K402" s="218">
        <v>660</v>
      </c>
      <c r="L402" s="225"/>
      <c r="M402" s="225"/>
      <c r="N402" s="225">
        <f t="shared" si="21"/>
        <v>128.4</v>
      </c>
    </row>
    <row r="403" ht="15.2" spans="1:14">
      <c r="A403" s="219">
        <v>44970</v>
      </c>
      <c r="B403" s="216" t="s">
        <v>277</v>
      </c>
      <c r="C403" s="217" t="s">
        <v>279</v>
      </c>
      <c r="D403" s="218">
        <v>1.2</v>
      </c>
      <c r="E403" s="218">
        <v>1260</v>
      </c>
      <c r="F403" s="218">
        <v>507</v>
      </c>
      <c r="G403" s="223">
        <f t="shared" si="22"/>
        <v>50</v>
      </c>
      <c r="H403" s="220">
        <f t="shared" si="23"/>
        <v>756</v>
      </c>
      <c r="I403" s="224">
        <v>720</v>
      </c>
      <c r="J403" s="224">
        <v>36</v>
      </c>
      <c r="K403" s="218">
        <v>756</v>
      </c>
      <c r="L403" s="225"/>
      <c r="M403" s="225">
        <v>2876</v>
      </c>
      <c r="N403" s="225">
        <f t="shared" si="21"/>
        <v>147.6</v>
      </c>
    </row>
    <row r="404" ht="15.2" spans="1:14">
      <c r="A404" s="219"/>
      <c r="B404" s="216"/>
      <c r="C404" s="217"/>
      <c r="D404" s="218"/>
      <c r="E404" s="220"/>
      <c r="F404" s="221"/>
      <c r="G404" s="223"/>
      <c r="H404" s="220"/>
      <c r="I404" s="224"/>
      <c r="J404" s="224"/>
      <c r="K404" s="220"/>
      <c r="L404" s="225"/>
      <c r="M404" s="225"/>
      <c r="N404" s="225"/>
    </row>
    <row r="405" ht="15.2" spans="1:14">
      <c r="A405" s="219">
        <v>44970</v>
      </c>
      <c r="B405" s="216" t="s">
        <v>280</v>
      </c>
      <c r="C405" s="217">
        <v>8904290622824</v>
      </c>
      <c r="D405" s="218">
        <v>1</v>
      </c>
      <c r="E405" s="218">
        <v>9999</v>
      </c>
      <c r="F405" s="218">
        <v>6599.34</v>
      </c>
      <c r="G405" s="223">
        <f t="shared" si="22"/>
        <v>65</v>
      </c>
      <c r="H405" s="220">
        <f t="shared" si="23"/>
        <v>6499.35</v>
      </c>
      <c r="I405" s="224"/>
      <c r="J405" s="224"/>
      <c r="K405" s="220">
        <v>3499.65</v>
      </c>
      <c r="L405" s="225">
        <v>0.35</v>
      </c>
      <c r="M405" s="225">
        <v>3500</v>
      </c>
      <c r="N405" s="225">
        <f t="shared" ref="N405:N467" si="24">K405-(D405*F405)</f>
        <v>-3099.69</v>
      </c>
    </row>
    <row r="406" ht="15.2" spans="1:14">
      <c r="A406" s="219"/>
      <c r="B406" s="216"/>
      <c r="C406" s="217"/>
      <c r="D406" s="218"/>
      <c r="E406" s="220"/>
      <c r="F406" s="221"/>
      <c r="G406" s="223"/>
      <c r="H406" s="220"/>
      <c r="I406" s="224"/>
      <c r="J406" s="224"/>
      <c r="K406" s="220"/>
      <c r="L406" s="225"/>
      <c r="M406" s="225"/>
      <c r="N406" s="225"/>
    </row>
    <row r="407" ht="15.2" spans="1:14">
      <c r="A407" s="219">
        <v>44972</v>
      </c>
      <c r="B407" s="216" t="s">
        <v>281</v>
      </c>
      <c r="C407" s="217" t="s">
        <v>282</v>
      </c>
      <c r="D407" s="218">
        <v>3.25</v>
      </c>
      <c r="E407" s="218">
        <v>4738</v>
      </c>
      <c r="F407" s="218">
        <v>1611</v>
      </c>
      <c r="G407" s="223">
        <f t="shared" si="22"/>
        <v>51.2988278079034</v>
      </c>
      <c r="H407" s="220">
        <f t="shared" si="23"/>
        <v>7899.25</v>
      </c>
      <c r="I407" s="224">
        <v>7142.14285714286</v>
      </c>
      <c r="J407" s="224">
        <v>357.107142857143</v>
      </c>
      <c r="K407" s="220">
        <v>7499.25</v>
      </c>
      <c r="L407" s="225">
        <v>-0.25</v>
      </c>
      <c r="M407" s="225">
        <v>7499</v>
      </c>
      <c r="N407" s="225">
        <f t="shared" si="24"/>
        <v>2263.5</v>
      </c>
    </row>
    <row r="408" ht="15.2" spans="1:14">
      <c r="A408" s="219"/>
      <c r="B408" s="216"/>
      <c r="C408" s="217"/>
      <c r="D408" s="218"/>
      <c r="E408" s="220"/>
      <c r="F408" s="221"/>
      <c r="G408" s="223"/>
      <c r="H408" s="220"/>
      <c r="I408" s="224"/>
      <c r="J408" s="224"/>
      <c r="K408" s="220"/>
      <c r="L408" s="225"/>
      <c r="M408" s="225"/>
      <c r="N408" s="225"/>
    </row>
    <row r="409" ht="15.2" spans="1:14">
      <c r="A409" s="219">
        <v>44972</v>
      </c>
      <c r="B409" s="216" t="s">
        <v>283</v>
      </c>
      <c r="C409" s="217" t="s">
        <v>284</v>
      </c>
      <c r="D409" s="218">
        <v>3</v>
      </c>
      <c r="E409" s="218">
        <v>3240</v>
      </c>
      <c r="F409" s="218">
        <v>1154.1</v>
      </c>
      <c r="G409" s="223">
        <f t="shared" si="22"/>
        <v>50</v>
      </c>
      <c r="H409" s="220">
        <f t="shared" si="23"/>
        <v>4860</v>
      </c>
      <c r="I409" s="224">
        <v>4628.57142857143</v>
      </c>
      <c r="J409" s="224">
        <v>231.428571428571</v>
      </c>
      <c r="K409" s="218">
        <v>4860</v>
      </c>
      <c r="L409" s="225"/>
      <c r="M409" s="225"/>
      <c r="N409" s="225">
        <f t="shared" si="24"/>
        <v>1397.7</v>
      </c>
    </row>
    <row r="410" ht="15.2" spans="1:14">
      <c r="A410" s="219">
        <v>44972</v>
      </c>
      <c r="B410" s="216" t="s">
        <v>283</v>
      </c>
      <c r="C410" s="217">
        <v>8907686367880</v>
      </c>
      <c r="D410" s="218">
        <v>1</v>
      </c>
      <c r="E410" s="218">
        <v>2099</v>
      </c>
      <c r="F410" s="218">
        <v>1385.34</v>
      </c>
      <c r="G410" s="223">
        <f t="shared" si="22"/>
        <v>65</v>
      </c>
      <c r="H410" s="220">
        <f t="shared" si="23"/>
        <v>1364.35</v>
      </c>
      <c r="I410" s="224"/>
      <c r="J410" s="224"/>
      <c r="K410" s="218">
        <v>734.65</v>
      </c>
      <c r="L410" s="225"/>
      <c r="M410" s="225"/>
      <c r="N410" s="225">
        <f t="shared" si="24"/>
        <v>-650.69</v>
      </c>
    </row>
    <row r="411" ht="15.2" spans="1:14">
      <c r="A411" s="219">
        <v>44972</v>
      </c>
      <c r="B411" s="216" t="s">
        <v>283</v>
      </c>
      <c r="C411" s="217">
        <v>8907538495099</v>
      </c>
      <c r="D411" s="218">
        <v>1</v>
      </c>
      <c r="E411" s="218">
        <v>3099</v>
      </c>
      <c r="F411" s="218">
        <v>2045.34</v>
      </c>
      <c r="G411" s="223">
        <f t="shared" si="22"/>
        <v>65</v>
      </c>
      <c r="H411" s="220">
        <f t="shared" si="23"/>
        <v>2014.35</v>
      </c>
      <c r="I411" s="224"/>
      <c r="J411" s="224"/>
      <c r="K411" s="218">
        <v>1084.65</v>
      </c>
      <c r="L411" s="225"/>
      <c r="M411" s="225"/>
      <c r="N411" s="225">
        <f t="shared" si="24"/>
        <v>-960.69</v>
      </c>
    </row>
    <row r="412" ht="15.2" spans="1:14">
      <c r="A412" s="219">
        <v>44972</v>
      </c>
      <c r="B412" s="216" t="s">
        <v>283</v>
      </c>
      <c r="C412" s="217" t="s">
        <v>285</v>
      </c>
      <c r="D412" s="218">
        <v>2</v>
      </c>
      <c r="E412" s="218">
        <v>1183</v>
      </c>
      <c r="F412" s="218">
        <v>262.5</v>
      </c>
      <c r="G412" s="223">
        <f t="shared" si="22"/>
        <v>50</v>
      </c>
      <c r="H412" s="220">
        <f t="shared" si="23"/>
        <v>1183</v>
      </c>
      <c r="I412" s="224">
        <v>1126.66666666667</v>
      </c>
      <c r="J412" s="224">
        <v>56.3333333333333</v>
      </c>
      <c r="K412" s="218">
        <v>1183</v>
      </c>
      <c r="L412" s="225">
        <v>-0.3</v>
      </c>
      <c r="M412" s="225">
        <v>7862</v>
      </c>
      <c r="N412" s="225">
        <f t="shared" si="24"/>
        <v>658</v>
      </c>
    </row>
    <row r="413" ht="15.2" spans="1:14">
      <c r="A413" s="219"/>
      <c r="B413" s="216"/>
      <c r="C413" s="217"/>
      <c r="D413" s="218"/>
      <c r="E413" s="220"/>
      <c r="F413" s="221"/>
      <c r="G413" s="223"/>
      <c r="H413" s="220"/>
      <c r="I413" s="224"/>
      <c r="J413" s="224"/>
      <c r="K413" s="220"/>
      <c r="L413" s="225"/>
      <c r="M413" s="225"/>
      <c r="N413" s="225"/>
    </row>
    <row r="414" ht="15.2" spans="1:14">
      <c r="A414" s="219">
        <v>44972</v>
      </c>
      <c r="B414" s="216" t="s">
        <v>286</v>
      </c>
      <c r="C414" s="217" t="s">
        <v>44</v>
      </c>
      <c r="D414" s="218">
        <v>1.6</v>
      </c>
      <c r="E414" s="218">
        <v>1390</v>
      </c>
      <c r="F414" s="218">
        <v>330</v>
      </c>
      <c r="G414" s="223">
        <f t="shared" si="22"/>
        <v>50</v>
      </c>
      <c r="H414" s="220">
        <f t="shared" si="23"/>
        <v>1112</v>
      </c>
      <c r="I414" s="224">
        <v>1059.04761904762</v>
      </c>
      <c r="J414" s="224">
        <v>52.952380952381</v>
      </c>
      <c r="K414" s="218">
        <v>1112</v>
      </c>
      <c r="L414" s="225"/>
      <c r="M414" s="225"/>
      <c r="N414" s="225">
        <f t="shared" si="24"/>
        <v>584</v>
      </c>
    </row>
    <row r="415" ht="15.2" spans="1:14">
      <c r="A415" s="219">
        <v>44972</v>
      </c>
      <c r="B415" s="216" t="s">
        <v>286</v>
      </c>
      <c r="C415" s="217" t="s">
        <v>113</v>
      </c>
      <c r="D415" s="218">
        <v>1.2</v>
      </c>
      <c r="E415" s="218">
        <v>1740</v>
      </c>
      <c r="F415" s="218">
        <v>625</v>
      </c>
      <c r="G415" s="223">
        <f t="shared" si="22"/>
        <v>50</v>
      </c>
      <c r="H415" s="220">
        <f t="shared" si="23"/>
        <v>1044</v>
      </c>
      <c r="I415" s="224">
        <v>994.285714285714</v>
      </c>
      <c r="J415" s="224">
        <v>49.7142857142857</v>
      </c>
      <c r="K415" s="218">
        <v>1044</v>
      </c>
      <c r="L415" s="225"/>
      <c r="M415" s="225"/>
      <c r="N415" s="225">
        <f t="shared" si="24"/>
        <v>294</v>
      </c>
    </row>
    <row r="416" ht="15.2" spans="1:14">
      <c r="A416" s="219">
        <v>44972</v>
      </c>
      <c r="B416" s="216" t="s">
        <v>286</v>
      </c>
      <c r="C416" s="217" t="s">
        <v>287</v>
      </c>
      <c r="D416" s="218">
        <v>1.5</v>
      </c>
      <c r="E416" s="218">
        <v>780</v>
      </c>
      <c r="F416" s="218">
        <v>299</v>
      </c>
      <c r="G416" s="223">
        <f t="shared" si="22"/>
        <v>50</v>
      </c>
      <c r="H416" s="220">
        <f t="shared" si="23"/>
        <v>585</v>
      </c>
      <c r="I416" s="224">
        <v>557.142857142857</v>
      </c>
      <c r="J416" s="224">
        <v>27.8571428571429</v>
      </c>
      <c r="K416" s="218">
        <v>585</v>
      </c>
      <c r="L416" s="225"/>
      <c r="M416" s="225"/>
      <c r="N416" s="225">
        <f t="shared" si="24"/>
        <v>136.5</v>
      </c>
    </row>
    <row r="417" ht="15.2" spans="1:14">
      <c r="A417" s="219">
        <v>44972</v>
      </c>
      <c r="B417" s="216" t="s">
        <v>286</v>
      </c>
      <c r="C417" s="217">
        <v>8907259210247</v>
      </c>
      <c r="D417" s="218">
        <v>1</v>
      </c>
      <c r="E417" s="218">
        <v>3999</v>
      </c>
      <c r="F417" s="218">
        <v>2639.34</v>
      </c>
      <c r="G417" s="223">
        <f t="shared" si="22"/>
        <v>80</v>
      </c>
      <c r="H417" s="220">
        <f t="shared" si="23"/>
        <v>3199.2</v>
      </c>
      <c r="I417" s="224"/>
      <c r="J417" s="224"/>
      <c r="K417" s="218">
        <v>799.8</v>
      </c>
      <c r="L417" s="225"/>
      <c r="M417" s="225"/>
      <c r="N417" s="225">
        <f t="shared" si="24"/>
        <v>-1839.54</v>
      </c>
    </row>
    <row r="418" ht="15.2" spans="1:14">
      <c r="A418" s="219">
        <v>44972</v>
      </c>
      <c r="B418" s="216" t="s">
        <v>286</v>
      </c>
      <c r="C418" s="217">
        <v>8907259209753</v>
      </c>
      <c r="D418" s="218">
        <v>1</v>
      </c>
      <c r="E418" s="218">
        <v>4999</v>
      </c>
      <c r="F418" s="218">
        <v>3299.34</v>
      </c>
      <c r="G418" s="223">
        <f t="shared" si="22"/>
        <v>80</v>
      </c>
      <c r="H418" s="220">
        <f t="shared" si="23"/>
        <v>3999.2</v>
      </c>
      <c r="I418" s="224"/>
      <c r="J418" s="224"/>
      <c r="K418" s="218">
        <v>999.8</v>
      </c>
      <c r="L418" s="225">
        <v>-0.6</v>
      </c>
      <c r="M418" s="225">
        <v>4540</v>
      </c>
      <c r="N418" s="225">
        <f t="shared" si="24"/>
        <v>-2299.54</v>
      </c>
    </row>
    <row r="419" ht="15.2" spans="1:14">
      <c r="A419" s="219"/>
      <c r="B419" s="216"/>
      <c r="C419" s="217"/>
      <c r="D419" s="218"/>
      <c r="E419" s="220"/>
      <c r="F419" s="221"/>
      <c r="G419" s="223"/>
      <c r="H419" s="220"/>
      <c r="I419" s="224"/>
      <c r="J419" s="224"/>
      <c r="K419" s="220"/>
      <c r="L419" s="225"/>
      <c r="M419" s="225"/>
      <c r="N419" s="225"/>
    </row>
    <row r="420" ht="15.2" spans="1:14">
      <c r="A420" s="219">
        <v>44972</v>
      </c>
      <c r="B420" s="216" t="s">
        <v>288</v>
      </c>
      <c r="C420" s="217" t="s">
        <v>131</v>
      </c>
      <c r="D420" s="218">
        <v>1.8</v>
      </c>
      <c r="E420" s="218">
        <v>1830</v>
      </c>
      <c r="F420" s="218">
        <v>661</v>
      </c>
      <c r="G420" s="223">
        <f t="shared" si="22"/>
        <v>50</v>
      </c>
      <c r="H420" s="220">
        <f t="shared" si="23"/>
        <v>1647</v>
      </c>
      <c r="I420" s="224">
        <v>1568.57142857143</v>
      </c>
      <c r="J420" s="224">
        <v>78.4285714285714</v>
      </c>
      <c r="K420" s="220">
        <v>1647</v>
      </c>
      <c r="L420" s="225"/>
      <c r="M420" s="225">
        <v>1647</v>
      </c>
      <c r="N420" s="225">
        <f t="shared" si="24"/>
        <v>457.2</v>
      </c>
    </row>
    <row r="421" ht="15.2" spans="1:14">
      <c r="A421" s="219"/>
      <c r="B421" s="216"/>
      <c r="C421" s="217"/>
      <c r="D421" s="218"/>
      <c r="E421" s="220"/>
      <c r="F421" s="221"/>
      <c r="G421" s="223"/>
      <c r="H421" s="220"/>
      <c r="I421" s="224"/>
      <c r="J421" s="224"/>
      <c r="K421" s="220"/>
      <c r="L421" s="225"/>
      <c r="M421" s="225"/>
      <c r="N421" s="225"/>
    </row>
    <row r="422" ht="15.2" spans="1:14">
      <c r="A422" s="219">
        <v>44972</v>
      </c>
      <c r="B422" s="216" t="s">
        <v>289</v>
      </c>
      <c r="C422" s="217" t="s">
        <v>87</v>
      </c>
      <c r="D422" s="218">
        <v>1.6</v>
      </c>
      <c r="E422" s="218">
        <v>780</v>
      </c>
      <c r="F422" s="218">
        <v>299</v>
      </c>
      <c r="G422" s="223">
        <f t="shared" si="22"/>
        <v>58.3782051282051</v>
      </c>
      <c r="H422" s="220">
        <f t="shared" si="23"/>
        <v>728.56</v>
      </c>
      <c r="I422" s="224">
        <v>494.704761904762</v>
      </c>
      <c r="J422" s="224">
        <v>24.7352380952381</v>
      </c>
      <c r="K422" s="218">
        <v>519.44</v>
      </c>
      <c r="L422" s="225"/>
      <c r="M422" s="225"/>
      <c r="N422" s="225">
        <f t="shared" si="24"/>
        <v>41.04</v>
      </c>
    </row>
    <row r="423" ht="15.2" spans="1:14">
      <c r="A423" s="219">
        <v>44972</v>
      </c>
      <c r="B423" s="216" t="s">
        <v>289</v>
      </c>
      <c r="C423" s="217" t="s">
        <v>18</v>
      </c>
      <c r="D423" s="218">
        <v>1.2</v>
      </c>
      <c r="E423" s="218">
        <v>890</v>
      </c>
      <c r="F423" s="218">
        <v>321.47</v>
      </c>
      <c r="G423" s="223">
        <f t="shared" si="22"/>
        <v>60.7443820224719</v>
      </c>
      <c r="H423" s="220">
        <f t="shared" si="23"/>
        <v>648.75</v>
      </c>
      <c r="I423" s="224">
        <v>399.285714285714</v>
      </c>
      <c r="J423" s="224">
        <v>19.9642857142857</v>
      </c>
      <c r="K423" s="218">
        <v>419.25</v>
      </c>
      <c r="L423" s="225">
        <v>0.31</v>
      </c>
      <c r="M423" s="225">
        <v>939</v>
      </c>
      <c r="N423" s="225">
        <f t="shared" si="24"/>
        <v>33.486</v>
      </c>
    </row>
    <row r="424" ht="15.2" spans="1:14">
      <c r="A424" s="219"/>
      <c r="B424" s="216"/>
      <c r="C424" s="217"/>
      <c r="D424" s="218"/>
      <c r="E424" s="220"/>
      <c r="F424" s="221"/>
      <c r="G424" s="223"/>
      <c r="H424" s="220"/>
      <c r="I424" s="224"/>
      <c r="J424" s="224"/>
      <c r="K424" s="220"/>
      <c r="L424" s="225"/>
      <c r="M424" s="225"/>
      <c r="N424" s="225"/>
    </row>
    <row r="425" ht="15.2" spans="1:14">
      <c r="A425" s="219">
        <v>44972</v>
      </c>
      <c r="B425" s="216" t="s">
        <v>290</v>
      </c>
      <c r="C425" s="217">
        <v>8904290613693</v>
      </c>
      <c r="D425" s="218">
        <v>1</v>
      </c>
      <c r="E425" s="218">
        <v>2999</v>
      </c>
      <c r="F425" s="218">
        <v>1979.34</v>
      </c>
      <c r="G425" s="223">
        <f t="shared" si="22"/>
        <v>65</v>
      </c>
      <c r="H425" s="220">
        <f t="shared" si="23"/>
        <v>1949.35</v>
      </c>
      <c r="I425" s="224"/>
      <c r="J425" s="224"/>
      <c r="K425" s="218">
        <v>1049.65</v>
      </c>
      <c r="L425" s="225"/>
      <c r="M425" s="225"/>
      <c r="N425" s="225">
        <f t="shared" si="24"/>
        <v>-929.69</v>
      </c>
    </row>
    <row r="426" ht="15.2" spans="1:14">
      <c r="A426" s="219">
        <v>44972</v>
      </c>
      <c r="B426" s="216" t="s">
        <v>290</v>
      </c>
      <c r="C426" s="217">
        <v>8907686958071</v>
      </c>
      <c r="D426" s="218">
        <v>1</v>
      </c>
      <c r="E426" s="218">
        <v>5999</v>
      </c>
      <c r="F426" s="218">
        <v>3959.34</v>
      </c>
      <c r="G426" s="223">
        <f t="shared" si="22"/>
        <v>65</v>
      </c>
      <c r="H426" s="220">
        <f t="shared" si="23"/>
        <v>3899.35</v>
      </c>
      <c r="I426" s="224"/>
      <c r="J426" s="224"/>
      <c r="K426" s="218">
        <v>2099.65</v>
      </c>
      <c r="L426" s="225">
        <v>-0.3</v>
      </c>
      <c r="M426" s="225">
        <v>3149</v>
      </c>
      <c r="N426" s="225">
        <f t="shared" si="24"/>
        <v>-1859.69</v>
      </c>
    </row>
    <row r="427" ht="15.2" spans="1:14">
      <c r="A427" s="219"/>
      <c r="B427" s="216"/>
      <c r="C427" s="217"/>
      <c r="D427" s="218"/>
      <c r="E427" s="220"/>
      <c r="F427" s="221"/>
      <c r="G427" s="223"/>
      <c r="H427" s="220"/>
      <c r="I427" s="224"/>
      <c r="J427" s="224"/>
      <c r="K427" s="220"/>
      <c r="L427" s="225"/>
      <c r="M427" s="225"/>
      <c r="N427" s="225"/>
    </row>
    <row r="428" ht="15.2" spans="1:14">
      <c r="A428" s="219">
        <v>44972</v>
      </c>
      <c r="B428" s="216" t="s">
        <v>291</v>
      </c>
      <c r="C428" s="217" t="s">
        <v>33</v>
      </c>
      <c r="D428" s="218">
        <v>1.2</v>
      </c>
      <c r="E428" s="218">
        <v>630</v>
      </c>
      <c r="F428" s="218">
        <v>263</v>
      </c>
      <c r="G428" s="223">
        <f t="shared" si="22"/>
        <v>50</v>
      </c>
      <c r="H428" s="220">
        <f t="shared" si="23"/>
        <v>378</v>
      </c>
      <c r="I428" s="224">
        <v>360</v>
      </c>
      <c r="J428" s="224">
        <v>18</v>
      </c>
      <c r="K428" s="218">
        <v>378</v>
      </c>
      <c r="L428" s="225"/>
      <c r="M428" s="225"/>
      <c r="N428" s="225">
        <f t="shared" si="24"/>
        <v>62.4</v>
      </c>
    </row>
    <row r="429" ht="15.2" spans="1:14">
      <c r="A429" s="219">
        <v>44972</v>
      </c>
      <c r="B429" s="216" t="s">
        <v>291</v>
      </c>
      <c r="C429" s="217" t="s">
        <v>292</v>
      </c>
      <c r="D429" s="218">
        <v>1.2</v>
      </c>
      <c r="E429" s="218">
        <v>1300</v>
      </c>
      <c r="F429" s="218">
        <v>519.9</v>
      </c>
      <c r="G429" s="223">
        <f t="shared" si="22"/>
        <v>50</v>
      </c>
      <c r="H429" s="220">
        <f t="shared" si="23"/>
        <v>780</v>
      </c>
      <c r="I429" s="224">
        <v>742.857142857143</v>
      </c>
      <c r="J429" s="224">
        <v>37.1428571428571</v>
      </c>
      <c r="K429" s="218">
        <v>780</v>
      </c>
      <c r="L429" s="225"/>
      <c r="M429" s="225"/>
      <c r="N429" s="225">
        <f t="shared" si="24"/>
        <v>156.12</v>
      </c>
    </row>
    <row r="430" ht="15.2" spans="1:14">
      <c r="A430" s="219">
        <v>44972</v>
      </c>
      <c r="B430" s="216" t="s">
        <v>291</v>
      </c>
      <c r="C430" s="217" t="s">
        <v>100</v>
      </c>
      <c r="D430" s="218">
        <v>1.5</v>
      </c>
      <c r="E430" s="218">
        <v>1310</v>
      </c>
      <c r="F430" s="218">
        <v>396.8</v>
      </c>
      <c r="G430" s="223">
        <f t="shared" si="22"/>
        <v>50</v>
      </c>
      <c r="H430" s="220">
        <f t="shared" si="23"/>
        <v>982.5</v>
      </c>
      <c r="I430" s="224">
        <v>935.714285714286</v>
      </c>
      <c r="J430" s="224">
        <v>46.7857142857143</v>
      </c>
      <c r="K430" s="218">
        <v>982.5</v>
      </c>
      <c r="L430" s="225"/>
      <c r="M430" s="225"/>
      <c r="N430" s="225">
        <f t="shared" si="24"/>
        <v>387.3</v>
      </c>
    </row>
    <row r="431" ht="15.2" spans="1:14">
      <c r="A431" s="219">
        <v>44972</v>
      </c>
      <c r="B431" s="216" t="s">
        <v>291</v>
      </c>
      <c r="C431" s="217">
        <v>2599625</v>
      </c>
      <c r="D431" s="218">
        <v>1</v>
      </c>
      <c r="E431" s="218">
        <v>499</v>
      </c>
      <c r="F431" s="218">
        <v>329.34</v>
      </c>
      <c r="G431" s="223">
        <f t="shared" si="22"/>
        <v>50</v>
      </c>
      <c r="H431" s="220">
        <f t="shared" si="23"/>
        <v>249.5</v>
      </c>
      <c r="I431" s="224"/>
      <c r="J431" s="224"/>
      <c r="K431" s="218">
        <v>249.5</v>
      </c>
      <c r="L431" s="225"/>
      <c r="M431" s="225">
        <v>2390</v>
      </c>
      <c r="N431" s="225">
        <f t="shared" si="24"/>
        <v>-79.84</v>
      </c>
    </row>
    <row r="432" ht="15.2" spans="1:14">
      <c r="A432" s="219"/>
      <c r="B432" s="216"/>
      <c r="C432" s="217"/>
      <c r="D432" s="218"/>
      <c r="E432" s="220"/>
      <c r="F432" s="221"/>
      <c r="G432" s="223"/>
      <c r="H432" s="220"/>
      <c r="I432" s="224"/>
      <c r="J432" s="224"/>
      <c r="K432" s="220"/>
      <c r="L432" s="225"/>
      <c r="M432" s="225"/>
      <c r="N432" s="225"/>
    </row>
    <row r="433" ht="15.2" spans="1:14">
      <c r="A433" s="219">
        <v>44972</v>
      </c>
      <c r="B433" s="216" t="s">
        <v>293</v>
      </c>
      <c r="C433" s="217" t="s">
        <v>28</v>
      </c>
      <c r="D433" s="218">
        <v>1.2</v>
      </c>
      <c r="E433" s="218">
        <v>2340</v>
      </c>
      <c r="F433" s="218">
        <v>839.1</v>
      </c>
      <c r="G433" s="223">
        <f t="shared" si="22"/>
        <v>50</v>
      </c>
      <c r="H433" s="220">
        <f t="shared" si="23"/>
        <v>1404</v>
      </c>
      <c r="I433" s="224">
        <v>1337.14285714286</v>
      </c>
      <c r="J433" s="224">
        <v>66.8571428571429</v>
      </c>
      <c r="K433" s="218">
        <v>1404</v>
      </c>
      <c r="L433" s="225"/>
      <c r="M433" s="225"/>
      <c r="N433" s="225">
        <f t="shared" si="24"/>
        <v>397.08</v>
      </c>
    </row>
    <row r="434" ht="15.2" spans="1:14">
      <c r="A434" s="219">
        <v>44972</v>
      </c>
      <c r="B434" s="216" t="s">
        <v>293</v>
      </c>
      <c r="C434" s="217" t="s">
        <v>294</v>
      </c>
      <c r="D434" s="218">
        <v>1.2</v>
      </c>
      <c r="E434" s="218">
        <v>1740</v>
      </c>
      <c r="F434" s="218">
        <v>625</v>
      </c>
      <c r="G434" s="223">
        <f t="shared" si="22"/>
        <v>50</v>
      </c>
      <c r="H434" s="220">
        <f t="shared" si="23"/>
        <v>1044</v>
      </c>
      <c r="I434" s="224">
        <v>994.285714285714</v>
      </c>
      <c r="J434" s="224">
        <v>49.7142857142857</v>
      </c>
      <c r="K434" s="218">
        <v>1044</v>
      </c>
      <c r="L434" s="225"/>
      <c r="M434" s="225">
        <v>2448</v>
      </c>
      <c r="N434" s="225">
        <f t="shared" si="24"/>
        <v>294</v>
      </c>
    </row>
    <row r="435" ht="15.2" spans="1:14">
      <c r="A435" s="219"/>
      <c r="B435" s="216"/>
      <c r="C435" s="217"/>
      <c r="D435" s="218"/>
      <c r="E435" s="220"/>
      <c r="F435" s="221"/>
      <c r="G435" s="223"/>
      <c r="H435" s="220"/>
      <c r="I435" s="224"/>
      <c r="J435" s="224"/>
      <c r="K435" s="220"/>
      <c r="L435" s="225"/>
      <c r="M435" s="225"/>
      <c r="N435" s="225"/>
    </row>
    <row r="436" ht="15.2" spans="1:14">
      <c r="A436" s="219">
        <v>44973</v>
      </c>
      <c r="B436" s="216" t="s">
        <v>295</v>
      </c>
      <c r="C436" s="217">
        <v>8907687168882</v>
      </c>
      <c r="D436" s="218">
        <v>1</v>
      </c>
      <c r="E436" s="218">
        <v>1499</v>
      </c>
      <c r="F436" s="218">
        <v>989.34</v>
      </c>
      <c r="G436" s="223">
        <f t="shared" si="22"/>
        <v>75</v>
      </c>
      <c r="H436" s="220">
        <f t="shared" si="23"/>
        <v>1124.25</v>
      </c>
      <c r="I436" s="224"/>
      <c r="J436" s="224"/>
      <c r="K436" s="218">
        <v>374.75</v>
      </c>
      <c r="L436" s="225">
        <v>0.25</v>
      </c>
      <c r="M436" s="225">
        <v>375</v>
      </c>
      <c r="N436" s="225">
        <f t="shared" si="24"/>
        <v>-614.59</v>
      </c>
    </row>
    <row r="437" ht="15.2" spans="1:14">
      <c r="A437" s="219"/>
      <c r="B437" s="216"/>
      <c r="C437" s="217"/>
      <c r="D437" s="218"/>
      <c r="E437" s="220"/>
      <c r="F437" s="221"/>
      <c r="G437" s="223"/>
      <c r="H437" s="220"/>
      <c r="I437" s="224"/>
      <c r="J437" s="224"/>
      <c r="K437" s="220"/>
      <c r="L437" s="225"/>
      <c r="M437" s="225"/>
      <c r="N437" s="225"/>
    </row>
    <row r="438" ht="15.2" spans="1:14">
      <c r="A438" s="219">
        <v>44973</v>
      </c>
      <c r="B438" s="216" t="s">
        <v>296</v>
      </c>
      <c r="C438" s="217" t="s">
        <v>201</v>
      </c>
      <c r="D438" s="218">
        <v>3</v>
      </c>
      <c r="E438" s="218">
        <v>4850</v>
      </c>
      <c r="F438" s="218">
        <v>1619</v>
      </c>
      <c r="G438" s="223">
        <f t="shared" si="22"/>
        <v>88.0412371134021</v>
      </c>
      <c r="H438" s="220">
        <f t="shared" si="23"/>
        <v>12810</v>
      </c>
      <c r="I438" s="224">
        <v>1657.14285714286</v>
      </c>
      <c r="J438" s="224">
        <v>82.8571428571429</v>
      </c>
      <c r="K438" s="218">
        <v>1740</v>
      </c>
      <c r="L438" s="225"/>
      <c r="M438" s="225"/>
      <c r="N438" s="225">
        <f t="shared" si="24"/>
        <v>-3117</v>
      </c>
    </row>
    <row r="439" ht="15.2" spans="1:14">
      <c r="A439" s="219">
        <v>44973</v>
      </c>
      <c r="B439" s="216" t="s">
        <v>296</v>
      </c>
      <c r="C439" s="217" t="s">
        <v>50</v>
      </c>
      <c r="D439" s="218">
        <v>1.2</v>
      </c>
      <c r="E439" s="218">
        <v>1150</v>
      </c>
      <c r="F439" s="218">
        <v>399</v>
      </c>
      <c r="G439" s="223">
        <f t="shared" si="22"/>
        <v>-110.869565217391</v>
      </c>
      <c r="H439" s="220">
        <f t="shared" si="23"/>
        <v>-1530</v>
      </c>
      <c r="I439" s="224">
        <v>2771.42857142857</v>
      </c>
      <c r="J439" s="224">
        <v>138.571428571429</v>
      </c>
      <c r="K439" s="218">
        <v>2910</v>
      </c>
      <c r="L439" s="225"/>
      <c r="M439" s="225"/>
      <c r="N439" s="225">
        <f t="shared" si="24"/>
        <v>2431.2</v>
      </c>
    </row>
    <row r="440" ht="15.2" spans="1:14">
      <c r="A440" s="219"/>
      <c r="B440" s="216"/>
      <c r="C440" s="217"/>
      <c r="D440" s="218"/>
      <c r="E440" s="220"/>
      <c r="F440" s="221"/>
      <c r="G440" s="223"/>
      <c r="H440" s="220"/>
      <c r="I440" s="224"/>
      <c r="J440" s="224"/>
      <c r="K440" s="220"/>
      <c r="L440" s="225"/>
      <c r="M440" s="225"/>
      <c r="N440" s="225"/>
    </row>
    <row r="441" ht="15.2" spans="1:14">
      <c r="A441" s="219">
        <v>44974</v>
      </c>
      <c r="B441" s="216" t="s">
        <v>297</v>
      </c>
      <c r="C441" s="217" t="s">
        <v>58</v>
      </c>
      <c r="D441" s="218">
        <v>1.5</v>
      </c>
      <c r="E441" s="218">
        <v>1390</v>
      </c>
      <c r="F441" s="218">
        <v>499</v>
      </c>
      <c r="G441" s="223">
        <f t="shared" si="22"/>
        <v>50</v>
      </c>
      <c r="H441" s="220">
        <f t="shared" si="23"/>
        <v>1042.5</v>
      </c>
      <c r="I441" s="224">
        <v>992.857142857143</v>
      </c>
      <c r="J441" s="224">
        <v>49.6428571428571</v>
      </c>
      <c r="K441" s="218">
        <v>1042.5</v>
      </c>
      <c r="L441" s="225"/>
      <c r="M441" s="225"/>
      <c r="N441" s="225">
        <f t="shared" si="24"/>
        <v>294</v>
      </c>
    </row>
    <row r="442" ht="15.2" spans="1:14">
      <c r="A442" s="219">
        <v>44974</v>
      </c>
      <c r="B442" s="216" t="s">
        <v>297</v>
      </c>
      <c r="C442" s="217" t="s">
        <v>208</v>
      </c>
      <c r="D442" s="218">
        <v>2.5</v>
      </c>
      <c r="E442" s="218">
        <v>1460</v>
      </c>
      <c r="F442" s="218">
        <v>525</v>
      </c>
      <c r="G442" s="223">
        <f t="shared" si="22"/>
        <v>50</v>
      </c>
      <c r="H442" s="220">
        <f t="shared" si="23"/>
        <v>1825</v>
      </c>
      <c r="I442" s="224">
        <v>1738.09523809524</v>
      </c>
      <c r="J442" s="224">
        <v>86.9047619047619</v>
      </c>
      <c r="K442" s="218">
        <v>1825</v>
      </c>
      <c r="L442" s="225">
        <v>0.5</v>
      </c>
      <c r="M442" s="225">
        <v>2868</v>
      </c>
      <c r="N442" s="225">
        <f t="shared" si="24"/>
        <v>512.5</v>
      </c>
    </row>
    <row r="443" ht="15.2" spans="1:14">
      <c r="A443" s="219"/>
      <c r="B443" s="216"/>
      <c r="C443" s="217"/>
      <c r="D443" s="218"/>
      <c r="E443" s="220"/>
      <c r="F443" s="221"/>
      <c r="G443" s="223"/>
      <c r="H443" s="220"/>
      <c r="I443" s="224"/>
      <c r="J443" s="224"/>
      <c r="K443" s="220"/>
      <c r="L443" s="225"/>
      <c r="M443" s="225"/>
      <c r="N443" s="225"/>
    </row>
    <row r="444" ht="15.2" spans="1:14">
      <c r="A444" s="219">
        <v>44974</v>
      </c>
      <c r="B444" s="216" t="s">
        <v>298</v>
      </c>
      <c r="C444" s="217" t="s">
        <v>113</v>
      </c>
      <c r="D444" s="218">
        <v>1.2</v>
      </c>
      <c r="E444" s="218">
        <v>1740</v>
      </c>
      <c r="F444" s="218">
        <v>625</v>
      </c>
      <c r="G444" s="223">
        <f t="shared" si="22"/>
        <v>50</v>
      </c>
      <c r="H444" s="220">
        <f t="shared" si="23"/>
        <v>1044</v>
      </c>
      <c r="I444" s="224">
        <v>994.285714285714</v>
      </c>
      <c r="J444" s="224">
        <v>49.7142857142857</v>
      </c>
      <c r="K444" s="218">
        <v>1044</v>
      </c>
      <c r="L444" s="225"/>
      <c r="M444" s="225"/>
      <c r="N444" s="225">
        <f t="shared" si="24"/>
        <v>294</v>
      </c>
    </row>
    <row r="445" ht="15.2" spans="1:14">
      <c r="A445" s="219">
        <v>44974</v>
      </c>
      <c r="B445" s="216" t="s">
        <v>298</v>
      </c>
      <c r="C445" s="217" t="s">
        <v>299</v>
      </c>
      <c r="D445" s="218">
        <v>1.2</v>
      </c>
      <c r="E445" s="218">
        <v>1825</v>
      </c>
      <c r="F445" s="218">
        <v>769</v>
      </c>
      <c r="G445" s="223">
        <f t="shared" si="22"/>
        <v>53.3333333333333</v>
      </c>
      <c r="H445" s="220">
        <f t="shared" si="23"/>
        <v>1168</v>
      </c>
      <c r="I445" s="224">
        <v>973.333333333333</v>
      </c>
      <c r="J445" s="224">
        <v>48.6666666666667</v>
      </c>
      <c r="K445" s="218">
        <v>1022</v>
      </c>
      <c r="L445" s="225"/>
      <c r="M445" s="225"/>
      <c r="N445" s="225">
        <f t="shared" si="24"/>
        <v>99.2</v>
      </c>
    </row>
    <row r="446" ht="15.2" spans="1:14">
      <c r="A446" s="219">
        <v>44974</v>
      </c>
      <c r="B446" s="216" t="s">
        <v>298</v>
      </c>
      <c r="C446" s="217" t="s">
        <v>24</v>
      </c>
      <c r="D446" s="218">
        <v>1.2</v>
      </c>
      <c r="E446" s="218">
        <v>1040</v>
      </c>
      <c r="F446" s="218">
        <v>279.3</v>
      </c>
      <c r="G446" s="223">
        <f t="shared" si="22"/>
        <v>49.5192307692308</v>
      </c>
      <c r="H446" s="220">
        <f t="shared" si="23"/>
        <v>618</v>
      </c>
      <c r="I446" s="224">
        <v>600</v>
      </c>
      <c r="J446" s="224">
        <v>30</v>
      </c>
      <c r="K446" s="218">
        <v>630</v>
      </c>
      <c r="L446" s="225"/>
      <c r="M446" s="225">
        <v>2696</v>
      </c>
      <c r="N446" s="225">
        <f t="shared" si="24"/>
        <v>294.84</v>
      </c>
    </row>
    <row r="447" ht="15.2" spans="1:14">
      <c r="A447" s="219"/>
      <c r="B447" s="216"/>
      <c r="C447" s="217"/>
      <c r="D447" s="218"/>
      <c r="E447" s="220"/>
      <c r="F447" s="221"/>
      <c r="G447" s="223"/>
      <c r="H447" s="220"/>
      <c r="I447" s="224"/>
      <c r="J447" s="224"/>
      <c r="K447" s="220"/>
      <c r="L447" s="225"/>
      <c r="M447" s="225"/>
      <c r="N447" s="225"/>
    </row>
    <row r="448" ht="15.2" spans="1:14">
      <c r="A448" s="219">
        <v>44974</v>
      </c>
      <c r="B448" s="216" t="s">
        <v>300</v>
      </c>
      <c r="C448" s="217" t="s">
        <v>301</v>
      </c>
      <c r="D448" s="218">
        <v>1.6</v>
      </c>
      <c r="E448" s="218">
        <v>2450</v>
      </c>
      <c r="F448" s="218">
        <v>675</v>
      </c>
      <c r="G448" s="223">
        <f t="shared" si="22"/>
        <v>50</v>
      </c>
      <c r="H448" s="220">
        <f t="shared" si="23"/>
        <v>1960</v>
      </c>
      <c r="I448" s="224"/>
      <c r="J448" s="224"/>
      <c r="K448" s="220">
        <v>1960</v>
      </c>
      <c r="L448" s="225"/>
      <c r="M448" s="225">
        <v>1960</v>
      </c>
      <c r="N448" s="225">
        <f t="shared" si="24"/>
        <v>880</v>
      </c>
    </row>
    <row r="449" ht="15.2" spans="1:14">
      <c r="A449" s="219"/>
      <c r="B449" s="216"/>
      <c r="C449" s="217"/>
      <c r="D449" s="218"/>
      <c r="E449" s="220"/>
      <c r="F449" s="221"/>
      <c r="G449" s="223"/>
      <c r="H449" s="220"/>
      <c r="I449" s="224"/>
      <c r="J449" s="224"/>
      <c r="K449" s="220"/>
      <c r="L449" s="225"/>
      <c r="M449" s="225"/>
      <c r="N449" s="225"/>
    </row>
    <row r="450" ht="15.2" spans="1:14">
      <c r="A450" s="219">
        <v>44974</v>
      </c>
      <c r="B450" s="216" t="s">
        <v>302</v>
      </c>
      <c r="C450" s="217" t="s">
        <v>303</v>
      </c>
      <c r="D450" s="218">
        <v>1.2</v>
      </c>
      <c r="E450" s="218">
        <v>2860</v>
      </c>
      <c r="F450" s="218">
        <v>923</v>
      </c>
      <c r="G450" s="223">
        <f t="shared" si="22"/>
        <v>70</v>
      </c>
      <c r="H450" s="220">
        <f t="shared" si="23"/>
        <v>2402.4</v>
      </c>
      <c r="I450" s="224">
        <v>980.571428571428</v>
      </c>
      <c r="J450" s="224">
        <v>49.0285714285714</v>
      </c>
      <c r="K450" s="218">
        <v>1029.6</v>
      </c>
      <c r="L450" s="225"/>
      <c r="M450" s="225"/>
      <c r="N450" s="225">
        <f t="shared" si="24"/>
        <v>-78</v>
      </c>
    </row>
    <row r="451" ht="15.2" spans="1:14">
      <c r="A451" s="219">
        <v>44974</v>
      </c>
      <c r="B451" s="216" t="s">
        <v>302</v>
      </c>
      <c r="C451" s="217" t="s">
        <v>304</v>
      </c>
      <c r="D451" s="218">
        <v>1.6</v>
      </c>
      <c r="E451" s="218"/>
      <c r="F451" s="218"/>
      <c r="G451" s="223"/>
      <c r="H451" s="220"/>
      <c r="I451" s="224"/>
      <c r="J451" s="224"/>
      <c r="K451" s="218">
        <v>912</v>
      </c>
      <c r="L451" s="225"/>
      <c r="M451" s="225"/>
      <c r="N451" s="225">
        <f t="shared" si="24"/>
        <v>912</v>
      </c>
    </row>
    <row r="452" ht="15.2" spans="1:14">
      <c r="A452" s="219">
        <v>44974</v>
      </c>
      <c r="B452" s="216" t="s">
        <v>302</v>
      </c>
      <c r="C452" s="217" t="s">
        <v>305</v>
      </c>
      <c r="D452" s="218">
        <v>1.4</v>
      </c>
      <c r="E452" s="218">
        <v>1610</v>
      </c>
      <c r="F452" s="218">
        <v>523</v>
      </c>
      <c r="G452" s="223">
        <f t="shared" si="22"/>
        <v>50</v>
      </c>
      <c r="H452" s="220">
        <f t="shared" si="23"/>
        <v>1127</v>
      </c>
      <c r="I452" s="224">
        <v>1073.33333333333</v>
      </c>
      <c r="J452" s="224">
        <v>53.6666666666667</v>
      </c>
      <c r="K452" s="218">
        <v>1127</v>
      </c>
      <c r="L452" s="225"/>
      <c r="M452" s="225"/>
      <c r="N452" s="225">
        <f t="shared" si="24"/>
        <v>394.8</v>
      </c>
    </row>
    <row r="453" ht="15.2" spans="1:14">
      <c r="A453" s="219">
        <v>44974</v>
      </c>
      <c r="B453" s="216" t="s">
        <v>302</v>
      </c>
      <c r="C453" s="217">
        <v>8904290618360</v>
      </c>
      <c r="D453" s="218">
        <v>1</v>
      </c>
      <c r="E453" s="218">
        <v>2099</v>
      </c>
      <c r="F453" s="218">
        <v>1385.34</v>
      </c>
      <c r="G453" s="223">
        <f t="shared" si="22"/>
        <v>70</v>
      </c>
      <c r="H453" s="220">
        <f t="shared" si="23"/>
        <v>1469.3</v>
      </c>
      <c r="I453" s="224"/>
      <c r="J453" s="224"/>
      <c r="K453" s="218">
        <v>629.7</v>
      </c>
      <c r="L453" s="225">
        <v>-0.3</v>
      </c>
      <c r="M453" s="225">
        <v>3698</v>
      </c>
      <c r="N453" s="225">
        <f t="shared" si="24"/>
        <v>-755.64</v>
      </c>
    </row>
    <row r="454" ht="15.2" spans="1:14">
      <c r="A454" s="219"/>
      <c r="B454" s="216"/>
      <c r="C454" s="217"/>
      <c r="D454" s="218"/>
      <c r="E454" s="220"/>
      <c r="F454" s="221"/>
      <c r="G454" s="223"/>
      <c r="H454" s="220"/>
      <c r="I454" s="224"/>
      <c r="J454" s="224"/>
      <c r="K454" s="220"/>
      <c r="L454" s="225"/>
      <c r="M454" s="225"/>
      <c r="N454" s="225"/>
    </row>
    <row r="455" ht="15.2" spans="1:14">
      <c r="A455" s="219">
        <v>44974</v>
      </c>
      <c r="B455" s="216" t="s">
        <v>306</v>
      </c>
      <c r="C455" s="217" t="s">
        <v>307</v>
      </c>
      <c r="D455" s="218">
        <v>1.6</v>
      </c>
      <c r="E455" s="218">
        <v>1030</v>
      </c>
      <c r="F455" s="218">
        <v>350</v>
      </c>
      <c r="G455" s="223">
        <f t="shared" si="22"/>
        <v>50</v>
      </c>
      <c r="H455" s="220">
        <f t="shared" si="23"/>
        <v>824</v>
      </c>
      <c r="I455" s="224">
        <v>784.761904761905</v>
      </c>
      <c r="J455" s="224">
        <v>39.2380952380952</v>
      </c>
      <c r="K455" s="220">
        <v>824</v>
      </c>
      <c r="L455" s="225"/>
      <c r="M455" s="225">
        <v>824</v>
      </c>
      <c r="N455" s="225">
        <f t="shared" si="24"/>
        <v>264</v>
      </c>
    </row>
    <row r="456" ht="15.2" spans="1:14">
      <c r="A456" s="219"/>
      <c r="B456" s="216"/>
      <c r="C456" s="217"/>
      <c r="D456" s="218"/>
      <c r="E456" s="220"/>
      <c r="F456" s="221"/>
      <c r="G456" s="223"/>
      <c r="H456" s="220"/>
      <c r="I456" s="224"/>
      <c r="J456" s="224"/>
      <c r="K456" s="220"/>
      <c r="L456" s="225"/>
      <c r="M456" s="225"/>
      <c r="N456" s="225"/>
    </row>
    <row r="457" ht="15.2" spans="1:14">
      <c r="A457" s="219">
        <v>44974</v>
      </c>
      <c r="B457" s="216" t="s">
        <v>308</v>
      </c>
      <c r="C457" s="217">
        <v>89042960623692</v>
      </c>
      <c r="D457" s="218">
        <v>1</v>
      </c>
      <c r="E457" s="218">
        <v>1799</v>
      </c>
      <c r="F457" s="218">
        <v>1187.34</v>
      </c>
      <c r="G457" s="223">
        <f t="shared" si="22"/>
        <v>80</v>
      </c>
      <c r="H457" s="220">
        <f t="shared" si="23"/>
        <v>1439.2</v>
      </c>
      <c r="I457" s="224"/>
      <c r="J457" s="224"/>
      <c r="K457" s="218">
        <v>359.8</v>
      </c>
      <c r="L457" s="225"/>
      <c r="M457" s="225"/>
      <c r="N457" s="225">
        <f t="shared" si="24"/>
        <v>-827.54</v>
      </c>
    </row>
    <row r="458" ht="15.2" spans="1:14">
      <c r="A458" s="219">
        <v>44974</v>
      </c>
      <c r="B458" s="216" t="s">
        <v>308</v>
      </c>
      <c r="C458" s="217">
        <v>890429607210</v>
      </c>
      <c r="D458" s="218">
        <v>1</v>
      </c>
      <c r="E458" s="218">
        <v>1999</v>
      </c>
      <c r="F458" s="218">
        <v>1319.34</v>
      </c>
      <c r="G458" s="223">
        <f t="shared" si="22"/>
        <v>80</v>
      </c>
      <c r="H458" s="220">
        <f t="shared" si="23"/>
        <v>1599.2</v>
      </c>
      <c r="I458" s="224"/>
      <c r="J458" s="224"/>
      <c r="K458" s="218">
        <v>399.8</v>
      </c>
      <c r="L458" s="225">
        <v>0.4</v>
      </c>
      <c r="M458" s="225">
        <v>760</v>
      </c>
      <c r="N458" s="225">
        <f t="shared" si="24"/>
        <v>-919.54</v>
      </c>
    </row>
    <row r="459" ht="15.2" spans="1:14">
      <c r="A459" s="219"/>
      <c r="B459" s="216"/>
      <c r="C459" s="217"/>
      <c r="D459" s="218"/>
      <c r="E459" s="220"/>
      <c r="F459" s="221"/>
      <c r="G459" s="223"/>
      <c r="H459" s="220"/>
      <c r="I459" s="224"/>
      <c r="J459" s="224"/>
      <c r="K459" s="220"/>
      <c r="L459" s="225"/>
      <c r="M459" s="225"/>
      <c r="N459" s="225"/>
    </row>
    <row r="460" ht="15.2" spans="1:14">
      <c r="A460" s="219">
        <v>44974</v>
      </c>
      <c r="B460" s="216" t="s">
        <v>309</v>
      </c>
      <c r="C460" s="217">
        <v>8907538818959</v>
      </c>
      <c r="D460" s="218">
        <v>1</v>
      </c>
      <c r="E460" s="218">
        <v>2499</v>
      </c>
      <c r="F460" s="218">
        <v>1649.34</v>
      </c>
      <c r="G460" s="223">
        <f t="shared" si="22"/>
        <v>78</v>
      </c>
      <c r="H460" s="220">
        <f t="shared" si="23"/>
        <v>1949.22</v>
      </c>
      <c r="I460" s="224"/>
      <c r="J460" s="224"/>
      <c r="K460" s="218">
        <f>2499-1949.22</f>
        <v>549.78</v>
      </c>
      <c r="L460" s="225"/>
      <c r="M460" s="225"/>
      <c r="N460" s="225">
        <f t="shared" si="24"/>
        <v>-1099.56</v>
      </c>
    </row>
    <row r="461" ht="15.2" spans="1:14">
      <c r="A461" s="219">
        <v>44974</v>
      </c>
      <c r="B461" s="216" t="s">
        <v>309</v>
      </c>
      <c r="C461" s="217">
        <v>8907686947068</v>
      </c>
      <c r="D461" s="218">
        <v>1</v>
      </c>
      <c r="E461" s="218">
        <v>2699</v>
      </c>
      <c r="F461" s="218">
        <v>1781.34</v>
      </c>
      <c r="G461" s="223">
        <f t="shared" si="22"/>
        <v>75</v>
      </c>
      <c r="H461" s="220">
        <f t="shared" si="23"/>
        <v>2024.25</v>
      </c>
      <c r="I461" s="224"/>
      <c r="J461" s="224"/>
      <c r="K461" s="218">
        <f>2699-2024.25</f>
        <v>674.75</v>
      </c>
      <c r="L461" s="225"/>
      <c r="M461" s="225"/>
      <c r="N461" s="225">
        <f t="shared" si="24"/>
        <v>-1106.59</v>
      </c>
    </row>
    <row r="462" ht="15.2" spans="1:14">
      <c r="A462" s="219">
        <v>44974</v>
      </c>
      <c r="B462" s="216" t="s">
        <v>309</v>
      </c>
      <c r="C462" s="217">
        <v>8904290600914</v>
      </c>
      <c r="D462" s="218">
        <v>1</v>
      </c>
      <c r="E462" s="218">
        <v>1999</v>
      </c>
      <c r="F462" s="218">
        <v>1319.34</v>
      </c>
      <c r="G462" s="223">
        <f t="shared" si="22"/>
        <v>79</v>
      </c>
      <c r="H462" s="220">
        <f t="shared" si="23"/>
        <v>1579.21</v>
      </c>
      <c r="I462" s="224"/>
      <c r="J462" s="224"/>
      <c r="K462" s="218">
        <f>1999-1579.21</f>
        <v>419.79</v>
      </c>
      <c r="L462" s="225"/>
      <c r="M462" s="225"/>
      <c r="N462" s="225">
        <f t="shared" si="24"/>
        <v>-899.55</v>
      </c>
    </row>
    <row r="463" ht="15.2" spans="1:14">
      <c r="A463" s="219">
        <v>44974</v>
      </c>
      <c r="B463" s="216" t="s">
        <v>309</v>
      </c>
      <c r="C463" s="217">
        <v>8904290669603</v>
      </c>
      <c r="D463" s="218">
        <v>1</v>
      </c>
      <c r="E463" s="218">
        <v>1999</v>
      </c>
      <c r="F463" s="218">
        <v>1319.34</v>
      </c>
      <c r="G463" s="223">
        <f t="shared" si="22"/>
        <v>79</v>
      </c>
      <c r="H463" s="220">
        <f t="shared" si="23"/>
        <v>1579.21</v>
      </c>
      <c r="I463" s="224"/>
      <c r="J463" s="224"/>
      <c r="K463" s="218">
        <v>419.79</v>
      </c>
      <c r="L463" s="225"/>
      <c r="M463" s="225"/>
      <c r="N463" s="225">
        <f t="shared" si="24"/>
        <v>-899.55</v>
      </c>
    </row>
    <row r="464" ht="15.2" spans="1:14">
      <c r="A464" s="219">
        <v>44974</v>
      </c>
      <c r="B464" s="216" t="s">
        <v>309</v>
      </c>
      <c r="C464" s="217">
        <v>8907686819914</v>
      </c>
      <c r="D464" s="218">
        <v>1</v>
      </c>
      <c r="E464" s="218">
        <v>2499</v>
      </c>
      <c r="F464" s="218">
        <v>1649.34</v>
      </c>
      <c r="G464" s="223">
        <f t="shared" ref="G464:G527" si="25">(H464*100)/(E464*D464)</f>
        <v>79</v>
      </c>
      <c r="H464" s="220">
        <f t="shared" ref="H464:H527" si="26">D464*E464-K464</f>
        <v>1974.21</v>
      </c>
      <c r="I464" s="224"/>
      <c r="J464" s="224"/>
      <c r="K464" s="218">
        <v>524.79</v>
      </c>
      <c r="L464" s="225">
        <v>-0.9</v>
      </c>
      <c r="M464" s="225">
        <v>2500</v>
      </c>
      <c r="N464" s="225">
        <f t="shared" si="24"/>
        <v>-1124.55</v>
      </c>
    </row>
    <row r="465" ht="15.2" spans="1:14">
      <c r="A465" s="219"/>
      <c r="B465" s="216"/>
      <c r="C465" s="217"/>
      <c r="D465" s="218"/>
      <c r="E465" s="220"/>
      <c r="F465" s="221"/>
      <c r="G465" s="223"/>
      <c r="H465" s="220"/>
      <c r="I465" s="224"/>
      <c r="J465" s="224"/>
      <c r="K465" s="220"/>
      <c r="L465" s="225"/>
      <c r="M465" s="225"/>
      <c r="N465" s="225"/>
    </row>
    <row r="466" ht="15.2" spans="1:14">
      <c r="A466" s="219">
        <v>44974</v>
      </c>
      <c r="B466" s="216" t="s">
        <v>310</v>
      </c>
      <c r="C466" s="217" t="s">
        <v>311</v>
      </c>
      <c r="D466" s="218">
        <v>1.6</v>
      </c>
      <c r="E466" s="218">
        <v>1330</v>
      </c>
      <c r="F466" s="218">
        <v>877.8</v>
      </c>
      <c r="G466" s="223">
        <f t="shared" si="25"/>
        <v>50</v>
      </c>
      <c r="H466" s="220">
        <f t="shared" si="26"/>
        <v>1064</v>
      </c>
      <c r="I466" s="224"/>
      <c r="J466" s="224"/>
      <c r="K466" s="218">
        <v>1064</v>
      </c>
      <c r="L466" s="225"/>
      <c r="M466" s="225"/>
      <c r="N466" s="225">
        <f t="shared" si="24"/>
        <v>-340.48</v>
      </c>
    </row>
    <row r="467" ht="15.2" spans="1:14">
      <c r="A467" s="219">
        <v>44974</v>
      </c>
      <c r="B467" s="216" t="s">
        <v>310</v>
      </c>
      <c r="C467" s="217" t="s">
        <v>78</v>
      </c>
      <c r="D467" s="218">
        <v>1.2</v>
      </c>
      <c r="E467" s="218">
        <v>820</v>
      </c>
      <c r="F467" s="221">
        <v>299</v>
      </c>
      <c r="G467" s="223">
        <f t="shared" si="25"/>
        <v>50</v>
      </c>
      <c r="H467" s="220">
        <f t="shared" si="26"/>
        <v>492</v>
      </c>
      <c r="I467" s="224">
        <v>468.571428571429</v>
      </c>
      <c r="J467" s="224">
        <v>23.4285714285714</v>
      </c>
      <c r="K467" s="218">
        <v>492</v>
      </c>
      <c r="L467" s="225"/>
      <c r="M467" s="225">
        <v>1556</v>
      </c>
      <c r="N467" s="225">
        <f t="shared" si="24"/>
        <v>133.2</v>
      </c>
    </row>
    <row r="468" ht="15.2" spans="1:14">
      <c r="A468" s="219"/>
      <c r="B468" s="216"/>
      <c r="C468" s="217"/>
      <c r="D468" s="218"/>
      <c r="E468" s="220"/>
      <c r="F468" s="221"/>
      <c r="G468" s="223"/>
      <c r="H468" s="220"/>
      <c r="I468" s="224"/>
      <c r="J468" s="224"/>
      <c r="K468" s="220"/>
      <c r="L468" s="225"/>
      <c r="M468" s="225"/>
      <c r="N468" s="225"/>
    </row>
    <row r="469" ht="15.2" spans="1:14">
      <c r="A469" s="219">
        <v>44974</v>
      </c>
      <c r="B469" s="216" t="s">
        <v>312</v>
      </c>
      <c r="C469" s="217" t="s">
        <v>313</v>
      </c>
      <c r="D469" s="218">
        <v>1.2</v>
      </c>
      <c r="E469" s="218">
        <v>1260</v>
      </c>
      <c r="F469" s="218">
        <v>426</v>
      </c>
      <c r="G469" s="223">
        <f t="shared" si="25"/>
        <v>58.0555555555556</v>
      </c>
      <c r="H469" s="220">
        <f t="shared" si="26"/>
        <v>877.8</v>
      </c>
      <c r="I469" s="224">
        <v>604</v>
      </c>
      <c r="J469" s="224">
        <v>30.2</v>
      </c>
      <c r="K469" s="218">
        <v>634.2</v>
      </c>
      <c r="L469" s="225"/>
      <c r="M469" s="225"/>
      <c r="N469" s="225">
        <f t="shared" ref="N469:N531" si="27">K469-(D469*F469)</f>
        <v>123</v>
      </c>
    </row>
    <row r="470" ht="15.2" spans="1:14">
      <c r="A470" s="219">
        <v>44974</v>
      </c>
      <c r="B470" s="216" t="s">
        <v>312</v>
      </c>
      <c r="C470" s="217" t="s">
        <v>314</v>
      </c>
      <c r="D470" s="218">
        <v>1.8</v>
      </c>
      <c r="E470" s="218">
        <v>1250</v>
      </c>
      <c r="F470" s="218">
        <v>524.1</v>
      </c>
      <c r="G470" s="223">
        <f t="shared" si="25"/>
        <v>49.6</v>
      </c>
      <c r="H470" s="220">
        <f t="shared" si="26"/>
        <v>1116</v>
      </c>
      <c r="I470" s="224">
        <v>1080</v>
      </c>
      <c r="J470" s="224">
        <v>54</v>
      </c>
      <c r="K470" s="218">
        <v>1134</v>
      </c>
      <c r="L470" s="225"/>
      <c r="M470" s="225"/>
      <c r="N470" s="225">
        <f t="shared" si="27"/>
        <v>190.62</v>
      </c>
    </row>
    <row r="471" ht="15.2" spans="1:14">
      <c r="A471" s="219">
        <v>44974</v>
      </c>
      <c r="B471" s="216" t="s">
        <v>312</v>
      </c>
      <c r="C471" s="217" t="s">
        <v>315</v>
      </c>
      <c r="D471" s="218">
        <v>1.5</v>
      </c>
      <c r="E471" s="218">
        <v>1100</v>
      </c>
      <c r="F471" s="218">
        <v>396</v>
      </c>
      <c r="G471" s="223">
        <f t="shared" si="25"/>
        <v>64.6818181818182</v>
      </c>
      <c r="H471" s="220">
        <f t="shared" si="26"/>
        <v>1067.25</v>
      </c>
      <c r="I471" s="224">
        <v>555</v>
      </c>
      <c r="J471" s="224">
        <v>27.75</v>
      </c>
      <c r="K471" s="218">
        <v>582.75</v>
      </c>
      <c r="L471" s="225"/>
      <c r="M471" s="225"/>
      <c r="N471" s="225">
        <f t="shared" si="27"/>
        <v>-11.25</v>
      </c>
    </row>
    <row r="472" ht="15.2" spans="1:14">
      <c r="A472" s="219">
        <v>44974</v>
      </c>
      <c r="B472" s="216" t="s">
        <v>312</v>
      </c>
      <c r="C472" s="217" t="s">
        <v>155</v>
      </c>
      <c r="D472" s="218">
        <v>1.6</v>
      </c>
      <c r="E472" s="218">
        <v>1130</v>
      </c>
      <c r="F472" s="218">
        <v>359</v>
      </c>
      <c r="G472" s="223">
        <f t="shared" si="25"/>
        <v>49.5575221238938</v>
      </c>
      <c r="H472" s="220">
        <f t="shared" si="26"/>
        <v>896</v>
      </c>
      <c r="I472" s="224">
        <v>868.571428571429</v>
      </c>
      <c r="J472" s="224">
        <v>43.4285714285714</v>
      </c>
      <c r="K472" s="218">
        <v>912</v>
      </c>
      <c r="L472" s="225"/>
      <c r="M472" s="225"/>
      <c r="N472" s="225">
        <f t="shared" si="27"/>
        <v>337.6</v>
      </c>
    </row>
    <row r="473" ht="15.2" spans="1:14">
      <c r="A473" s="219">
        <v>44974</v>
      </c>
      <c r="B473" s="216" t="s">
        <v>312</v>
      </c>
      <c r="C473" s="217" t="s">
        <v>316</v>
      </c>
      <c r="D473" s="218">
        <v>1.2</v>
      </c>
      <c r="E473" s="218">
        <v>820</v>
      </c>
      <c r="F473" s="218">
        <v>299</v>
      </c>
      <c r="G473" s="223">
        <f t="shared" si="25"/>
        <v>50</v>
      </c>
      <c r="H473" s="220">
        <f t="shared" si="26"/>
        <v>492</v>
      </c>
      <c r="I473" s="224">
        <v>468.571428571429</v>
      </c>
      <c r="J473" s="224">
        <v>23.4285714285714</v>
      </c>
      <c r="K473" s="218">
        <v>492</v>
      </c>
      <c r="L473" s="225">
        <v>0.05</v>
      </c>
      <c r="M473" s="225">
        <v>3750</v>
      </c>
      <c r="N473" s="225">
        <f t="shared" si="27"/>
        <v>133.2</v>
      </c>
    </row>
    <row r="474" ht="15.2" spans="1:14">
      <c r="A474" s="219"/>
      <c r="B474" s="216"/>
      <c r="C474" s="217"/>
      <c r="D474" s="218"/>
      <c r="E474" s="220"/>
      <c r="F474" s="221"/>
      <c r="G474" s="223"/>
      <c r="H474" s="220"/>
      <c r="I474" s="224"/>
      <c r="J474" s="224"/>
      <c r="K474" s="220"/>
      <c r="L474" s="225"/>
      <c r="M474" s="225"/>
      <c r="N474" s="225"/>
    </row>
    <row r="475" ht="15.2" spans="1:14">
      <c r="A475" s="219">
        <v>44974</v>
      </c>
      <c r="B475" s="219" t="s">
        <v>317</v>
      </c>
      <c r="C475" s="217" t="s">
        <v>318</v>
      </c>
      <c r="D475" s="218">
        <v>3.25</v>
      </c>
      <c r="E475" s="218">
        <v>2780</v>
      </c>
      <c r="F475" s="218">
        <v>945</v>
      </c>
      <c r="G475" s="223">
        <f t="shared" si="25"/>
        <v>56</v>
      </c>
      <c r="H475" s="220">
        <f t="shared" si="26"/>
        <v>5059.6</v>
      </c>
      <c r="I475" s="224">
        <v>3786.09523809524</v>
      </c>
      <c r="J475" s="224">
        <v>189.304761904762</v>
      </c>
      <c r="K475" s="220">
        <v>3975.4</v>
      </c>
      <c r="L475" s="225">
        <v>-0.4</v>
      </c>
      <c r="M475" s="225">
        <v>3975</v>
      </c>
      <c r="N475" s="225">
        <f t="shared" si="27"/>
        <v>904.15</v>
      </c>
    </row>
    <row r="476" ht="15.2" spans="1:14">
      <c r="A476" s="219"/>
      <c r="B476" s="216"/>
      <c r="C476" s="217"/>
      <c r="D476" s="218"/>
      <c r="E476" s="220"/>
      <c r="F476" s="221"/>
      <c r="G476" s="223"/>
      <c r="H476" s="220"/>
      <c r="I476" s="224"/>
      <c r="J476" s="224"/>
      <c r="K476" s="220"/>
      <c r="L476" s="225"/>
      <c r="M476" s="225"/>
      <c r="N476" s="225"/>
    </row>
    <row r="477" ht="15.2" spans="1:14">
      <c r="A477" s="219">
        <v>44974</v>
      </c>
      <c r="B477" s="219" t="s">
        <v>319</v>
      </c>
      <c r="C477" s="217" t="s">
        <v>320</v>
      </c>
      <c r="D477" s="218">
        <v>1.3</v>
      </c>
      <c r="E477" s="218">
        <v>1710</v>
      </c>
      <c r="F477" s="218">
        <v>661</v>
      </c>
      <c r="G477" s="223">
        <f t="shared" si="25"/>
        <v>50</v>
      </c>
      <c r="H477" s="220">
        <f t="shared" si="26"/>
        <v>1111.5</v>
      </c>
      <c r="I477" s="224">
        <v>1058.57142857143</v>
      </c>
      <c r="J477" s="224">
        <v>52.9285714285714</v>
      </c>
      <c r="K477" s="218">
        <v>1111.5</v>
      </c>
      <c r="L477" s="225"/>
      <c r="M477" s="225"/>
      <c r="N477" s="225">
        <f t="shared" si="27"/>
        <v>252.2</v>
      </c>
    </row>
    <row r="478" ht="15.2" spans="1:14">
      <c r="A478" s="219">
        <v>44974</v>
      </c>
      <c r="B478" s="219" t="s">
        <v>319</v>
      </c>
      <c r="C478" s="217" t="s">
        <v>58</v>
      </c>
      <c r="D478" s="218">
        <v>1.6</v>
      </c>
      <c r="E478" s="218">
        <v>1390</v>
      </c>
      <c r="F478" s="218">
        <v>499</v>
      </c>
      <c r="G478" s="223">
        <f t="shared" si="25"/>
        <v>50</v>
      </c>
      <c r="H478" s="220">
        <f t="shared" si="26"/>
        <v>1112</v>
      </c>
      <c r="I478" s="224">
        <v>1059.04761904762</v>
      </c>
      <c r="J478" s="224">
        <v>52.952380952381</v>
      </c>
      <c r="K478" s="218">
        <v>1112</v>
      </c>
      <c r="L478" s="225">
        <v>0.5</v>
      </c>
      <c r="M478" s="225">
        <v>2224</v>
      </c>
      <c r="N478" s="225">
        <f t="shared" si="27"/>
        <v>313.6</v>
      </c>
    </row>
    <row r="479" ht="15.2" spans="1:14">
      <c r="A479" s="219"/>
      <c r="B479" s="216"/>
      <c r="C479" s="217"/>
      <c r="D479" s="218"/>
      <c r="E479" s="220"/>
      <c r="F479" s="221"/>
      <c r="G479" s="223"/>
      <c r="H479" s="220"/>
      <c r="I479" s="224"/>
      <c r="J479" s="224"/>
      <c r="K479" s="220"/>
      <c r="L479" s="225"/>
      <c r="M479" s="225"/>
      <c r="N479" s="225"/>
    </row>
    <row r="480" ht="15.2" spans="1:14">
      <c r="A480" s="219">
        <v>44974</v>
      </c>
      <c r="B480" s="219" t="s">
        <v>321</v>
      </c>
      <c r="C480" s="217">
        <v>8904290611835</v>
      </c>
      <c r="D480" s="218">
        <v>1</v>
      </c>
      <c r="E480" s="218">
        <v>1999</v>
      </c>
      <c r="F480" s="218">
        <v>1319.34</v>
      </c>
      <c r="G480" s="223">
        <f t="shared" si="25"/>
        <v>64.9824912456228</v>
      </c>
      <c r="H480" s="220">
        <f t="shared" si="26"/>
        <v>1299</v>
      </c>
      <c r="I480" s="224"/>
      <c r="J480" s="224"/>
      <c r="K480" s="220">
        <v>700</v>
      </c>
      <c r="L480" s="225"/>
      <c r="M480" s="225">
        <v>700</v>
      </c>
      <c r="N480" s="225">
        <f t="shared" si="27"/>
        <v>-619.34</v>
      </c>
    </row>
    <row r="481" ht="15.2" spans="1:14">
      <c r="A481" s="219"/>
      <c r="B481" s="216"/>
      <c r="C481" s="217"/>
      <c r="D481" s="218"/>
      <c r="E481" s="220"/>
      <c r="F481" s="221"/>
      <c r="G481" s="223"/>
      <c r="H481" s="220"/>
      <c r="I481" s="224"/>
      <c r="J481" s="224"/>
      <c r="K481" s="220"/>
      <c r="L481" s="225"/>
      <c r="M481" s="225"/>
      <c r="N481" s="225"/>
    </row>
    <row r="482" ht="15.2" spans="1:14">
      <c r="A482" s="219">
        <v>44974</v>
      </c>
      <c r="B482" s="219" t="s">
        <v>322</v>
      </c>
      <c r="C482" s="217">
        <v>8907686227641</v>
      </c>
      <c r="D482" s="218">
        <v>1</v>
      </c>
      <c r="E482" s="218">
        <v>399</v>
      </c>
      <c r="F482" s="218">
        <v>263.34</v>
      </c>
      <c r="G482" s="223">
        <f t="shared" si="25"/>
        <v>20</v>
      </c>
      <c r="H482" s="220">
        <f t="shared" si="26"/>
        <v>79.8</v>
      </c>
      <c r="I482" s="224"/>
      <c r="J482" s="224"/>
      <c r="K482" s="218">
        <v>319.2</v>
      </c>
      <c r="L482" s="225"/>
      <c r="M482" s="225"/>
      <c r="N482" s="225">
        <f t="shared" si="27"/>
        <v>55.86</v>
      </c>
    </row>
    <row r="483" ht="15.2" spans="1:14">
      <c r="A483" s="219">
        <v>44974</v>
      </c>
      <c r="B483" s="219" t="s">
        <v>322</v>
      </c>
      <c r="C483" s="217">
        <v>8907797188978</v>
      </c>
      <c r="D483" s="218">
        <v>1</v>
      </c>
      <c r="E483" s="218">
        <v>549</v>
      </c>
      <c r="F483" s="218">
        <v>362.34</v>
      </c>
      <c r="G483" s="223">
        <f t="shared" si="25"/>
        <v>20</v>
      </c>
      <c r="H483" s="220">
        <f t="shared" si="26"/>
        <v>109.8</v>
      </c>
      <c r="I483" s="224"/>
      <c r="J483" s="224"/>
      <c r="K483" s="218">
        <v>439.2</v>
      </c>
      <c r="L483" s="225">
        <v>-0.4</v>
      </c>
      <c r="M483" s="225">
        <v>758</v>
      </c>
      <c r="N483" s="225">
        <f t="shared" si="27"/>
        <v>76.86</v>
      </c>
    </row>
    <row r="484" ht="15.2" spans="1:14">
      <c r="A484" s="219"/>
      <c r="B484" s="216"/>
      <c r="C484" s="217"/>
      <c r="D484" s="218"/>
      <c r="E484" s="220"/>
      <c r="F484" s="221"/>
      <c r="G484" s="223"/>
      <c r="H484" s="220"/>
      <c r="I484" s="224"/>
      <c r="J484" s="224"/>
      <c r="K484" s="220"/>
      <c r="L484" s="225"/>
      <c r="M484" s="225"/>
      <c r="N484" s="225"/>
    </row>
    <row r="485" ht="15.2" spans="1:14">
      <c r="A485" s="219">
        <v>44974</v>
      </c>
      <c r="B485" s="219" t="s">
        <v>323</v>
      </c>
      <c r="C485" s="217">
        <v>8907378999078</v>
      </c>
      <c r="D485" s="218">
        <v>1</v>
      </c>
      <c r="E485" s="218">
        <v>1499</v>
      </c>
      <c r="F485" s="218">
        <v>989.34</v>
      </c>
      <c r="G485" s="223">
        <f t="shared" si="25"/>
        <v>65</v>
      </c>
      <c r="H485" s="220">
        <f t="shared" si="26"/>
        <v>974.35</v>
      </c>
      <c r="I485" s="224"/>
      <c r="J485" s="224"/>
      <c r="K485" s="220">
        <v>524.65</v>
      </c>
      <c r="L485" s="225">
        <v>0.35</v>
      </c>
      <c r="M485" s="225">
        <v>525</v>
      </c>
      <c r="N485" s="225">
        <f t="shared" si="27"/>
        <v>-464.69</v>
      </c>
    </row>
    <row r="486" ht="15.2" spans="1:14">
      <c r="A486" s="219"/>
      <c r="B486" s="216"/>
      <c r="C486" s="217"/>
      <c r="D486" s="218"/>
      <c r="E486" s="220"/>
      <c r="F486" s="221"/>
      <c r="G486" s="223"/>
      <c r="H486" s="220"/>
      <c r="I486" s="224"/>
      <c r="J486" s="224"/>
      <c r="K486" s="220"/>
      <c r="L486" s="225"/>
      <c r="M486" s="225"/>
      <c r="N486" s="225"/>
    </row>
    <row r="487" ht="15.2" spans="1:14">
      <c r="A487" s="219">
        <v>44974</v>
      </c>
      <c r="B487" s="219" t="s">
        <v>324</v>
      </c>
      <c r="C487" s="217" t="s">
        <v>325</v>
      </c>
      <c r="D487" s="218">
        <v>1.2</v>
      </c>
      <c r="E487" s="218">
        <v>800</v>
      </c>
      <c r="F487" s="218">
        <v>299</v>
      </c>
      <c r="G487" s="223">
        <f t="shared" si="25"/>
        <v>50</v>
      </c>
      <c r="H487" s="220">
        <f t="shared" si="26"/>
        <v>480</v>
      </c>
      <c r="I487" s="224">
        <v>457.142857142857</v>
      </c>
      <c r="J487" s="224">
        <v>22.8571428571429</v>
      </c>
      <c r="K487" s="218">
        <v>480</v>
      </c>
      <c r="L487" s="225"/>
      <c r="M487" s="225"/>
      <c r="N487" s="225">
        <f t="shared" si="27"/>
        <v>121.2</v>
      </c>
    </row>
    <row r="488" ht="15.2" spans="1:14">
      <c r="A488" s="219">
        <v>44974</v>
      </c>
      <c r="B488" s="219" t="s">
        <v>324</v>
      </c>
      <c r="C488" s="217" t="s">
        <v>32</v>
      </c>
      <c r="D488" s="218">
        <v>1.6</v>
      </c>
      <c r="E488" s="218">
        <v>1150</v>
      </c>
      <c r="F488" s="218">
        <v>401</v>
      </c>
      <c r="G488" s="223">
        <f t="shared" si="25"/>
        <v>50</v>
      </c>
      <c r="H488" s="220">
        <f t="shared" si="26"/>
        <v>920</v>
      </c>
      <c r="I488" s="224">
        <v>876.190476190476</v>
      </c>
      <c r="J488" s="224">
        <v>43.8095238095238</v>
      </c>
      <c r="K488" s="218">
        <v>920</v>
      </c>
      <c r="L488" s="225"/>
      <c r="M488" s="225">
        <v>1400</v>
      </c>
      <c r="N488" s="225">
        <f t="shared" si="27"/>
        <v>278.4</v>
      </c>
    </row>
    <row r="489" ht="15.2" spans="1:14">
      <c r="A489" s="219"/>
      <c r="B489" s="216"/>
      <c r="C489" s="217"/>
      <c r="D489" s="218"/>
      <c r="E489" s="220"/>
      <c r="F489" s="221"/>
      <c r="G489" s="223"/>
      <c r="H489" s="220"/>
      <c r="I489" s="224"/>
      <c r="J489" s="224"/>
      <c r="K489" s="220"/>
      <c r="L489" s="225"/>
      <c r="M489" s="225"/>
      <c r="N489" s="225"/>
    </row>
    <row r="490" ht="15.2" spans="1:14">
      <c r="A490" s="219">
        <v>44974</v>
      </c>
      <c r="B490" s="219" t="s">
        <v>326</v>
      </c>
      <c r="C490" s="217" t="s">
        <v>327</v>
      </c>
      <c r="D490" s="218">
        <v>1</v>
      </c>
      <c r="E490" s="218">
        <v>1999</v>
      </c>
      <c r="F490" s="218">
        <v>1319.34</v>
      </c>
      <c r="G490" s="223">
        <f t="shared" si="25"/>
        <v>75</v>
      </c>
      <c r="H490" s="220">
        <f t="shared" si="26"/>
        <v>1499.25</v>
      </c>
      <c r="I490" s="224"/>
      <c r="J490" s="224"/>
      <c r="K490" s="220">
        <v>499.75</v>
      </c>
      <c r="L490" s="225">
        <v>0.25</v>
      </c>
      <c r="M490" s="225">
        <v>500</v>
      </c>
      <c r="N490" s="225">
        <f t="shared" si="27"/>
        <v>-819.59</v>
      </c>
    </row>
    <row r="491" ht="15.2" spans="1:14">
      <c r="A491" s="219"/>
      <c r="B491" s="216"/>
      <c r="C491" s="217"/>
      <c r="D491" s="218"/>
      <c r="E491" s="220"/>
      <c r="F491" s="221"/>
      <c r="G491" s="223"/>
      <c r="H491" s="220"/>
      <c r="I491" s="224"/>
      <c r="J491" s="224"/>
      <c r="K491" s="220"/>
      <c r="L491" s="225"/>
      <c r="M491" s="225"/>
      <c r="N491" s="225"/>
    </row>
    <row r="492" ht="15.2" spans="1:14">
      <c r="A492" s="219">
        <v>44975</v>
      </c>
      <c r="B492" s="219" t="s">
        <v>328</v>
      </c>
      <c r="C492" s="217" t="s">
        <v>329</v>
      </c>
      <c r="D492" s="218">
        <v>1.5</v>
      </c>
      <c r="E492" s="218">
        <v>1050</v>
      </c>
      <c r="F492" s="218">
        <v>319.2</v>
      </c>
      <c r="G492" s="223">
        <f t="shared" si="25"/>
        <v>55</v>
      </c>
      <c r="H492" s="220">
        <f t="shared" si="26"/>
        <v>866.25</v>
      </c>
      <c r="I492" s="224"/>
      <c r="J492" s="224"/>
      <c r="K492" s="218">
        <v>708.75</v>
      </c>
      <c r="L492" s="225"/>
      <c r="M492" s="225"/>
      <c r="N492" s="225">
        <f t="shared" si="27"/>
        <v>229.95</v>
      </c>
    </row>
    <row r="493" ht="15.2" spans="1:14">
      <c r="A493" s="219">
        <v>44975</v>
      </c>
      <c r="B493" s="219" t="s">
        <v>328</v>
      </c>
      <c r="C493" s="217" t="s">
        <v>330</v>
      </c>
      <c r="D493" s="218">
        <v>1.5</v>
      </c>
      <c r="E493" s="218">
        <v>2730</v>
      </c>
      <c r="F493" s="218">
        <v>923</v>
      </c>
      <c r="G493" s="223">
        <f t="shared" si="25"/>
        <v>60</v>
      </c>
      <c r="H493" s="220">
        <f t="shared" si="26"/>
        <v>2457</v>
      </c>
      <c r="I493" s="224">
        <v>1560</v>
      </c>
      <c r="J493" s="224">
        <v>78</v>
      </c>
      <c r="K493" s="218">
        <v>1638</v>
      </c>
      <c r="L493" s="225"/>
      <c r="M493" s="225"/>
      <c r="N493" s="225">
        <f t="shared" si="27"/>
        <v>253.5</v>
      </c>
    </row>
    <row r="494" ht="15.2" spans="1:14">
      <c r="A494" s="219">
        <v>44975</v>
      </c>
      <c r="B494" s="219" t="s">
        <v>328</v>
      </c>
      <c r="C494" s="217" t="s">
        <v>168</v>
      </c>
      <c r="D494" s="218">
        <v>1.5</v>
      </c>
      <c r="E494" s="218">
        <v>1670</v>
      </c>
      <c r="F494" s="218">
        <v>599</v>
      </c>
      <c r="G494" s="223">
        <f t="shared" si="25"/>
        <v>55</v>
      </c>
      <c r="H494" s="220">
        <f t="shared" si="26"/>
        <v>1377.75</v>
      </c>
      <c r="I494" s="224">
        <v>1073.57142857143</v>
      </c>
      <c r="J494" s="224">
        <v>53.6785714285714</v>
      </c>
      <c r="K494" s="218">
        <v>1127.25</v>
      </c>
      <c r="L494" s="225"/>
      <c r="M494" s="225"/>
      <c r="N494" s="225">
        <f t="shared" si="27"/>
        <v>228.75</v>
      </c>
    </row>
    <row r="495" ht="15.2" spans="1:14">
      <c r="A495" s="219">
        <v>44975</v>
      </c>
      <c r="B495" s="219" t="s">
        <v>328</v>
      </c>
      <c r="C495" s="217" t="s">
        <v>101</v>
      </c>
      <c r="D495" s="218">
        <v>1.5</v>
      </c>
      <c r="E495" s="218">
        <v>1150</v>
      </c>
      <c r="F495" s="218">
        <v>403</v>
      </c>
      <c r="G495" s="223">
        <f t="shared" si="25"/>
        <v>55</v>
      </c>
      <c r="H495" s="220">
        <f t="shared" si="26"/>
        <v>948.75</v>
      </c>
      <c r="I495" s="224">
        <v>739.285714285714</v>
      </c>
      <c r="J495" s="224">
        <v>36.9642857142857</v>
      </c>
      <c r="K495" s="218">
        <v>776.25</v>
      </c>
      <c r="L495" s="225"/>
      <c r="M495" s="225"/>
      <c r="N495" s="225">
        <f t="shared" si="27"/>
        <v>171.75</v>
      </c>
    </row>
    <row r="496" ht="15.2" spans="1:14">
      <c r="A496" s="219">
        <v>44975</v>
      </c>
      <c r="B496" s="219" t="s">
        <v>328</v>
      </c>
      <c r="C496" s="217" t="s">
        <v>331</v>
      </c>
      <c r="D496" s="218">
        <v>1.5</v>
      </c>
      <c r="E496" s="218">
        <v>1150</v>
      </c>
      <c r="F496" s="218">
        <v>423</v>
      </c>
      <c r="G496" s="223">
        <f t="shared" si="25"/>
        <v>55</v>
      </c>
      <c r="H496" s="220">
        <f t="shared" si="26"/>
        <v>948.75</v>
      </c>
      <c r="I496" s="224">
        <v>739.285714285714</v>
      </c>
      <c r="J496" s="224">
        <v>36.9642857142857</v>
      </c>
      <c r="K496" s="218">
        <v>776.25</v>
      </c>
      <c r="L496" s="225"/>
      <c r="M496" s="225"/>
      <c r="N496" s="225">
        <f t="shared" si="27"/>
        <v>141.75</v>
      </c>
    </row>
    <row r="497" ht="15.2" spans="1:14">
      <c r="A497" s="219">
        <v>44975</v>
      </c>
      <c r="B497" s="219" t="s">
        <v>328</v>
      </c>
      <c r="C497" s="217" t="s">
        <v>126</v>
      </c>
      <c r="D497" s="218">
        <v>1.5</v>
      </c>
      <c r="E497" s="218">
        <v>1100</v>
      </c>
      <c r="F497" s="218">
        <v>369</v>
      </c>
      <c r="G497" s="223">
        <f t="shared" si="25"/>
        <v>55</v>
      </c>
      <c r="H497" s="220">
        <f t="shared" si="26"/>
        <v>907.5</v>
      </c>
      <c r="I497" s="224">
        <v>707.142857142857</v>
      </c>
      <c r="J497" s="224">
        <v>35.3571428571429</v>
      </c>
      <c r="K497" s="218">
        <v>742.5</v>
      </c>
      <c r="L497" s="225"/>
      <c r="M497" s="225"/>
      <c r="N497" s="225">
        <f t="shared" si="27"/>
        <v>189</v>
      </c>
    </row>
    <row r="498" ht="15.2" spans="1:14">
      <c r="A498" s="219">
        <v>44975</v>
      </c>
      <c r="B498" s="219" t="s">
        <v>328</v>
      </c>
      <c r="C498" s="217" t="s">
        <v>154</v>
      </c>
      <c r="D498" s="218">
        <v>1.5</v>
      </c>
      <c r="E498" s="218">
        <v>1370</v>
      </c>
      <c r="F498" s="218">
        <v>464</v>
      </c>
      <c r="G498" s="223">
        <f t="shared" si="25"/>
        <v>60</v>
      </c>
      <c r="H498" s="220">
        <f t="shared" si="26"/>
        <v>1233</v>
      </c>
      <c r="I498" s="224">
        <v>782.857142857143</v>
      </c>
      <c r="J498" s="224">
        <v>39.1428571428571</v>
      </c>
      <c r="K498" s="218">
        <v>822</v>
      </c>
      <c r="L498" s="225"/>
      <c r="M498" s="225"/>
      <c r="N498" s="225">
        <f t="shared" si="27"/>
        <v>126</v>
      </c>
    </row>
    <row r="499" ht="15.2" spans="1:14">
      <c r="A499" s="219">
        <v>44975</v>
      </c>
      <c r="B499" s="219" t="s">
        <v>328</v>
      </c>
      <c r="C499" s="217" t="s">
        <v>332</v>
      </c>
      <c r="D499" s="218">
        <v>1.5</v>
      </c>
      <c r="E499" s="218">
        <v>1830</v>
      </c>
      <c r="F499" s="218">
        <v>489.3</v>
      </c>
      <c r="G499" s="223">
        <f t="shared" si="25"/>
        <v>60</v>
      </c>
      <c r="H499" s="220">
        <f t="shared" si="26"/>
        <v>1647</v>
      </c>
      <c r="I499" s="224">
        <v>1045.71428571429</v>
      </c>
      <c r="J499" s="224">
        <v>52.2857142857143</v>
      </c>
      <c r="K499" s="218">
        <v>1098</v>
      </c>
      <c r="L499" s="225"/>
      <c r="M499" s="225"/>
      <c r="N499" s="225">
        <f t="shared" si="27"/>
        <v>364.05</v>
      </c>
    </row>
    <row r="500" ht="15.2" spans="1:14">
      <c r="A500" s="219">
        <v>44975</v>
      </c>
      <c r="B500" s="219" t="s">
        <v>328</v>
      </c>
      <c r="C500" s="217" t="s">
        <v>333</v>
      </c>
      <c r="D500" s="218">
        <v>1.5</v>
      </c>
      <c r="E500" s="218">
        <v>1860</v>
      </c>
      <c r="F500" s="218">
        <v>670</v>
      </c>
      <c r="G500" s="223">
        <f t="shared" si="25"/>
        <v>60</v>
      </c>
      <c r="H500" s="220">
        <f t="shared" si="26"/>
        <v>1674</v>
      </c>
      <c r="I500" s="224">
        <v>1062.85714285714</v>
      </c>
      <c r="J500" s="224">
        <v>53.1428571428571</v>
      </c>
      <c r="K500" s="218">
        <v>1116</v>
      </c>
      <c r="L500" s="225"/>
      <c r="M500" s="225">
        <v>8805</v>
      </c>
      <c r="N500" s="225">
        <f t="shared" si="27"/>
        <v>111</v>
      </c>
    </row>
    <row r="501" ht="15.2" spans="1:14">
      <c r="A501" s="219"/>
      <c r="B501" s="216"/>
      <c r="C501" s="217"/>
      <c r="D501" s="218"/>
      <c r="E501" s="220"/>
      <c r="F501" s="221"/>
      <c r="G501" s="223"/>
      <c r="H501" s="220"/>
      <c r="I501" s="224"/>
      <c r="J501" s="224"/>
      <c r="K501" s="220"/>
      <c r="L501" s="225"/>
      <c r="M501" s="225"/>
      <c r="N501" s="225"/>
    </row>
    <row r="502" ht="15.2" spans="1:14">
      <c r="A502" s="219">
        <v>44975</v>
      </c>
      <c r="B502" s="219" t="s">
        <v>334</v>
      </c>
      <c r="C502" s="217" t="s">
        <v>207</v>
      </c>
      <c r="D502" s="218">
        <v>1.2</v>
      </c>
      <c r="E502" s="218">
        <v>1500</v>
      </c>
      <c r="F502" s="218">
        <v>540</v>
      </c>
      <c r="G502" s="223">
        <f t="shared" si="25"/>
        <v>50</v>
      </c>
      <c r="H502" s="220">
        <f t="shared" si="26"/>
        <v>900</v>
      </c>
      <c r="I502" s="224">
        <v>857.142857142857</v>
      </c>
      <c r="J502" s="224">
        <v>42.8571428571429</v>
      </c>
      <c r="K502" s="218">
        <v>900</v>
      </c>
      <c r="L502" s="225"/>
      <c r="M502" s="225"/>
      <c r="N502" s="225">
        <f t="shared" si="27"/>
        <v>252</v>
      </c>
    </row>
    <row r="503" ht="15.2" spans="1:14">
      <c r="A503" s="219">
        <v>44975</v>
      </c>
      <c r="B503" s="219" t="s">
        <v>334</v>
      </c>
      <c r="C503" s="217" t="s">
        <v>335</v>
      </c>
      <c r="D503" s="218">
        <v>1.1</v>
      </c>
      <c r="E503" s="218">
        <v>1750</v>
      </c>
      <c r="F503" s="218">
        <v>629</v>
      </c>
      <c r="G503" s="223">
        <f t="shared" si="25"/>
        <v>50</v>
      </c>
      <c r="H503" s="220">
        <f t="shared" si="26"/>
        <v>962.5</v>
      </c>
      <c r="I503" s="224">
        <v>916.666666666667</v>
      </c>
      <c r="J503" s="224">
        <v>45.8333333333333</v>
      </c>
      <c r="K503" s="218">
        <v>962.5</v>
      </c>
      <c r="L503" s="225"/>
      <c r="M503" s="225"/>
      <c r="N503" s="225">
        <f t="shared" si="27"/>
        <v>270.6</v>
      </c>
    </row>
    <row r="504" ht="15.2" spans="1:14">
      <c r="A504" s="219">
        <v>44975</v>
      </c>
      <c r="B504" s="219" t="s">
        <v>334</v>
      </c>
      <c r="C504" s="217" t="s">
        <v>336</v>
      </c>
      <c r="D504" s="218">
        <v>1</v>
      </c>
      <c r="E504" s="218">
        <v>1500</v>
      </c>
      <c r="F504" s="218">
        <v>510</v>
      </c>
      <c r="G504" s="223">
        <f t="shared" si="25"/>
        <v>0</v>
      </c>
      <c r="H504" s="220">
        <f t="shared" si="26"/>
        <v>0</v>
      </c>
      <c r="I504" s="224">
        <v>1428.57142857143</v>
      </c>
      <c r="J504" s="224">
        <v>71.4285714285714</v>
      </c>
      <c r="K504" s="218">
        <v>1500</v>
      </c>
      <c r="L504" s="225">
        <v>0.5</v>
      </c>
      <c r="M504" s="225">
        <v>3300</v>
      </c>
      <c r="N504" s="225">
        <f t="shared" si="27"/>
        <v>990</v>
      </c>
    </row>
    <row r="505" ht="15.2" spans="1:14">
      <c r="A505" s="219"/>
      <c r="B505" s="216"/>
      <c r="C505" s="217"/>
      <c r="D505" s="218"/>
      <c r="E505" s="220"/>
      <c r="F505" s="221"/>
      <c r="G505" s="223"/>
      <c r="H505" s="220"/>
      <c r="I505" s="224"/>
      <c r="J505" s="224"/>
      <c r="K505" s="220"/>
      <c r="L505" s="225"/>
      <c r="M505" s="225"/>
      <c r="N505" s="225"/>
    </row>
    <row r="506" ht="15.2" spans="1:14">
      <c r="A506" s="219">
        <v>44975</v>
      </c>
      <c r="B506" s="219" t="s">
        <v>337</v>
      </c>
      <c r="C506" s="217" t="s">
        <v>24</v>
      </c>
      <c r="D506" s="218">
        <v>1.2</v>
      </c>
      <c r="E506" s="218">
        <v>1050</v>
      </c>
      <c r="F506" s="218">
        <v>279.3</v>
      </c>
      <c r="G506" s="223">
        <f t="shared" si="25"/>
        <v>50</v>
      </c>
      <c r="H506" s="220">
        <f t="shared" si="26"/>
        <v>630</v>
      </c>
      <c r="I506" s="224">
        <v>600</v>
      </c>
      <c r="J506" s="224">
        <v>30</v>
      </c>
      <c r="K506" s="218">
        <v>630</v>
      </c>
      <c r="L506" s="225"/>
      <c r="M506" s="225"/>
      <c r="N506" s="225">
        <f t="shared" si="27"/>
        <v>294.84</v>
      </c>
    </row>
    <row r="507" ht="15.2" spans="1:14">
      <c r="A507" s="219">
        <v>44975</v>
      </c>
      <c r="B507" s="219" t="s">
        <v>337</v>
      </c>
      <c r="C507" s="217" t="s">
        <v>338</v>
      </c>
      <c r="D507" s="218">
        <v>1.4</v>
      </c>
      <c r="E507" s="218">
        <v>760</v>
      </c>
      <c r="F507" s="218">
        <v>270</v>
      </c>
      <c r="G507" s="223">
        <f t="shared" si="25"/>
        <v>50</v>
      </c>
      <c r="H507" s="220">
        <f t="shared" si="26"/>
        <v>532</v>
      </c>
      <c r="I507" s="224">
        <v>506.666666666667</v>
      </c>
      <c r="J507" s="224">
        <v>25.3333333333333</v>
      </c>
      <c r="K507" s="218">
        <v>532</v>
      </c>
      <c r="L507" s="225"/>
      <c r="M507" s="225">
        <v>1162</v>
      </c>
      <c r="N507" s="225">
        <f t="shared" si="27"/>
        <v>154</v>
      </c>
    </row>
    <row r="508" ht="15.2" spans="1:14">
      <c r="A508" s="219"/>
      <c r="B508" s="216"/>
      <c r="C508" s="217"/>
      <c r="D508" s="218"/>
      <c r="E508" s="220"/>
      <c r="F508" s="221"/>
      <c r="G508" s="223"/>
      <c r="H508" s="220"/>
      <c r="I508" s="224"/>
      <c r="J508" s="224"/>
      <c r="K508" s="220"/>
      <c r="L508" s="225"/>
      <c r="M508" s="225"/>
      <c r="N508" s="225"/>
    </row>
    <row r="509" ht="15.2" spans="1:14">
      <c r="A509" s="219">
        <v>44975</v>
      </c>
      <c r="B509" s="219" t="s">
        <v>339</v>
      </c>
      <c r="C509" s="217">
        <v>8907538711274</v>
      </c>
      <c r="D509" s="218">
        <v>1</v>
      </c>
      <c r="E509" s="218">
        <v>2599</v>
      </c>
      <c r="F509" s="218">
        <v>1715.34</v>
      </c>
      <c r="G509" s="223">
        <f t="shared" si="25"/>
        <v>65</v>
      </c>
      <c r="H509" s="220">
        <f t="shared" si="26"/>
        <v>1689.35</v>
      </c>
      <c r="I509" s="224"/>
      <c r="J509" s="224"/>
      <c r="K509" s="218">
        <v>909.65</v>
      </c>
      <c r="L509" s="225"/>
      <c r="M509" s="225"/>
      <c r="N509" s="225">
        <f t="shared" si="27"/>
        <v>-805.69</v>
      </c>
    </row>
    <row r="510" ht="15.2" spans="1:14">
      <c r="A510" s="219">
        <v>44975</v>
      </c>
      <c r="B510" s="219" t="s">
        <v>339</v>
      </c>
      <c r="C510" s="217">
        <v>8904290618681</v>
      </c>
      <c r="D510" s="218">
        <v>1</v>
      </c>
      <c r="E510" s="218">
        <v>1999</v>
      </c>
      <c r="F510" s="218">
        <v>1319.34</v>
      </c>
      <c r="G510" s="223">
        <f t="shared" si="25"/>
        <v>65</v>
      </c>
      <c r="H510" s="220">
        <f t="shared" si="26"/>
        <v>1299.35</v>
      </c>
      <c r="I510" s="224"/>
      <c r="J510" s="224"/>
      <c r="K510" s="218">
        <v>699.65</v>
      </c>
      <c r="L510" s="225"/>
      <c r="M510" s="225"/>
      <c r="N510" s="225">
        <f t="shared" si="27"/>
        <v>-619.69</v>
      </c>
    </row>
    <row r="511" ht="15.2" spans="1:14">
      <c r="A511" s="219">
        <v>44975</v>
      </c>
      <c r="B511" s="219" t="s">
        <v>339</v>
      </c>
      <c r="C511" s="217">
        <v>8904290607227</v>
      </c>
      <c r="D511" s="218">
        <v>1</v>
      </c>
      <c r="E511" s="218">
        <v>1999</v>
      </c>
      <c r="F511" s="218">
        <v>1319.34</v>
      </c>
      <c r="G511" s="223">
        <f t="shared" si="25"/>
        <v>65</v>
      </c>
      <c r="H511" s="220">
        <f t="shared" si="26"/>
        <v>1299.35</v>
      </c>
      <c r="I511" s="224"/>
      <c r="J511" s="224"/>
      <c r="K511" s="218">
        <v>699.65</v>
      </c>
      <c r="L511" s="225">
        <v>0.05</v>
      </c>
      <c r="M511" s="225">
        <v>2309</v>
      </c>
      <c r="N511" s="225">
        <f t="shared" si="27"/>
        <v>-619.69</v>
      </c>
    </row>
    <row r="512" ht="15.2" spans="1:14">
      <c r="A512" s="219"/>
      <c r="B512" s="216"/>
      <c r="C512" s="217"/>
      <c r="D512" s="218"/>
      <c r="E512" s="220"/>
      <c r="F512" s="221"/>
      <c r="G512" s="223"/>
      <c r="H512" s="220"/>
      <c r="I512" s="224"/>
      <c r="J512" s="224"/>
      <c r="K512" s="220"/>
      <c r="L512" s="225"/>
      <c r="M512" s="225"/>
      <c r="N512" s="225"/>
    </row>
    <row r="513" ht="15.2" spans="1:14">
      <c r="A513" s="219">
        <v>44975</v>
      </c>
      <c r="B513" s="219" t="s">
        <v>340</v>
      </c>
      <c r="C513" s="217" t="s">
        <v>341</v>
      </c>
      <c r="D513" s="218">
        <v>1.6</v>
      </c>
      <c r="E513" s="218">
        <v>1570</v>
      </c>
      <c r="F513" s="218">
        <v>502</v>
      </c>
      <c r="G513" s="223">
        <f t="shared" si="25"/>
        <v>50</v>
      </c>
      <c r="H513" s="220">
        <f t="shared" si="26"/>
        <v>1256</v>
      </c>
      <c r="I513" s="224">
        <v>1196.19047619048</v>
      </c>
      <c r="J513" s="224">
        <v>59.8095238095238</v>
      </c>
      <c r="K513" s="218">
        <v>1256</v>
      </c>
      <c r="L513" s="225"/>
      <c r="M513" s="225"/>
      <c r="N513" s="225">
        <f t="shared" si="27"/>
        <v>452.8</v>
      </c>
    </row>
    <row r="514" ht="15.2" spans="1:14">
      <c r="A514" s="219">
        <v>44975</v>
      </c>
      <c r="B514" s="219" t="s">
        <v>340</v>
      </c>
      <c r="C514" s="217" t="s">
        <v>342</v>
      </c>
      <c r="D514" s="218">
        <v>1.2</v>
      </c>
      <c r="E514" s="218">
        <v>2100</v>
      </c>
      <c r="F514" s="218">
        <v>651</v>
      </c>
      <c r="G514" s="223">
        <f t="shared" si="25"/>
        <v>50</v>
      </c>
      <c r="H514" s="220">
        <f t="shared" si="26"/>
        <v>1260</v>
      </c>
      <c r="I514" s="224">
        <v>1200</v>
      </c>
      <c r="J514" s="224">
        <v>60</v>
      </c>
      <c r="K514" s="218">
        <v>1260</v>
      </c>
      <c r="L514" s="225"/>
      <c r="M514" s="225">
        <v>2516</v>
      </c>
      <c r="N514" s="225">
        <f t="shared" si="27"/>
        <v>478.8</v>
      </c>
    </row>
    <row r="515" ht="15.2" spans="1:14">
      <c r="A515" s="219"/>
      <c r="B515" s="216"/>
      <c r="C515" s="217"/>
      <c r="D515" s="218"/>
      <c r="E515" s="220"/>
      <c r="F515" s="221"/>
      <c r="G515" s="223"/>
      <c r="H515" s="220"/>
      <c r="I515" s="224"/>
      <c r="J515" s="224"/>
      <c r="K515" s="220"/>
      <c r="L515" s="225"/>
      <c r="M515" s="225"/>
      <c r="N515" s="225"/>
    </row>
    <row r="516" ht="15.2" spans="1:14">
      <c r="A516" s="219">
        <v>44975</v>
      </c>
      <c r="B516" s="219" t="s">
        <v>343</v>
      </c>
      <c r="C516" s="217">
        <v>8907686814322</v>
      </c>
      <c r="D516" s="218">
        <v>1</v>
      </c>
      <c r="E516" s="218">
        <v>2499</v>
      </c>
      <c r="F516" s="218">
        <v>1649.34</v>
      </c>
      <c r="G516" s="223">
        <f t="shared" si="25"/>
        <v>67</v>
      </c>
      <c r="H516" s="220">
        <f t="shared" si="26"/>
        <v>1674.33</v>
      </c>
      <c r="I516" s="224"/>
      <c r="J516" s="224"/>
      <c r="K516" s="218">
        <v>824.67</v>
      </c>
      <c r="L516" s="225">
        <v>0.33</v>
      </c>
      <c r="M516" s="225">
        <v>825</v>
      </c>
      <c r="N516" s="225">
        <f t="shared" si="27"/>
        <v>-824.67</v>
      </c>
    </row>
    <row r="517" ht="15.2" spans="1:14">
      <c r="A517" s="219"/>
      <c r="B517" s="216"/>
      <c r="C517" s="217"/>
      <c r="D517" s="218"/>
      <c r="E517" s="220"/>
      <c r="F517" s="221"/>
      <c r="G517" s="223"/>
      <c r="H517" s="220"/>
      <c r="I517" s="224"/>
      <c r="J517" s="224"/>
      <c r="K517" s="220"/>
      <c r="L517" s="225"/>
      <c r="M517" s="225"/>
      <c r="N517" s="225"/>
    </row>
    <row r="518" ht="15.2" spans="1:14">
      <c r="A518" s="219">
        <v>44975</v>
      </c>
      <c r="B518" s="219" t="s">
        <v>344</v>
      </c>
      <c r="C518" s="217">
        <v>8907378925923</v>
      </c>
      <c r="D518" s="218">
        <v>1</v>
      </c>
      <c r="E518" s="218">
        <v>1999</v>
      </c>
      <c r="F518" s="218">
        <v>1319.34</v>
      </c>
      <c r="G518" s="223">
        <f t="shared" si="25"/>
        <v>60</v>
      </c>
      <c r="H518" s="220">
        <f t="shared" si="26"/>
        <v>1199.4</v>
      </c>
      <c r="I518" s="224"/>
      <c r="J518" s="224"/>
      <c r="K518" s="220">
        <v>799.6</v>
      </c>
      <c r="L518" s="225">
        <v>0.4</v>
      </c>
      <c r="M518" s="225">
        <v>800</v>
      </c>
      <c r="N518" s="225">
        <f t="shared" si="27"/>
        <v>-519.74</v>
      </c>
    </row>
    <row r="519" ht="15.2" spans="1:14">
      <c r="A519" s="219"/>
      <c r="B519" s="216"/>
      <c r="C519" s="217"/>
      <c r="D519" s="218"/>
      <c r="E519" s="220"/>
      <c r="F519" s="221"/>
      <c r="G519" s="223"/>
      <c r="H519" s="220"/>
      <c r="I519" s="224"/>
      <c r="J519" s="224"/>
      <c r="K519" s="220"/>
      <c r="L519" s="225"/>
      <c r="M519" s="225"/>
      <c r="N519" s="225"/>
    </row>
    <row r="520" ht="15.2" spans="1:14">
      <c r="A520" s="219">
        <v>44975</v>
      </c>
      <c r="B520" s="219" t="s">
        <v>345</v>
      </c>
      <c r="C520" s="217">
        <v>8907378925923</v>
      </c>
      <c r="D520" s="218">
        <v>1</v>
      </c>
      <c r="E520" s="218">
        <v>1999</v>
      </c>
      <c r="F520" s="218">
        <v>1319.34</v>
      </c>
      <c r="G520" s="223">
        <f t="shared" si="25"/>
        <v>80</v>
      </c>
      <c r="H520" s="220">
        <f t="shared" si="26"/>
        <v>1599.2</v>
      </c>
      <c r="I520" s="224"/>
      <c r="J520" s="224"/>
      <c r="K520" s="220">
        <v>399.8</v>
      </c>
      <c r="L520" s="225">
        <v>0.2</v>
      </c>
      <c r="M520" s="225">
        <v>400</v>
      </c>
      <c r="N520" s="225">
        <f t="shared" si="27"/>
        <v>-919.54</v>
      </c>
    </row>
    <row r="521" ht="15.2" spans="1:14">
      <c r="A521" s="219"/>
      <c r="B521" s="216"/>
      <c r="C521" s="217"/>
      <c r="D521" s="218"/>
      <c r="E521" s="220"/>
      <c r="F521" s="221"/>
      <c r="G521" s="223"/>
      <c r="H521" s="220"/>
      <c r="I521" s="224"/>
      <c r="J521" s="224"/>
      <c r="K521" s="220"/>
      <c r="L521" s="225"/>
      <c r="M521" s="225"/>
      <c r="N521" s="225"/>
    </row>
    <row r="522" ht="15.2" spans="1:14">
      <c r="A522" s="219">
        <v>44975</v>
      </c>
      <c r="B522" s="219" t="s">
        <v>346</v>
      </c>
      <c r="C522" s="217">
        <v>8907797002533</v>
      </c>
      <c r="D522" s="218">
        <v>1</v>
      </c>
      <c r="E522" s="218">
        <v>549</v>
      </c>
      <c r="F522" s="218">
        <v>362.34</v>
      </c>
      <c r="G522" s="223">
        <f t="shared" si="25"/>
        <v>20</v>
      </c>
      <c r="H522" s="220">
        <f t="shared" si="26"/>
        <v>109.8</v>
      </c>
      <c r="I522" s="224"/>
      <c r="J522" s="224"/>
      <c r="K522" s="218">
        <v>439.2</v>
      </c>
      <c r="L522" s="225"/>
      <c r="M522" s="225"/>
      <c r="N522" s="225">
        <f t="shared" si="27"/>
        <v>76.86</v>
      </c>
    </row>
    <row r="523" ht="15.2" spans="1:14">
      <c r="A523" s="219">
        <v>44975</v>
      </c>
      <c r="B523" s="219" t="s">
        <v>346</v>
      </c>
      <c r="C523" s="217">
        <v>8907686227641</v>
      </c>
      <c r="D523" s="218">
        <v>1</v>
      </c>
      <c r="E523" s="218">
        <v>-399</v>
      </c>
      <c r="F523" s="218">
        <v>-263.34</v>
      </c>
      <c r="G523" s="223">
        <f t="shared" si="25"/>
        <v>20</v>
      </c>
      <c r="H523" s="220">
        <f t="shared" si="26"/>
        <v>-79.8</v>
      </c>
      <c r="I523" s="224"/>
      <c r="J523" s="224"/>
      <c r="K523" s="218">
        <v>-319.2</v>
      </c>
      <c r="L523" s="225"/>
      <c r="M523" s="225">
        <v>120</v>
      </c>
      <c r="N523" s="225">
        <f t="shared" si="27"/>
        <v>-55.86</v>
      </c>
    </row>
    <row r="524" ht="15.2" spans="1:14">
      <c r="A524" s="219"/>
      <c r="B524" s="216"/>
      <c r="C524" s="217"/>
      <c r="D524" s="218"/>
      <c r="E524" s="220"/>
      <c r="F524" s="221"/>
      <c r="G524" s="223"/>
      <c r="H524" s="220"/>
      <c r="I524" s="224"/>
      <c r="J524" s="224"/>
      <c r="K524" s="220"/>
      <c r="L524" s="225"/>
      <c r="M524" s="225"/>
      <c r="N524" s="225"/>
    </row>
    <row r="525" ht="15.2" spans="1:14">
      <c r="A525" s="219">
        <v>44977</v>
      </c>
      <c r="B525" s="219" t="s">
        <v>347</v>
      </c>
      <c r="C525" s="217">
        <v>8907259937687</v>
      </c>
      <c r="D525" s="218">
        <v>1</v>
      </c>
      <c r="E525" s="218">
        <v>2199</v>
      </c>
      <c r="F525" s="218">
        <v>1451.34</v>
      </c>
      <c r="G525" s="223">
        <f t="shared" si="25"/>
        <v>65</v>
      </c>
      <c r="H525" s="220">
        <f t="shared" si="26"/>
        <v>1429.35</v>
      </c>
      <c r="I525" s="224"/>
      <c r="J525" s="224"/>
      <c r="K525" s="218">
        <v>769.65</v>
      </c>
      <c r="L525" s="225"/>
      <c r="M525" s="225"/>
      <c r="N525" s="225">
        <f t="shared" si="27"/>
        <v>-681.69</v>
      </c>
    </row>
    <row r="526" ht="15.2" spans="1:14">
      <c r="A526" s="219">
        <v>44977</v>
      </c>
      <c r="B526" s="219" t="s">
        <v>347</v>
      </c>
      <c r="C526" s="217">
        <v>8903952898652</v>
      </c>
      <c r="D526" s="218">
        <v>1</v>
      </c>
      <c r="E526" s="218">
        <v>1699</v>
      </c>
      <c r="F526" s="218">
        <v>1121.34</v>
      </c>
      <c r="G526" s="223">
        <f t="shared" si="25"/>
        <v>65</v>
      </c>
      <c r="H526" s="220">
        <f t="shared" si="26"/>
        <v>1104.35</v>
      </c>
      <c r="I526" s="224"/>
      <c r="J526" s="224"/>
      <c r="K526" s="218">
        <v>594.65</v>
      </c>
      <c r="L526" s="225"/>
      <c r="M526" s="225"/>
      <c r="N526" s="225">
        <f t="shared" si="27"/>
        <v>-526.69</v>
      </c>
    </row>
    <row r="527" ht="15.2" spans="1:14">
      <c r="A527" s="219">
        <v>44977</v>
      </c>
      <c r="B527" s="219" t="s">
        <v>347</v>
      </c>
      <c r="C527" s="217">
        <v>8907378313386</v>
      </c>
      <c r="D527" s="218">
        <v>1</v>
      </c>
      <c r="E527" s="218">
        <v>2299</v>
      </c>
      <c r="F527" s="218">
        <v>1517.34</v>
      </c>
      <c r="G527" s="223">
        <f t="shared" si="25"/>
        <v>65</v>
      </c>
      <c r="H527" s="220">
        <f t="shared" si="26"/>
        <v>1494.35</v>
      </c>
      <c r="I527" s="224"/>
      <c r="J527" s="224"/>
      <c r="K527" s="218">
        <v>804.65</v>
      </c>
      <c r="L527" s="225">
        <v>0.05</v>
      </c>
      <c r="M527" s="225">
        <v>2169</v>
      </c>
      <c r="N527" s="225">
        <f t="shared" si="27"/>
        <v>-712.69</v>
      </c>
    </row>
    <row r="528" ht="15.2" spans="1:14">
      <c r="A528" s="219"/>
      <c r="B528" s="216"/>
      <c r="C528" s="217"/>
      <c r="D528" s="218"/>
      <c r="E528" s="220"/>
      <c r="F528" s="221"/>
      <c r="G528" s="223"/>
      <c r="H528" s="220"/>
      <c r="I528" s="224"/>
      <c r="J528" s="224"/>
      <c r="K528" s="220"/>
      <c r="L528" s="225"/>
      <c r="M528" s="225"/>
      <c r="N528" s="225"/>
    </row>
    <row r="529" ht="15.2" spans="1:14">
      <c r="A529" s="219">
        <v>44977</v>
      </c>
      <c r="B529" s="219" t="s">
        <v>348</v>
      </c>
      <c r="C529" s="217">
        <v>8907538213877</v>
      </c>
      <c r="D529" s="218">
        <v>1</v>
      </c>
      <c r="E529" s="218">
        <v>1799</v>
      </c>
      <c r="F529" s="218">
        <f t="shared" ref="F529:F531" si="28">D529-E529</f>
        <v>-1798</v>
      </c>
      <c r="G529" s="223">
        <f t="shared" ref="G529:G592" si="29">(H529*100)/(E529*D529)</f>
        <v>65</v>
      </c>
      <c r="H529" s="220">
        <f t="shared" ref="H529:H592" si="30">D529*E529-K529</f>
        <v>1169.35</v>
      </c>
      <c r="I529" s="224"/>
      <c r="J529" s="224"/>
      <c r="K529" s="218">
        <v>629.65</v>
      </c>
      <c r="L529" s="225"/>
      <c r="M529" s="225"/>
      <c r="N529" s="225">
        <f t="shared" si="27"/>
        <v>2427.65</v>
      </c>
    </row>
    <row r="530" ht="15.2" spans="1:14">
      <c r="A530" s="219">
        <v>44977</v>
      </c>
      <c r="B530" s="219" t="s">
        <v>348</v>
      </c>
      <c r="C530" s="217">
        <v>8907686661742</v>
      </c>
      <c r="D530" s="218">
        <v>1</v>
      </c>
      <c r="E530" s="218">
        <v>529</v>
      </c>
      <c r="F530" s="218">
        <f t="shared" si="28"/>
        <v>-528</v>
      </c>
      <c r="G530" s="223">
        <f t="shared" si="29"/>
        <v>15</v>
      </c>
      <c r="H530" s="220">
        <f t="shared" si="30"/>
        <v>79.35</v>
      </c>
      <c r="I530" s="224"/>
      <c r="J530" s="224"/>
      <c r="K530" s="218">
        <v>449.65</v>
      </c>
      <c r="L530" s="225"/>
      <c r="M530" s="225"/>
      <c r="N530" s="225">
        <f t="shared" si="27"/>
        <v>977.65</v>
      </c>
    </row>
    <row r="531" ht="15.2" spans="1:14">
      <c r="A531" s="219">
        <v>44977</v>
      </c>
      <c r="B531" s="219" t="s">
        <v>348</v>
      </c>
      <c r="C531" s="217">
        <v>8907259937687</v>
      </c>
      <c r="D531" s="218">
        <v>1</v>
      </c>
      <c r="E531" s="218">
        <v>-2199</v>
      </c>
      <c r="F531" s="218">
        <f t="shared" si="28"/>
        <v>2200</v>
      </c>
      <c r="G531" s="223">
        <f t="shared" si="29"/>
        <v>65</v>
      </c>
      <c r="H531" s="220">
        <f t="shared" si="30"/>
        <v>-1429.35</v>
      </c>
      <c r="I531" s="224"/>
      <c r="J531" s="224"/>
      <c r="K531" s="218">
        <v>-769.65</v>
      </c>
      <c r="L531" s="225">
        <v>0.35</v>
      </c>
      <c r="M531" s="225">
        <v>310</v>
      </c>
      <c r="N531" s="225">
        <f t="shared" si="27"/>
        <v>-2969.65</v>
      </c>
    </row>
    <row r="532" ht="15.2" spans="1:14">
      <c r="A532" s="219"/>
      <c r="B532" s="216"/>
      <c r="C532" s="217"/>
      <c r="D532" s="218"/>
      <c r="E532" s="220"/>
      <c r="F532" s="221"/>
      <c r="G532" s="223"/>
      <c r="H532" s="220"/>
      <c r="I532" s="224"/>
      <c r="J532" s="224"/>
      <c r="K532" s="220"/>
      <c r="L532" s="225"/>
      <c r="M532" s="225"/>
      <c r="N532" s="225"/>
    </row>
    <row r="533" ht="15.2" spans="1:14">
      <c r="A533" s="219">
        <v>44977</v>
      </c>
      <c r="B533" s="219" t="s">
        <v>349</v>
      </c>
      <c r="C533" s="217" t="s">
        <v>44</v>
      </c>
      <c r="D533" s="218">
        <v>2</v>
      </c>
      <c r="E533" s="218">
        <v>1390</v>
      </c>
      <c r="F533" s="218">
        <v>330</v>
      </c>
      <c r="G533" s="223">
        <f t="shared" si="29"/>
        <v>50</v>
      </c>
      <c r="H533" s="220">
        <f t="shared" si="30"/>
        <v>1390</v>
      </c>
      <c r="I533" s="224">
        <v>1323.80952380952</v>
      </c>
      <c r="J533" s="224">
        <v>66.1904761904762</v>
      </c>
      <c r="K533" s="218">
        <v>1390</v>
      </c>
      <c r="L533" s="225"/>
      <c r="M533" s="225"/>
      <c r="N533" s="225">
        <f t="shared" ref="N533:N596" si="31">K533-(D533*F533)</f>
        <v>730</v>
      </c>
    </row>
    <row r="534" ht="15.2" spans="1:14">
      <c r="A534" s="219">
        <v>44977</v>
      </c>
      <c r="B534" s="219" t="s">
        <v>349</v>
      </c>
      <c r="C534" s="217" t="s">
        <v>350</v>
      </c>
      <c r="D534" s="218">
        <v>2</v>
      </c>
      <c r="E534" s="218">
        <v>1390</v>
      </c>
      <c r="F534" s="218">
        <v>502</v>
      </c>
      <c r="G534" s="223">
        <f t="shared" si="29"/>
        <v>50</v>
      </c>
      <c r="H534" s="220">
        <f t="shared" si="30"/>
        <v>1390</v>
      </c>
      <c r="I534" s="224">
        <v>1323.80952380952</v>
      </c>
      <c r="J534" s="224">
        <v>66.1904761904762</v>
      </c>
      <c r="K534" s="218">
        <v>1390</v>
      </c>
      <c r="L534" s="225"/>
      <c r="M534" s="225">
        <v>2780</v>
      </c>
      <c r="N534" s="225">
        <f t="shared" si="31"/>
        <v>386</v>
      </c>
    </row>
    <row r="535" ht="15.2" spans="1:14">
      <c r="A535" s="219"/>
      <c r="B535" s="216"/>
      <c r="C535" s="217"/>
      <c r="D535" s="218"/>
      <c r="E535" s="220"/>
      <c r="F535" s="221"/>
      <c r="G535" s="223"/>
      <c r="H535" s="220"/>
      <c r="I535" s="224"/>
      <c r="J535" s="224"/>
      <c r="K535" s="220"/>
      <c r="L535" s="225"/>
      <c r="M535" s="225"/>
      <c r="N535" s="225"/>
    </row>
    <row r="536" ht="15.2" spans="1:14">
      <c r="A536" s="219">
        <v>44977</v>
      </c>
      <c r="B536" s="219" t="s">
        <v>351</v>
      </c>
      <c r="C536" s="217">
        <v>8907259517285</v>
      </c>
      <c r="D536" s="218">
        <v>1</v>
      </c>
      <c r="E536" s="218">
        <v>1899</v>
      </c>
      <c r="F536" s="218">
        <v>1253.34</v>
      </c>
      <c r="G536" s="223">
        <f t="shared" si="29"/>
        <v>67</v>
      </c>
      <c r="H536" s="220">
        <f t="shared" si="30"/>
        <v>1272.33</v>
      </c>
      <c r="I536" s="224"/>
      <c r="J536" s="224"/>
      <c r="K536" s="220">
        <v>626.67</v>
      </c>
      <c r="L536" s="225">
        <v>0.33</v>
      </c>
      <c r="M536" s="225">
        <v>627</v>
      </c>
      <c r="N536" s="225">
        <f t="shared" si="31"/>
        <v>-626.67</v>
      </c>
    </row>
    <row r="537" ht="15.2" spans="1:14">
      <c r="A537" s="219"/>
      <c r="B537" s="216"/>
      <c r="C537" s="217"/>
      <c r="D537" s="218"/>
      <c r="E537" s="220"/>
      <c r="F537" s="221"/>
      <c r="G537" s="223"/>
      <c r="H537" s="220"/>
      <c r="I537" s="224"/>
      <c r="J537" s="224"/>
      <c r="K537" s="220"/>
      <c r="L537" s="225"/>
      <c r="M537" s="225"/>
      <c r="N537" s="225"/>
    </row>
    <row r="538" ht="15.2" spans="1:14">
      <c r="A538" s="219">
        <v>44978</v>
      </c>
      <c r="B538" s="219" t="s">
        <v>352</v>
      </c>
      <c r="C538" s="217">
        <v>8907036564648</v>
      </c>
      <c r="D538" s="218">
        <v>1</v>
      </c>
      <c r="E538" s="218">
        <v>1399</v>
      </c>
      <c r="F538" s="218">
        <v>923.34</v>
      </c>
      <c r="G538" s="223">
        <f t="shared" si="29"/>
        <v>65</v>
      </c>
      <c r="H538" s="220">
        <f t="shared" si="30"/>
        <v>909.35</v>
      </c>
      <c r="I538" s="224"/>
      <c r="J538" s="224"/>
      <c r="K538" s="218">
        <v>489.65</v>
      </c>
      <c r="L538" s="225"/>
      <c r="M538" s="225"/>
      <c r="N538" s="225">
        <f t="shared" si="31"/>
        <v>-433.69</v>
      </c>
    </row>
    <row r="539" ht="15.2" spans="1:14">
      <c r="A539" s="219">
        <v>44978</v>
      </c>
      <c r="B539" s="219" t="s">
        <v>352</v>
      </c>
      <c r="C539" s="217">
        <v>8907686461380</v>
      </c>
      <c r="D539" s="218">
        <v>1</v>
      </c>
      <c r="E539" s="218">
        <v>1499</v>
      </c>
      <c r="F539" s="218">
        <v>989.34</v>
      </c>
      <c r="G539" s="223">
        <f t="shared" si="29"/>
        <v>65</v>
      </c>
      <c r="H539" s="220">
        <f t="shared" si="30"/>
        <v>974.35</v>
      </c>
      <c r="I539" s="224"/>
      <c r="J539" s="224"/>
      <c r="K539" s="218">
        <v>524.65</v>
      </c>
      <c r="L539" s="225">
        <v>0.7</v>
      </c>
      <c r="M539" s="225">
        <v>1015</v>
      </c>
      <c r="N539" s="225">
        <f t="shared" si="31"/>
        <v>-464.69</v>
      </c>
    </row>
    <row r="540" ht="15.2" spans="1:14">
      <c r="A540" s="219"/>
      <c r="B540" s="216"/>
      <c r="C540" s="217"/>
      <c r="D540" s="218"/>
      <c r="E540" s="220"/>
      <c r="F540" s="221"/>
      <c r="G540" s="223"/>
      <c r="H540" s="220"/>
      <c r="I540" s="224"/>
      <c r="J540" s="224"/>
      <c r="K540" s="220"/>
      <c r="L540" s="225"/>
      <c r="M540" s="225"/>
      <c r="N540" s="225"/>
    </row>
    <row r="541" ht="15.2" spans="1:14">
      <c r="A541" s="219">
        <v>44978</v>
      </c>
      <c r="B541" s="219" t="s">
        <v>353</v>
      </c>
      <c r="C541" s="217">
        <v>8904290613709</v>
      </c>
      <c r="D541" s="218">
        <v>1</v>
      </c>
      <c r="E541" s="218">
        <v>2999</v>
      </c>
      <c r="F541" s="218">
        <v>1979.34</v>
      </c>
      <c r="G541" s="223">
        <f t="shared" si="29"/>
        <v>65</v>
      </c>
      <c r="H541" s="220">
        <f t="shared" si="30"/>
        <v>1949.35</v>
      </c>
      <c r="I541" s="224"/>
      <c r="J541" s="224"/>
      <c r="K541" s="218">
        <v>1049.65</v>
      </c>
      <c r="L541" s="225"/>
      <c r="M541" s="225"/>
      <c r="N541" s="225">
        <f t="shared" si="31"/>
        <v>-929.69</v>
      </c>
    </row>
    <row r="542" ht="15.2" spans="1:14">
      <c r="A542" s="219">
        <v>44978</v>
      </c>
      <c r="B542" s="219" t="s">
        <v>353</v>
      </c>
      <c r="C542" s="217">
        <v>8907378032713</v>
      </c>
      <c r="D542" s="218">
        <v>1</v>
      </c>
      <c r="E542" s="218">
        <v>399</v>
      </c>
      <c r="F542" s="218">
        <v>263.34</v>
      </c>
      <c r="G542" s="223">
        <f t="shared" si="29"/>
        <v>15</v>
      </c>
      <c r="H542" s="220">
        <f t="shared" si="30"/>
        <v>59.85</v>
      </c>
      <c r="I542" s="224"/>
      <c r="J542" s="224"/>
      <c r="K542" s="218">
        <v>339.15</v>
      </c>
      <c r="L542" s="225"/>
      <c r="M542" s="225"/>
      <c r="N542" s="225">
        <f t="shared" si="31"/>
        <v>75.8099999999999</v>
      </c>
    </row>
    <row r="543" ht="15.2" spans="1:14">
      <c r="A543" s="219">
        <v>44978</v>
      </c>
      <c r="B543" s="219" t="s">
        <v>353</v>
      </c>
      <c r="C543" s="217">
        <v>8907797002434</v>
      </c>
      <c r="D543" s="218">
        <v>1</v>
      </c>
      <c r="E543" s="218">
        <v>269</v>
      </c>
      <c r="F543" s="218">
        <v>177.54</v>
      </c>
      <c r="G543" s="223">
        <f t="shared" si="29"/>
        <v>15</v>
      </c>
      <c r="H543" s="220">
        <f t="shared" si="30"/>
        <v>40.35</v>
      </c>
      <c r="I543" s="224"/>
      <c r="J543" s="224"/>
      <c r="K543" s="218">
        <v>228.65</v>
      </c>
      <c r="L543" s="225">
        <v>-0.45</v>
      </c>
      <c r="M543" s="225">
        <v>1617</v>
      </c>
      <c r="N543" s="225">
        <f t="shared" si="31"/>
        <v>51.11</v>
      </c>
    </row>
    <row r="544" ht="15.2" spans="1:14">
      <c r="A544" s="219"/>
      <c r="B544" s="219"/>
      <c r="C544" s="217"/>
      <c r="D544" s="218"/>
      <c r="E544" s="220"/>
      <c r="F544" s="221"/>
      <c r="G544" s="222"/>
      <c r="H544" s="220"/>
      <c r="I544" s="224"/>
      <c r="J544" s="224"/>
      <c r="K544" s="220"/>
      <c r="L544" s="225"/>
      <c r="M544" s="225"/>
      <c r="N544" s="225"/>
    </row>
    <row r="545" ht="15.2" spans="1:14">
      <c r="A545" s="219">
        <v>44978</v>
      </c>
      <c r="B545" s="219" t="s">
        <v>354</v>
      </c>
      <c r="C545" s="217" t="s">
        <v>355</v>
      </c>
      <c r="D545" s="218">
        <v>1.5</v>
      </c>
      <c r="E545" s="218">
        <v>810</v>
      </c>
      <c r="F545" s="218">
        <v>325</v>
      </c>
      <c r="G545" s="223">
        <f t="shared" si="29"/>
        <v>50</v>
      </c>
      <c r="H545" s="220">
        <f t="shared" si="30"/>
        <v>607.5</v>
      </c>
      <c r="I545" s="224">
        <v>578.571428571429</v>
      </c>
      <c r="J545" s="224">
        <v>28.9285714285714</v>
      </c>
      <c r="K545" s="218">
        <v>607.5</v>
      </c>
      <c r="L545" s="225"/>
      <c r="M545" s="225"/>
      <c r="N545" s="225">
        <f t="shared" si="31"/>
        <v>120</v>
      </c>
    </row>
    <row r="546" ht="15.2" spans="1:14">
      <c r="A546" s="219">
        <v>44978</v>
      </c>
      <c r="B546" s="219" t="s">
        <v>354</v>
      </c>
      <c r="C546" s="217" t="s">
        <v>173</v>
      </c>
      <c r="D546" s="218">
        <v>1.7</v>
      </c>
      <c r="E546" s="218">
        <v>950</v>
      </c>
      <c r="F546" s="218">
        <v>321.47</v>
      </c>
      <c r="G546" s="223">
        <f t="shared" si="29"/>
        <v>50</v>
      </c>
      <c r="H546" s="220">
        <f t="shared" si="30"/>
        <v>807.5</v>
      </c>
      <c r="I546" s="224">
        <v>769.047619047619</v>
      </c>
      <c r="J546" s="224">
        <v>38.452380952381</v>
      </c>
      <c r="K546" s="218">
        <v>807.5</v>
      </c>
      <c r="L546" s="225"/>
      <c r="M546" s="225"/>
      <c r="N546" s="225">
        <f t="shared" si="31"/>
        <v>261.001</v>
      </c>
    </row>
    <row r="547" ht="15.2" spans="1:14">
      <c r="A547" s="219">
        <v>44978</v>
      </c>
      <c r="B547" s="219" t="s">
        <v>354</v>
      </c>
      <c r="C547" s="217" t="s">
        <v>356</v>
      </c>
      <c r="D547" s="218">
        <v>1.6</v>
      </c>
      <c r="E547" s="218">
        <v>1200</v>
      </c>
      <c r="F547" s="218">
        <v>410</v>
      </c>
      <c r="G547" s="223">
        <f t="shared" si="29"/>
        <v>50</v>
      </c>
      <c r="H547" s="220">
        <f t="shared" si="30"/>
        <v>960</v>
      </c>
      <c r="I547" s="224">
        <v>914.285714285714</v>
      </c>
      <c r="J547" s="224">
        <v>45.7142857142857</v>
      </c>
      <c r="K547" s="218">
        <v>960</v>
      </c>
      <c r="L547" s="225"/>
      <c r="M547" s="225"/>
      <c r="N547" s="225">
        <f t="shared" si="31"/>
        <v>304</v>
      </c>
    </row>
    <row r="548" ht="15.2" spans="1:14">
      <c r="A548" s="219">
        <v>44978</v>
      </c>
      <c r="B548" s="219" t="s">
        <v>354</v>
      </c>
      <c r="C548" s="217" t="s">
        <v>357</v>
      </c>
      <c r="D548" s="218">
        <v>1.6</v>
      </c>
      <c r="E548" s="218">
        <v>890</v>
      </c>
      <c r="F548" s="218">
        <v>319</v>
      </c>
      <c r="G548" s="223">
        <f t="shared" si="29"/>
        <v>50</v>
      </c>
      <c r="H548" s="220">
        <f t="shared" si="30"/>
        <v>712</v>
      </c>
      <c r="I548" s="224">
        <v>678.095238095238</v>
      </c>
      <c r="J548" s="224">
        <v>33.9047619047619</v>
      </c>
      <c r="K548" s="218">
        <v>712</v>
      </c>
      <c r="L548" s="225"/>
      <c r="M548" s="225">
        <v>3087</v>
      </c>
      <c r="N548" s="225">
        <f t="shared" si="31"/>
        <v>201.6</v>
      </c>
    </row>
    <row r="549" ht="15.2" spans="1:14">
      <c r="A549" s="219"/>
      <c r="B549" s="216"/>
      <c r="C549" s="217"/>
      <c r="D549" s="218"/>
      <c r="E549" s="220"/>
      <c r="F549" s="221"/>
      <c r="G549" s="223"/>
      <c r="H549" s="220"/>
      <c r="I549" s="224"/>
      <c r="J549" s="224"/>
      <c r="K549" s="220"/>
      <c r="L549" s="225"/>
      <c r="M549" s="225"/>
      <c r="N549" s="225"/>
    </row>
    <row r="550" ht="15.2" spans="1:14">
      <c r="A550" s="219">
        <v>44978</v>
      </c>
      <c r="B550" s="219" t="s">
        <v>358</v>
      </c>
      <c r="C550" s="217" t="s">
        <v>359</v>
      </c>
      <c r="D550" s="218">
        <v>1.25</v>
      </c>
      <c r="E550" s="218">
        <v>1340</v>
      </c>
      <c r="F550" s="218">
        <v>499</v>
      </c>
      <c r="G550" s="223">
        <f t="shared" si="29"/>
        <v>50</v>
      </c>
      <c r="H550" s="220">
        <f t="shared" si="30"/>
        <v>837.5</v>
      </c>
      <c r="I550" s="224">
        <v>797.619047619048</v>
      </c>
      <c r="J550" s="224">
        <v>39.8809523809524</v>
      </c>
      <c r="K550" s="218">
        <v>837.5</v>
      </c>
      <c r="L550" s="225"/>
      <c r="M550" s="225"/>
      <c r="N550" s="225">
        <f t="shared" si="31"/>
        <v>213.75</v>
      </c>
    </row>
    <row r="551" ht="15.2" spans="1:14">
      <c r="A551" s="219">
        <v>44978</v>
      </c>
      <c r="B551" s="219" t="s">
        <v>358</v>
      </c>
      <c r="C551" s="217" t="s">
        <v>360</v>
      </c>
      <c r="D551" s="218">
        <v>1.6</v>
      </c>
      <c r="E551" s="218">
        <v>1440</v>
      </c>
      <c r="F551" s="218">
        <v>483</v>
      </c>
      <c r="G551" s="223">
        <f t="shared" si="29"/>
        <v>50</v>
      </c>
      <c r="H551" s="220">
        <f t="shared" si="30"/>
        <v>1152</v>
      </c>
      <c r="I551" s="224">
        <v>1097.14285714286</v>
      </c>
      <c r="J551" s="224">
        <v>54.8571428571429</v>
      </c>
      <c r="K551" s="218">
        <v>1152</v>
      </c>
      <c r="L551" s="225">
        <v>0.5</v>
      </c>
      <c r="M551" s="225">
        <v>1990</v>
      </c>
      <c r="N551" s="225">
        <f t="shared" si="31"/>
        <v>379.2</v>
      </c>
    </row>
    <row r="552" ht="15.2" spans="1:14">
      <c r="A552" s="219"/>
      <c r="B552" s="216"/>
      <c r="C552" s="217"/>
      <c r="D552" s="218"/>
      <c r="E552" s="220"/>
      <c r="F552" s="221"/>
      <c r="G552" s="223"/>
      <c r="H552" s="220"/>
      <c r="I552" s="224"/>
      <c r="J552" s="224"/>
      <c r="K552" s="220"/>
      <c r="L552" s="225"/>
      <c r="M552" s="225"/>
      <c r="N552" s="225"/>
    </row>
    <row r="553" ht="15.2" spans="1:14">
      <c r="A553" s="219">
        <v>44978</v>
      </c>
      <c r="B553" s="219" t="s">
        <v>361</v>
      </c>
      <c r="C553" s="217" t="s">
        <v>15</v>
      </c>
      <c r="D553" s="218">
        <v>1.2</v>
      </c>
      <c r="E553" s="218">
        <v>1850</v>
      </c>
      <c r="F553" s="218">
        <v>614</v>
      </c>
      <c r="G553" s="223">
        <f t="shared" si="29"/>
        <v>50</v>
      </c>
      <c r="H553" s="220">
        <f t="shared" si="30"/>
        <v>1110</v>
      </c>
      <c r="I553" s="224">
        <v>1057.14285714286</v>
      </c>
      <c r="J553" s="224">
        <v>52.8571428571429</v>
      </c>
      <c r="K553" s="225">
        <v>1110</v>
      </c>
      <c r="L553" s="225"/>
      <c r="M553" s="225"/>
      <c r="N553" s="225">
        <f t="shared" si="31"/>
        <v>373.2</v>
      </c>
    </row>
    <row r="554" ht="15.2" spans="1:14">
      <c r="A554" s="219">
        <v>44978</v>
      </c>
      <c r="B554" s="219" t="s">
        <v>361</v>
      </c>
      <c r="C554" s="217" t="s">
        <v>16</v>
      </c>
      <c r="D554" s="218">
        <v>1.6</v>
      </c>
      <c r="E554" s="218">
        <v>820</v>
      </c>
      <c r="F554" s="218">
        <v>299</v>
      </c>
      <c r="G554" s="223">
        <f t="shared" si="29"/>
        <v>50</v>
      </c>
      <c r="H554" s="220">
        <f t="shared" si="30"/>
        <v>656</v>
      </c>
      <c r="I554" s="224">
        <v>624.761904761905</v>
      </c>
      <c r="J554" s="224">
        <v>31.2380952380952</v>
      </c>
      <c r="K554" s="225">
        <v>656</v>
      </c>
      <c r="L554" s="225"/>
      <c r="M554" s="225">
        <v>1766</v>
      </c>
      <c r="N554" s="225">
        <f t="shared" si="31"/>
        <v>177.6</v>
      </c>
    </row>
    <row r="555" ht="15.2" spans="1:14">
      <c r="A555" s="219"/>
      <c r="B555" s="216"/>
      <c r="C555" s="217"/>
      <c r="D555" s="218"/>
      <c r="E555" s="220"/>
      <c r="F555" s="221"/>
      <c r="G555" s="223"/>
      <c r="H555" s="220"/>
      <c r="I555" s="224"/>
      <c r="J555" s="224"/>
      <c r="K555" s="220"/>
      <c r="L555" s="225"/>
      <c r="M555" s="225"/>
      <c r="N555" s="225"/>
    </row>
    <row r="556" ht="15.2" spans="1:14">
      <c r="A556" s="219">
        <v>44978</v>
      </c>
      <c r="B556" s="219" t="s">
        <v>362</v>
      </c>
      <c r="C556" s="229" t="s">
        <v>18</v>
      </c>
      <c r="D556" s="218">
        <v>1.6</v>
      </c>
      <c r="E556" s="225">
        <v>890</v>
      </c>
      <c r="F556" s="218">
        <v>321.47</v>
      </c>
      <c r="G556" s="223">
        <f t="shared" si="29"/>
        <v>50</v>
      </c>
      <c r="H556" s="220">
        <f t="shared" si="30"/>
        <v>712</v>
      </c>
      <c r="I556" s="224">
        <v>678.095238095238</v>
      </c>
      <c r="J556" s="224">
        <v>33.9047619047619</v>
      </c>
      <c r="K556" s="225">
        <v>712</v>
      </c>
      <c r="L556" s="225"/>
      <c r="M556" s="225"/>
      <c r="N556" s="225">
        <f t="shared" si="31"/>
        <v>197.648</v>
      </c>
    </row>
    <row r="557" ht="15.2" spans="1:14">
      <c r="A557" s="219">
        <v>44978</v>
      </c>
      <c r="B557" s="219" t="s">
        <v>362</v>
      </c>
      <c r="C557" s="229" t="s">
        <v>19</v>
      </c>
      <c r="D557" s="218">
        <v>1.2</v>
      </c>
      <c r="E557" s="225">
        <v>825</v>
      </c>
      <c r="F557" s="218">
        <v>280.5</v>
      </c>
      <c r="G557" s="223">
        <f t="shared" si="29"/>
        <v>50</v>
      </c>
      <c r="H557" s="220">
        <f t="shared" si="30"/>
        <v>495</v>
      </c>
      <c r="I557" s="224">
        <v>471.428571428571</v>
      </c>
      <c r="J557" s="224">
        <v>23.5714285714286</v>
      </c>
      <c r="K557" s="225">
        <v>495</v>
      </c>
      <c r="L557" s="225"/>
      <c r="M557" s="225">
        <v>1207</v>
      </c>
      <c r="N557" s="225">
        <f t="shared" si="31"/>
        <v>158.4</v>
      </c>
    </row>
    <row r="558" ht="15.2" spans="1:14">
      <c r="A558" s="219"/>
      <c r="B558" s="216"/>
      <c r="C558" s="217"/>
      <c r="D558" s="218"/>
      <c r="E558" s="220"/>
      <c r="F558" s="221"/>
      <c r="G558" s="223"/>
      <c r="H558" s="220"/>
      <c r="I558" s="224"/>
      <c r="J558" s="224"/>
      <c r="K558" s="220"/>
      <c r="L558" s="225"/>
      <c r="M558" s="225"/>
      <c r="N558" s="225"/>
    </row>
    <row r="559" ht="15.2" spans="1:14">
      <c r="A559" s="219">
        <v>44981</v>
      </c>
      <c r="B559" s="216" t="s">
        <v>363</v>
      </c>
      <c r="C559" s="217">
        <v>8907378948984</v>
      </c>
      <c r="D559" s="218">
        <v>1</v>
      </c>
      <c r="E559" s="218">
        <v>2499</v>
      </c>
      <c r="F559" s="218">
        <v>1649.34</v>
      </c>
      <c r="G559" s="223">
        <f t="shared" si="29"/>
        <v>65</v>
      </c>
      <c r="H559" s="220">
        <f t="shared" si="30"/>
        <v>1624.35</v>
      </c>
      <c r="I559" s="224"/>
      <c r="J559" s="224"/>
      <c r="K559" s="218">
        <v>874.65</v>
      </c>
      <c r="L559" s="225"/>
      <c r="M559" s="225"/>
      <c r="N559" s="225">
        <f t="shared" si="31"/>
        <v>-774.69</v>
      </c>
    </row>
    <row r="560" ht="15.2" spans="1:14">
      <c r="A560" s="219">
        <v>44981</v>
      </c>
      <c r="B560" s="216" t="s">
        <v>363</v>
      </c>
      <c r="C560" s="217" t="s">
        <v>364</v>
      </c>
      <c r="D560" s="218">
        <v>1.2</v>
      </c>
      <c r="E560" s="218">
        <v>3270</v>
      </c>
      <c r="F560" s="218">
        <v>1049</v>
      </c>
      <c r="G560" s="223">
        <f t="shared" si="29"/>
        <v>50</v>
      </c>
      <c r="H560" s="220">
        <f t="shared" si="30"/>
        <v>1962</v>
      </c>
      <c r="I560" s="224">
        <v>1961.01949025487</v>
      </c>
      <c r="J560" s="224">
        <v>0.980509745127436</v>
      </c>
      <c r="K560" s="218">
        <v>1962</v>
      </c>
      <c r="L560" s="225">
        <v>0.35</v>
      </c>
      <c r="M560" s="225">
        <v>2837</v>
      </c>
      <c r="N560" s="225">
        <f t="shared" si="31"/>
        <v>703.2</v>
      </c>
    </row>
    <row r="561" ht="15.2" spans="1:14">
      <c r="A561" s="219"/>
      <c r="B561" s="216"/>
      <c r="C561" s="217"/>
      <c r="D561" s="218"/>
      <c r="E561" s="220"/>
      <c r="F561" s="221"/>
      <c r="G561" s="223"/>
      <c r="H561" s="220"/>
      <c r="I561" s="224"/>
      <c r="J561" s="224"/>
      <c r="K561" s="220"/>
      <c r="L561" s="225"/>
      <c r="M561" s="225"/>
      <c r="N561" s="225"/>
    </row>
    <row r="562" ht="15.2" spans="1:14">
      <c r="A562" s="219">
        <v>44981</v>
      </c>
      <c r="B562" s="216" t="s">
        <v>20</v>
      </c>
      <c r="C562" s="217" t="s">
        <v>21</v>
      </c>
      <c r="D562" s="218">
        <v>1.5</v>
      </c>
      <c r="E562" s="218">
        <v>1000</v>
      </c>
      <c r="F562" s="218">
        <v>353</v>
      </c>
      <c r="G562" s="223">
        <f t="shared" si="29"/>
        <v>50</v>
      </c>
      <c r="H562" s="220">
        <f t="shared" si="30"/>
        <v>750</v>
      </c>
      <c r="I562" s="224">
        <v>714.285714285714</v>
      </c>
      <c r="J562" s="224">
        <v>35.7142857142857</v>
      </c>
      <c r="K562" s="218">
        <v>750</v>
      </c>
      <c r="L562" s="225"/>
      <c r="M562" s="225"/>
      <c r="N562" s="225">
        <f t="shared" si="31"/>
        <v>220.5</v>
      </c>
    </row>
    <row r="563" ht="15.2" spans="1:14">
      <c r="A563" s="219">
        <v>44981</v>
      </c>
      <c r="B563" s="216" t="s">
        <v>20</v>
      </c>
      <c r="C563" s="217" t="s">
        <v>22</v>
      </c>
      <c r="D563" s="218">
        <v>1.5</v>
      </c>
      <c r="E563" s="218">
        <v>1030</v>
      </c>
      <c r="F563" s="218">
        <v>316</v>
      </c>
      <c r="G563" s="223">
        <f t="shared" si="29"/>
        <v>50</v>
      </c>
      <c r="H563" s="220">
        <f t="shared" si="30"/>
        <v>772.5</v>
      </c>
      <c r="I563" s="224">
        <v>735.714285714286</v>
      </c>
      <c r="J563" s="224">
        <v>36.7857142857143</v>
      </c>
      <c r="K563" s="218">
        <v>772.5</v>
      </c>
      <c r="L563" s="225">
        <v>0.5</v>
      </c>
      <c r="M563" s="225">
        <v>1523</v>
      </c>
      <c r="N563" s="225">
        <f t="shared" si="31"/>
        <v>298.5</v>
      </c>
    </row>
    <row r="564" ht="15.2" spans="1:14">
      <c r="A564" s="219"/>
      <c r="B564" s="216"/>
      <c r="C564" s="217"/>
      <c r="D564" s="218"/>
      <c r="E564" s="220"/>
      <c r="F564" s="221"/>
      <c r="G564" s="223"/>
      <c r="H564" s="220"/>
      <c r="I564" s="224"/>
      <c r="J564" s="224"/>
      <c r="K564" s="220"/>
      <c r="L564" s="225"/>
      <c r="M564" s="225"/>
      <c r="N564" s="225"/>
    </row>
    <row r="565" ht="15.2" spans="1:14">
      <c r="A565" s="219">
        <v>44981</v>
      </c>
      <c r="B565" s="216" t="s">
        <v>365</v>
      </c>
      <c r="C565" s="217">
        <v>8907378948984</v>
      </c>
      <c r="D565" s="218">
        <v>1</v>
      </c>
      <c r="E565" s="218">
        <v>2499</v>
      </c>
      <c r="F565" s="218">
        <v>1649.34</v>
      </c>
      <c r="G565" s="223">
        <f t="shared" si="29"/>
        <v>65</v>
      </c>
      <c r="H565" s="220">
        <f t="shared" si="30"/>
        <v>1624.35</v>
      </c>
      <c r="I565" s="224"/>
      <c r="J565" s="224"/>
      <c r="K565" s="218">
        <v>874.65</v>
      </c>
      <c r="L565" s="225">
        <v>0.35</v>
      </c>
      <c r="M565" s="225">
        <v>875</v>
      </c>
      <c r="N565" s="225">
        <f t="shared" si="31"/>
        <v>-774.69</v>
      </c>
    </row>
    <row r="566" ht="15.2" spans="1:14">
      <c r="A566" s="219"/>
      <c r="B566" s="216"/>
      <c r="C566" s="217"/>
      <c r="D566" s="218"/>
      <c r="E566" s="220"/>
      <c r="F566" s="221"/>
      <c r="G566" s="223"/>
      <c r="H566" s="220"/>
      <c r="I566" s="224"/>
      <c r="J566" s="224"/>
      <c r="K566" s="220"/>
      <c r="L566" s="225"/>
      <c r="M566" s="225"/>
      <c r="N566" s="225"/>
    </row>
    <row r="567" ht="15.2" spans="1:14">
      <c r="A567" s="219">
        <v>44981</v>
      </c>
      <c r="B567" s="216" t="s">
        <v>42</v>
      </c>
      <c r="C567" s="229" t="s">
        <v>342</v>
      </c>
      <c r="D567" s="218">
        <v>1.2</v>
      </c>
      <c r="E567" s="225">
        <v>2100</v>
      </c>
      <c r="F567" s="221">
        <v>651</v>
      </c>
      <c r="G567" s="223">
        <f t="shared" si="29"/>
        <v>50</v>
      </c>
      <c r="H567" s="220">
        <f t="shared" si="30"/>
        <v>1260</v>
      </c>
      <c r="I567" s="224">
        <v>1200</v>
      </c>
      <c r="J567" s="224">
        <v>60</v>
      </c>
      <c r="K567" s="225">
        <v>1260</v>
      </c>
      <c r="L567" s="225"/>
      <c r="M567" s="225"/>
      <c r="N567" s="225">
        <f t="shared" si="31"/>
        <v>478.8</v>
      </c>
    </row>
    <row r="568" ht="15.2" spans="1:14">
      <c r="A568" s="219">
        <v>44981</v>
      </c>
      <c r="B568" s="216" t="s">
        <v>42</v>
      </c>
      <c r="C568" s="229" t="s">
        <v>44</v>
      </c>
      <c r="D568" s="218">
        <v>1.4</v>
      </c>
      <c r="E568" s="225">
        <v>1390</v>
      </c>
      <c r="F568" s="221">
        <v>330</v>
      </c>
      <c r="G568" s="223">
        <f t="shared" si="29"/>
        <v>50</v>
      </c>
      <c r="H568" s="220">
        <f t="shared" si="30"/>
        <v>973</v>
      </c>
      <c r="I568" s="224">
        <v>926.666666666667</v>
      </c>
      <c r="J568" s="224">
        <v>46.3333333333333</v>
      </c>
      <c r="K568" s="225">
        <v>973</v>
      </c>
      <c r="L568" s="225"/>
      <c r="M568" s="225">
        <v>2233</v>
      </c>
      <c r="N568" s="225">
        <f t="shared" si="31"/>
        <v>511</v>
      </c>
    </row>
    <row r="569" ht="15.2" spans="1:14">
      <c r="A569" s="219"/>
      <c r="B569" s="216"/>
      <c r="C569" s="217"/>
      <c r="D569" s="218"/>
      <c r="E569" s="220"/>
      <c r="F569" s="221"/>
      <c r="G569" s="223"/>
      <c r="H569" s="220"/>
      <c r="I569" s="224"/>
      <c r="J569" s="224"/>
      <c r="K569" s="220"/>
      <c r="L569" s="225"/>
      <c r="M569" s="225"/>
      <c r="N569" s="225"/>
    </row>
    <row r="570" ht="15.2" spans="1:14">
      <c r="A570" s="228">
        <v>44980</v>
      </c>
      <c r="B570" s="218" t="s">
        <v>366</v>
      </c>
      <c r="C570" s="229">
        <v>8904290616267</v>
      </c>
      <c r="D570" s="218">
        <v>1</v>
      </c>
      <c r="E570" s="220">
        <v>2299</v>
      </c>
      <c r="F570" s="221">
        <v>1517.34</v>
      </c>
      <c r="G570" s="223">
        <f t="shared" si="29"/>
        <v>70</v>
      </c>
      <c r="H570" s="220">
        <f t="shared" si="30"/>
        <v>1609.3</v>
      </c>
      <c r="I570" s="224"/>
      <c r="J570" s="224"/>
      <c r="K570" s="220">
        <v>689.7</v>
      </c>
      <c r="L570" s="225">
        <v>0.3</v>
      </c>
      <c r="M570" s="225">
        <v>690</v>
      </c>
      <c r="N570" s="225">
        <f t="shared" si="31"/>
        <v>-827.64</v>
      </c>
    </row>
    <row r="571" ht="15.2" spans="1:14">
      <c r="A571" s="219"/>
      <c r="B571" s="216"/>
      <c r="C571" s="217"/>
      <c r="D571" s="218"/>
      <c r="E571" s="220"/>
      <c r="F571" s="221"/>
      <c r="G571" s="223"/>
      <c r="H571" s="220"/>
      <c r="I571" s="224"/>
      <c r="J571" s="224"/>
      <c r="K571" s="220"/>
      <c r="L571" s="225"/>
      <c r="M571" s="225"/>
      <c r="N571" s="225"/>
    </row>
    <row r="572" ht="15.2" spans="1:14">
      <c r="A572" s="228">
        <v>44980</v>
      </c>
      <c r="B572" s="218" t="s">
        <v>45</v>
      </c>
      <c r="C572" s="217" t="s">
        <v>46</v>
      </c>
      <c r="D572" s="218">
        <v>1.9</v>
      </c>
      <c r="E572" s="218">
        <v>820</v>
      </c>
      <c r="F572" s="218">
        <v>299</v>
      </c>
      <c r="G572" s="223">
        <f t="shared" si="29"/>
        <v>50</v>
      </c>
      <c r="H572" s="220">
        <f t="shared" si="30"/>
        <v>779</v>
      </c>
      <c r="I572" s="224">
        <v>741.904761904762</v>
      </c>
      <c r="J572" s="224">
        <v>37.0952380952381</v>
      </c>
      <c r="K572" s="218">
        <v>779</v>
      </c>
      <c r="L572" s="225"/>
      <c r="M572" s="225"/>
      <c r="N572" s="225">
        <f t="shared" si="31"/>
        <v>210.9</v>
      </c>
    </row>
    <row r="573" ht="15.2" spans="1:14">
      <c r="A573" s="228">
        <v>44980</v>
      </c>
      <c r="B573" s="218" t="s">
        <v>45</v>
      </c>
      <c r="C573" s="217" t="s">
        <v>47</v>
      </c>
      <c r="D573" s="218">
        <v>1.2</v>
      </c>
      <c r="E573" s="218">
        <v>780</v>
      </c>
      <c r="F573" s="218">
        <v>299</v>
      </c>
      <c r="G573" s="223">
        <f t="shared" si="29"/>
        <v>50</v>
      </c>
      <c r="H573" s="220">
        <f t="shared" si="30"/>
        <v>468</v>
      </c>
      <c r="I573" s="224">
        <v>445.714285714286</v>
      </c>
      <c r="J573" s="224">
        <v>22.2857142857143</v>
      </c>
      <c r="K573" s="218">
        <v>468</v>
      </c>
      <c r="L573" s="225"/>
      <c r="M573" s="225"/>
      <c r="N573" s="225">
        <f t="shared" si="31"/>
        <v>109.2</v>
      </c>
    </row>
    <row r="574" ht="15.2" spans="1:14">
      <c r="A574" s="228">
        <v>44980</v>
      </c>
      <c r="B574" s="218" t="s">
        <v>45</v>
      </c>
      <c r="C574" s="217" t="s">
        <v>48</v>
      </c>
      <c r="D574" s="218">
        <v>1.9</v>
      </c>
      <c r="E574" s="218">
        <v>1670</v>
      </c>
      <c r="F574" s="218">
        <v>629.1</v>
      </c>
      <c r="G574" s="223">
        <f t="shared" si="29"/>
        <v>49.9842420422313</v>
      </c>
      <c r="H574" s="220">
        <f t="shared" si="30"/>
        <v>1586</v>
      </c>
      <c r="I574" s="224">
        <v>1511.42857142857</v>
      </c>
      <c r="J574" s="224">
        <v>75.5714285714286</v>
      </c>
      <c r="K574" s="218">
        <v>1587</v>
      </c>
      <c r="L574" s="225"/>
      <c r="M574" s="225"/>
      <c r="N574" s="225">
        <f t="shared" si="31"/>
        <v>391.71</v>
      </c>
    </row>
    <row r="575" ht="15.2" spans="1:14">
      <c r="A575" s="228">
        <v>44980</v>
      </c>
      <c r="B575" s="218" t="s">
        <v>45</v>
      </c>
      <c r="C575" s="217" t="s">
        <v>49</v>
      </c>
      <c r="D575" s="218">
        <v>1.9</v>
      </c>
      <c r="E575" s="218">
        <v>780</v>
      </c>
      <c r="F575" s="218">
        <v>273</v>
      </c>
      <c r="G575" s="223">
        <f t="shared" si="29"/>
        <v>50</v>
      </c>
      <c r="H575" s="220">
        <f t="shared" si="30"/>
        <v>741</v>
      </c>
      <c r="I575" s="224">
        <v>705.714285714286</v>
      </c>
      <c r="J575" s="224">
        <v>35.2857142857143</v>
      </c>
      <c r="K575" s="218">
        <v>741</v>
      </c>
      <c r="L575" s="225"/>
      <c r="M575" s="225"/>
      <c r="N575" s="225">
        <f t="shared" si="31"/>
        <v>222.3</v>
      </c>
    </row>
    <row r="576" ht="15.2" spans="1:14">
      <c r="A576" s="228">
        <v>44980</v>
      </c>
      <c r="B576" s="218" t="s">
        <v>45</v>
      </c>
      <c r="C576" s="217" t="s">
        <v>50</v>
      </c>
      <c r="D576" s="218">
        <v>1.9</v>
      </c>
      <c r="E576" s="218">
        <v>1160</v>
      </c>
      <c r="F576" s="218">
        <v>399</v>
      </c>
      <c r="G576" s="223">
        <f t="shared" si="29"/>
        <v>50</v>
      </c>
      <c r="H576" s="220">
        <f t="shared" si="30"/>
        <v>1102</v>
      </c>
      <c r="I576" s="224">
        <v>1049.52380952381</v>
      </c>
      <c r="J576" s="224">
        <v>52.4761904761905</v>
      </c>
      <c r="K576" s="218">
        <v>1102</v>
      </c>
      <c r="L576" s="225"/>
      <c r="M576" s="225">
        <v>4677</v>
      </c>
      <c r="N576" s="225">
        <f t="shared" si="31"/>
        <v>343.9</v>
      </c>
    </row>
    <row r="577" ht="15.2" spans="1:14">
      <c r="A577" s="219"/>
      <c r="B577" s="216"/>
      <c r="C577" s="217"/>
      <c r="D577" s="218"/>
      <c r="E577" s="220"/>
      <c r="F577" s="221"/>
      <c r="G577" s="223"/>
      <c r="H577" s="220"/>
      <c r="I577" s="224"/>
      <c r="J577" s="224"/>
      <c r="K577" s="220"/>
      <c r="L577" s="225"/>
      <c r="M577" s="225"/>
      <c r="N577" s="225"/>
    </row>
    <row r="578" ht="15.2" spans="1:14">
      <c r="A578" s="228">
        <v>44980</v>
      </c>
      <c r="B578" s="218" t="s">
        <v>367</v>
      </c>
      <c r="C578" s="217">
        <v>8907163977434</v>
      </c>
      <c r="D578" s="218">
        <v>1</v>
      </c>
      <c r="E578" s="218">
        <v>289</v>
      </c>
      <c r="F578" s="218">
        <v>190.74</v>
      </c>
      <c r="G578" s="223">
        <f t="shared" si="29"/>
        <v>50</v>
      </c>
      <c r="H578" s="220">
        <f t="shared" si="30"/>
        <v>144.5</v>
      </c>
      <c r="I578" s="224"/>
      <c r="J578" s="224"/>
      <c r="K578" s="220">
        <v>144.5</v>
      </c>
      <c r="L578" s="225"/>
      <c r="M578" s="225">
        <v>145</v>
      </c>
      <c r="N578" s="225">
        <f t="shared" si="31"/>
        <v>-46.24</v>
      </c>
    </row>
    <row r="579" ht="15.2" spans="1:14">
      <c r="A579" s="219"/>
      <c r="B579" s="216"/>
      <c r="C579" s="217"/>
      <c r="D579" s="218"/>
      <c r="E579" s="220"/>
      <c r="F579" s="221"/>
      <c r="G579" s="223"/>
      <c r="H579" s="220"/>
      <c r="I579" s="224"/>
      <c r="J579" s="224"/>
      <c r="K579" s="220"/>
      <c r="L579" s="225"/>
      <c r="M579" s="225"/>
      <c r="N579" s="225"/>
    </row>
    <row r="580" ht="15.2" spans="1:14">
      <c r="A580" s="228">
        <v>44980</v>
      </c>
      <c r="B580" s="218" t="s">
        <v>51</v>
      </c>
      <c r="C580" s="217" t="s">
        <v>52</v>
      </c>
      <c r="D580" s="218">
        <v>1.2</v>
      </c>
      <c r="E580" s="218">
        <v>1290</v>
      </c>
      <c r="F580" s="218">
        <v>409</v>
      </c>
      <c r="G580" s="223">
        <f t="shared" si="29"/>
        <v>50</v>
      </c>
      <c r="H580" s="220">
        <f t="shared" si="30"/>
        <v>774</v>
      </c>
      <c r="I580" s="224">
        <v>737.142857142857</v>
      </c>
      <c r="J580" s="224">
        <v>36.8571428571429</v>
      </c>
      <c r="K580" s="218">
        <v>774</v>
      </c>
      <c r="L580" s="225"/>
      <c r="M580" s="225"/>
      <c r="N580" s="225">
        <f t="shared" si="31"/>
        <v>283.2</v>
      </c>
    </row>
    <row r="581" ht="15.2" spans="1:14">
      <c r="A581" s="228">
        <v>44980</v>
      </c>
      <c r="B581" s="218" t="s">
        <v>51</v>
      </c>
      <c r="C581" s="217" t="s">
        <v>53</v>
      </c>
      <c r="D581" s="218">
        <v>1.2</v>
      </c>
      <c r="E581" s="218">
        <v>960</v>
      </c>
      <c r="F581" s="218">
        <v>349</v>
      </c>
      <c r="G581" s="223">
        <f t="shared" si="29"/>
        <v>50</v>
      </c>
      <c r="H581" s="220">
        <f t="shared" si="30"/>
        <v>576</v>
      </c>
      <c r="I581" s="224">
        <v>548.571428571429</v>
      </c>
      <c r="J581" s="224">
        <v>27.4285714285714</v>
      </c>
      <c r="K581" s="218">
        <v>576</v>
      </c>
      <c r="L581" s="225"/>
      <c r="M581" s="225">
        <v>1350</v>
      </c>
      <c r="N581" s="225">
        <f t="shared" si="31"/>
        <v>157.2</v>
      </c>
    </row>
    <row r="582" ht="15.2" spans="1:14">
      <c r="A582" s="219"/>
      <c r="B582" s="216"/>
      <c r="C582" s="217"/>
      <c r="D582" s="218"/>
      <c r="E582" s="220"/>
      <c r="F582" s="221"/>
      <c r="G582" s="223"/>
      <c r="H582" s="220"/>
      <c r="I582" s="224"/>
      <c r="J582" s="224"/>
      <c r="K582" s="220"/>
      <c r="L582" s="225"/>
      <c r="M582" s="225"/>
      <c r="N582" s="225"/>
    </row>
    <row r="583" ht="15.2" spans="1:14">
      <c r="A583" s="228">
        <v>44980</v>
      </c>
      <c r="B583" s="218" t="s">
        <v>54</v>
      </c>
      <c r="C583" s="217" t="s">
        <v>55</v>
      </c>
      <c r="D583" s="218">
        <v>2.4</v>
      </c>
      <c r="E583" s="218">
        <v>1160</v>
      </c>
      <c r="F583" s="218">
        <v>456</v>
      </c>
      <c r="G583" s="223">
        <f t="shared" si="29"/>
        <v>50</v>
      </c>
      <c r="H583" s="220">
        <f t="shared" si="30"/>
        <v>1392</v>
      </c>
      <c r="I583" s="224">
        <v>1325.71428571429</v>
      </c>
      <c r="J583" s="224">
        <v>66.2857142857143</v>
      </c>
      <c r="K583" s="218">
        <v>1392</v>
      </c>
      <c r="L583" s="225"/>
      <c r="M583" s="225"/>
      <c r="N583" s="225">
        <f t="shared" si="31"/>
        <v>297.6</v>
      </c>
    </row>
    <row r="584" ht="15.2" spans="1:14">
      <c r="A584" s="228">
        <v>44980</v>
      </c>
      <c r="B584" s="218" t="s">
        <v>54</v>
      </c>
      <c r="C584" s="217" t="s">
        <v>56</v>
      </c>
      <c r="D584" s="218">
        <v>2.6</v>
      </c>
      <c r="E584" s="218">
        <v>1290</v>
      </c>
      <c r="F584" s="218">
        <v>534.85</v>
      </c>
      <c r="G584" s="223">
        <f t="shared" si="29"/>
        <v>50</v>
      </c>
      <c r="H584" s="220">
        <f t="shared" si="30"/>
        <v>1677</v>
      </c>
      <c r="I584" s="224">
        <v>1597.14285714286</v>
      </c>
      <c r="J584" s="224">
        <v>79.8571428571429</v>
      </c>
      <c r="K584" s="218">
        <v>1677</v>
      </c>
      <c r="L584" s="225"/>
      <c r="M584" s="225"/>
      <c r="N584" s="225">
        <f t="shared" si="31"/>
        <v>286.39</v>
      </c>
    </row>
    <row r="585" ht="15.2" spans="1:14">
      <c r="A585" s="228">
        <v>44980</v>
      </c>
      <c r="B585" s="218" t="s">
        <v>54</v>
      </c>
      <c r="C585" s="217" t="s">
        <v>57</v>
      </c>
      <c r="D585" s="218">
        <v>1.4</v>
      </c>
      <c r="E585" s="218">
        <v>4590</v>
      </c>
      <c r="F585" s="218">
        <v>1536</v>
      </c>
      <c r="G585" s="223">
        <f t="shared" si="29"/>
        <v>50</v>
      </c>
      <c r="H585" s="220">
        <f t="shared" si="30"/>
        <v>3213</v>
      </c>
      <c r="I585" s="224">
        <v>3060</v>
      </c>
      <c r="J585" s="224">
        <v>153</v>
      </c>
      <c r="K585" s="218">
        <v>3213</v>
      </c>
      <c r="L585" s="225"/>
      <c r="M585" s="225"/>
      <c r="N585" s="225">
        <f t="shared" si="31"/>
        <v>1062.6</v>
      </c>
    </row>
    <row r="586" ht="15.2" spans="1:14">
      <c r="A586" s="228">
        <v>44980</v>
      </c>
      <c r="B586" s="218" t="s">
        <v>54</v>
      </c>
      <c r="C586" s="217" t="s">
        <v>58</v>
      </c>
      <c r="D586" s="218">
        <v>5</v>
      </c>
      <c r="E586" s="218">
        <v>1390</v>
      </c>
      <c r="F586" s="218">
        <v>499</v>
      </c>
      <c r="G586" s="223">
        <f t="shared" si="29"/>
        <v>50</v>
      </c>
      <c r="H586" s="220">
        <f t="shared" si="30"/>
        <v>3475</v>
      </c>
      <c r="I586" s="224">
        <v>3309.52380952381</v>
      </c>
      <c r="J586" s="224">
        <v>165.47619047619</v>
      </c>
      <c r="K586" s="218">
        <v>3475</v>
      </c>
      <c r="L586" s="225"/>
      <c r="M586" s="225"/>
      <c r="N586" s="225">
        <f t="shared" si="31"/>
        <v>980</v>
      </c>
    </row>
    <row r="587" ht="15.2" spans="1:14">
      <c r="A587" s="228">
        <v>44980</v>
      </c>
      <c r="B587" s="218" t="s">
        <v>54</v>
      </c>
      <c r="C587" s="217" t="s">
        <v>368</v>
      </c>
      <c r="D587" s="218">
        <v>1.2</v>
      </c>
      <c r="E587" s="218">
        <v>1720</v>
      </c>
      <c r="F587" s="218">
        <v>584.8</v>
      </c>
      <c r="G587" s="223">
        <f t="shared" si="29"/>
        <v>50</v>
      </c>
      <c r="H587" s="220">
        <f t="shared" si="30"/>
        <v>1032</v>
      </c>
      <c r="I587" s="224"/>
      <c r="J587" s="224"/>
      <c r="K587" s="218">
        <v>1032</v>
      </c>
      <c r="L587" s="225"/>
      <c r="M587" s="225"/>
      <c r="N587" s="225">
        <f t="shared" si="31"/>
        <v>330.24</v>
      </c>
    </row>
    <row r="588" ht="15.2" spans="1:14">
      <c r="A588" s="228">
        <v>44980</v>
      </c>
      <c r="B588" s="218" t="s">
        <v>54</v>
      </c>
      <c r="C588" s="217" t="s">
        <v>369</v>
      </c>
      <c r="D588" s="218">
        <v>1.2</v>
      </c>
      <c r="E588" s="218">
        <v>1270</v>
      </c>
      <c r="F588" s="218">
        <v>456</v>
      </c>
      <c r="G588" s="223">
        <f t="shared" si="29"/>
        <v>50</v>
      </c>
      <c r="H588" s="220">
        <f t="shared" si="30"/>
        <v>762</v>
      </c>
      <c r="I588" s="224">
        <v>725.714285714286</v>
      </c>
      <c r="J588" s="224">
        <v>36.2857142857143</v>
      </c>
      <c r="K588" s="218">
        <v>762</v>
      </c>
      <c r="L588" s="225"/>
      <c r="M588" s="225">
        <v>11551</v>
      </c>
      <c r="N588" s="225">
        <f t="shared" si="31"/>
        <v>214.8</v>
      </c>
    </row>
    <row r="589" ht="15.2" spans="1:14">
      <c r="A589" s="219"/>
      <c r="B589" s="216"/>
      <c r="C589" s="217"/>
      <c r="D589" s="218"/>
      <c r="E589" s="220"/>
      <c r="F589" s="221"/>
      <c r="G589" s="223"/>
      <c r="H589" s="220"/>
      <c r="I589" s="224"/>
      <c r="J589" s="224"/>
      <c r="K589" s="220"/>
      <c r="L589" s="225"/>
      <c r="M589" s="225"/>
      <c r="N589" s="225"/>
    </row>
    <row r="590" ht="15.2" spans="1:14">
      <c r="A590" s="228">
        <v>44980</v>
      </c>
      <c r="B590" s="218" t="s">
        <v>59</v>
      </c>
      <c r="C590" s="217" t="s">
        <v>60</v>
      </c>
      <c r="D590" s="218">
        <v>1.6</v>
      </c>
      <c r="E590" s="218">
        <v>1710</v>
      </c>
      <c r="F590" s="218">
        <v>616</v>
      </c>
      <c r="G590" s="223">
        <f t="shared" si="29"/>
        <v>50</v>
      </c>
      <c r="H590" s="220">
        <f t="shared" si="30"/>
        <v>1368</v>
      </c>
      <c r="I590" s="224">
        <v>1302.85714285714</v>
      </c>
      <c r="J590" s="224">
        <v>65.1428571428572</v>
      </c>
      <c r="K590" s="218">
        <v>1368</v>
      </c>
      <c r="L590" s="225"/>
      <c r="M590" s="225"/>
      <c r="N590" s="225">
        <f t="shared" si="31"/>
        <v>382.4</v>
      </c>
    </row>
    <row r="591" ht="15.2" spans="1:14">
      <c r="A591" s="228">
        <v>44980</v>
      </c>
      <c r="B591" s="218" t="s">
        <v>59</v>
      </c>
      <c r="C591" s="217" t="s">
        <v>61</v>
      </c>
      <c r="D591" s="218">
        <v>1.2</v>
      </c>
      <c r="E591" s="218">
        <v>1780</v>
      </c>
      <c r="F591" s="218">
        <v>597</v>
      </c>
      <c r="G591" s="223">
        <f t="shared" si="29"/>
        <v>50</v>
      </c>
      <c r="H591" s="220">
        <f t="shared" si="30"/>
        <v>1068</v>
      </c>
      <c r="I591" s="224">
        <v>1017.14285714286</v>
      </c>
      <c r="J591" s="224">
        <v>50.8571428571429</v>
      </c>
      <c r="K591" s="218">
        <v>1068</v>
      </c>
      <c r="L591" s="225"/>
      <c r="M591" s="225"/>
      <c r="N591" s="225">
        <f t="shared" si="31"/>
        <v>351.6</v>
      </c>
    </row>
    <row r="592" ht="15.2" spans="1:14">
      <c r="A592" s="228">
        <v>44980</v>
      </c>
      <c r="B592" s="218" t="s">
        <v>59</v>
      </c>
      <c r="C592" s="217" t="s">
        <v>370</v>
      </c>
      <c r="D592" s="218">
        <v>1.6</v>
      </c>
      <c r="E592" s="218">
        <v>770</v>
      </c>
      <c r="F592" s="218">
        <v>274</v>
      </c>
      <c r="G592" s="223">
        <f t="shared" si="29"/>
        <v>50</v>
      </c>
      <c r="H592" s="220">
        <f t="shared" si="30"/>
        <v>616</v>
      </c>
      <c r="I592" s="224">
        <v>586.666666666667</v>
      </c>
      <c r="J592" s="224">
        <v>29.3333333333333</v>
      </c>
      <c r="K592" s="218">
        <v>616</v>
      </c>
      <c r="L592" s="225"/>
      <c r="M592" s="225"/>
      <c r="N592" s="225">
        <f t="shared" si="31"/>
        <v>177.6</v>
      </c>
    </row>
    <row r="593" ht="15.2" spans="1:14">
      <c r="A593" s="228">
        <v>44980</v>
      </c>
      <c r="B593" s="218" t="s">
        <v>59</v>
      </c>
      <c r="C593" s="217" t="s">
        <v>155</v>
      </c>
      <c r="D593" s="218">
        <v>1.6</v>
      </c>
      <c r="E593" s="218">
        <v>1140</v>
      </c>
      <c r="F593" s="218">
        <v>359</v>
      </c>
      <c r="G593" s="223">
        <f t="shared" ref="G593:G655" si="32">(H593*100)/(E593*D593)</f>
        <v>50</v>
      </c>
      <c r="H593" s="220">
        <f t="shared" ref="H593:H655" si="33">D593*E593-K593</f>
        <v>912</v>
      </c>
      <c r="I593" s="224">
        <v>868.571428571429</v>
      </c>
      <c r="J593" s="224">
        <v>43.4285714285714</v>
      </c>
      <c r="K593" s="218">
        <v>912</v>
      </c>
      <c r="L593" s="225"/>
      <c r="M593" s="225"/>
      <c r="N593" s="225">
        <f t="shared" si="31"/>
        <v>337.6</v>
      </c>
    </row>
    <row r="594" ht="15.2" spans="1:14">
      <c r="A594" s="228">
        <v>44980</v>
      </c>
      <c r="B594" s="218" t="s">
        <v>59</v>
      </c>
      <c r="C594" s="217" t="s">
        <v>371</v>
      </c>
      <c r="D594" s="218">
        <v>1.4</v>
      </c>
      <c r="E594" s="218">
        <v>1610</v>
      </c>
      <c r="F594" s="218">
        <v>513</v>
      </c>
      <c r="G594" s="223">
        <f t="shared" si="32"/>
        <v>50</v>
      </c>
      <c r="H594" s="220">
        <f t="shared" si="33"/>
        <v>1127</v>
      </c>
      <c r="I594" s="224">
        <v>1073.33333333333</v>
      </c>
      <c r="J594" s="224">
        <v>53.6666666666667</v>
      </c>
      <c r="K594" s="218">
        <v>1127</v>
      </c>
      <c r="L594" s="225"/>
      <c r="M594" s="225"/>
      <c r="N594" s="225">
        <f t="shared" si="31"/>
        <v>408.8</v>
      </c>
    </row>
    <row r="595" ht="15.2" spans="1:14">
      <c r="A595" s="228">
        <v>44980</v>
      </c>
      <c r="B595" s="218" t="s">
        <v>59</v>
      </c>
      <c r="C595" s="217" t="s">
        <v>372</v>
      </c>
      <c r="D595" s="218">
        <v>1.7</v>
      </c>
      <c r="E595" s="218">
        <v>1870</v>
      </c>
      <c r="F595" s="218">
        <v>671</v>
      </c>
      <c r="G595" s="223">
        <f t="shared" si="32"/>
        <v>49.9842717835797</v>
      </c>
      <c r="H595" s="220">
        <f t="shared" si="33"/>
        <v>1589</v>
      </c>
      <c r="I595" s="224">
        <v>1514.28571428571</v>
      </c>
      <c r="J595" s="224">
        <v>75.7142857142857</v>
      </c>
      <c r="K595" s="218">
        <v>1590</v>
      </c>
      <c r="L595" s="225"/>
      <c r="M595" s="225"/>
      <c r="N595" s="225">
        <f t="shared" si="31"/>
        <v>449.3</v>
      </c>
    </row>
    <row r="596" ht="15.2" spans="1:14">
      <c r="A596" s="228">
        <v>44980</v>
      </c>
      <c r="B596" s="218" t="s">
        <v>59</v>
      </c>
      <c r="C596" s="217" t="s">
        <v>373</v>
      </c>
      <c r="D596" s="218">
        <v>1.25</v>
      </c>
      <c r="E596" s="218">
        <v>880</v>
      </c>
      <c r="F596" s="218">
        <v>349</v>
      </c>
      <c r="G596" s="223">
        <f t="shared" si="32"/>
        <v>50</v>
      </c>
      <c r="H596" s="220">
        <f t="shared" si="33"/>
        <v>550</v>
      </c>
      <c r="I596" s="224">
        <v>523.809523809524</v>
      </c>
      <c r="J596" s="224">
        <v>26.1904761904762</v>
      </c>
      <c r="K596" s="218">
        <v>550</v>
      </c>
      <c r="L596" s="225"/>
      <c r="M596" s="225"/>
      <c r="N596" s="225">
        <f t="shared" si="31"/>
        <v>113.75</v>
      </c>
    </row>
    <row r="597" ht="15.2" spans="1:14">
      <c r="A597" s="228">
        <v>44980</v>
      </c>
      <c r="B597" s="218" t="s">
        <v>59</v>
      </c>
      <c r="C597" s="217" t="s">
        <v>215</v>
      </c>
      <c r="D597" s="218">
        <v>1.25</v>
      </c>
      <c r="E597" s="218">
        <v>1710</v>
      </c>
      <c r="F597" s="218">
        <v>675</v>
      </c>
      <c r="G597" s="223">
        <f t="shared" si="32"/>
        <v>49.9883040935673</v>
      </c>
      <c r="H597" s="220">
        <f t="shared" si="33"/>
        <v>1068.5</v>
      </c>
      <c r="I597" s="224">
        <v>1018.09523809524</v>
      </c>
      <c r="J597" s="224">
        <v>50.9047619047619</v>
      </c>
      <c r="K597" s="218">
        <v>1069</v>
      </c>
      <c r="L597" s="225"/>
      <c r="M597" s="225"/>
      <c r="N597" s="225">
        <f t="shared" ref="N597:N660" si="34">K597-(D597*F597)</f>
        <v>225.25</v>
      </c>
    </row>
    <row r="598" ht="15.2" spans="1:14">
      <c r="A598" s="228">
        <v>44980</v>
      </c>
      <c r="B598" s="218" t="s">
        <v>59</v>
      </c>
      <c r="C598" s="217" t="s">
        <v>329</v>
      </c>
      <c r="D598" s="218">
        <v>1.8</v>
      </c>
      <c r="E598" s="218">
        <v>1050</v>
      </c>
      <c r="F598" s="218">
        <v>319.2</v>
      </c>
      <c r="G598" s="223">
        <f t="shared" si="32"/>
        <v>50</v>
      </c>
      <c r="H598" s="220">
        <f t="shared" si="33"/>
        <v>945</v>
      </c>
      <c r="I598" s="224"/>
      <c r="J598" s="224"/>
      <c r="K598" s="218">
        <v>945</v>
      </c>
      <c r="L598" s="225"/>
      <c r="M598" s="225"/>
      <c r="N598" s="225">
        <f t="shared" si="34"/>
        <v>370.44</v>
      </c>
    </row>
    <row r="599" ht="15.2" spans="1:14">
      <c r="A599" s="228">
        <v>44980</v>
      </c>
      <c r="B599" s="218" t="s">
        <v>59</v>
      </c>
      <c r="C599" s="217" t="s">
        <v>146</v>
      </c>
      <c r="D599" s="218">
        <v>1.8</v>
      </c>
      <c r="E599" s="218">
        <v>1450</v>
      </c>
      <c r="F599" s="218">
        <v>460</v>
      </c>
      <c r="G599" s="223">
        <f t="shared" si="32"/>
        <v>50</v>
      </c>
      <c r="H599" s="220">
        <f t="shared" si="33"/>
        <v>1305</v>
      </c>
      <c r="I599" s="224">
        <v>1242.85714285714</v>
      </c>
      <c r="J599" s="224">
        <v>62.1428571428571</v>
      </c>
      <c r="K599" s="218">
        <v>1305</v>
      </c>
      <c r="L599" s="225"/>
      <c r="M599" s="225"/>
      <c r="N599" s="225">
        <f t="shared" si="34"/>
        <v>477</v>
      </c>
    </row>
    <row r="600" ht="15.2" spans="1:14">
      <c r="A600" s="228">
        <v>44980</v>
      </c>
      <c r="B600" s="218" t="s">
        <v>59</v>
      </c>
      <c r="C600" s="217" t="s">
        <v>374</v>
      </c>
      <c r="D600" s="218">
        <v>2.75</v>
      </c>
      <c r="E600" s="218">
        <v>785</v>
      </c>
      <c r="F600" s="218">
        <v>518.1</v>
      </c>
      <c r="G600" s="223">
        <f t="shared" si="32"/>
        <v>50.017371163868</v>
      </c>
      <c r="H600" s="220">
        <f t="shared" si="33"/>
        <v>1079.75</v>
      </c>
      <c r="I600" s="224"/>
      <c r="J600" s="224"/>
      <c r="K600" s="218">
        <v>1079</v>
      </c>
      <c r="L600" s="225"/>
      <c r="M600" s="225"/>
      <c r="N600" s="225">
        <f t="shared" si="34"/>
        <v>-345.775</v>
      </c>
    </row>
    <row r="601" ht="15.2" spans="1:14">
      <c r="A601" s="228">
        <v>44980</v>
      </c>
      <c r="B601" s="218" t="s">
        <v>59</v>
      </c>
      <c r="C601" s="217" t="s">
        <v>375</v>
      </c>
      <c r="D601" s="218">
        <v>2.2</v>
      </c>
      <c r="E601" s="218">
        <v>1155</v>
      </c>
      <c r="F601" s="218">
        <v>525</v>
      </c>
      <c r="G601" s="223">
        <f t="shared" si="32"/>
        <v>49.9803227075954</v>
      </c>
      <c r="H601" s="220">
        <f t="shared" si="33"/>
        <v>1270</v>
      </c>
      <c r="I601" s="224">
        <v>1210.47619047619</v>
      </c>
      <c r="J601" s="224">
        <v>60.5238095238095</v>
      </c>
      <c r="K601" s="218">
        <v>1271</v>
      </c>
      <c r="L601" s="225"/>
      <c r="M601" s="225"/>
      <c r="N601" s="225">
        <f t="shared" si="34"/>
        <v>116</v>
      </c>
    </row>
    <row r="602" ht="15.2" spans="1:14">
      <c r="A602" s="228">
        <v>44980</v>
      </c>
      <c r="B602" s="218" t="s">
        <v>59</v>
      </c>
      <c r="C602" s="217" t="s">
        <v>65</v>
      </c>
      <c r="D602" s="218">
        <v>1.6</v>
      </c>
      <c r="E602" s="218">
        <v>1460</v>
      </c>
      <c r="F602" s="218">
        <v>525</v>
      </c>
      <c r="G602" s="223">
        <f t="shared" si="32"/>
        <v>50</v>
      </c>
      <c r="H602" s="220">
        <f t="shared" si="33"/>
        <v>1168</v>
      </c>
      <c r="I602" s="224">
        <v>1112.38095238095</v>
      </c>
      <c r="J602" s="224">
        <v>55.6190476190476</v>
      </c>
      <c r="K602" s="218">
        <v>1168</v>
      </c>
      <c r="L602" s="225"/>
      <c r="M602" s="225">
        <v>14068</v>
      </c>
      <c r="N602" s="225">
        <f t="shared" si="34"/>
        <v>328</v>
      </c>
    </row>
    <row r="603" ht="15.2" spans="1:14">
      <c r="A603" s="219"/>
      <c r="B603" s="216"/>
      <c r="C603" s="217"/>
      <c r="D603" s="218"/>
      <c r="E603" s="220"/>
      <c r="F603" s="221"/>
      <c r="G603" s="223"/>
      <c r="H603" s="220"/>
      <c r="I603" s="224"/>
      <c r="J603" s="224"/>
      <c r="K603" s="220"/>
      <c r="L603" s="225"/>
      <c r="M603" s="225"/>
      <c r="N603" s="225"/>
    </row>
    <row r="604" ht="15.2" spans="1:14">
      <c r="A604" s="219">
        <v>44981</v>
      </c>
      <c r="B604" s="216" t="s">
        <v>376</v>
      </c>
      <c r="C604" s="217">
        <v>8907686774756</v>
      </c>
      <c r="D604" s="218">
        <v>1</v>
      </c>
      <c r="E604" s="218">
        <v>1199</v>
      </c>
      <c r="F604" s="218">
        <v>791.34</v>
      </c>
      <c r="G604" s="223">
        <f t="shared" si="32"/>
        <v>65</v>
      </c>
      <c r="H604" s="220">
        <f t="shared" si="33"/>
        <v>779.35</v>
      </c>
      <c r="I604" s="224"/>
      <c r="J604" s="224"/>
      <c r="K604" s="218">
        <v>419.65</v>
      </c>
      <c r="L604" s="225"/>
      <c r="M604" s="225"/>
      <c r="N604" s="225">
        <f t="shared" si="34"/>
        <v>-371.69</v>
      </c>
    </row>
    <row r="605" ht="15.2" spans="1:14">
      <c r="A605" s="219">
        <v>44981</v>
      </c>
      <c r="B605" s="216" t="s">
        <v>376</v>
      </c>
      <c r="C605" s="217">
        <v>8904290606749</v>
      </c>
      <c r="D605" s="218">
        <v>1</v>
      </c>
      <c r="E605" s="218">
        <v>1899</v>
      </c>
      <c r="F605" s="218">
        <v>1253.34</v>
      </c>
      <c r="G605" s="223">
        <f t="shared" si="32"/>
        <v>65</v>
      </c>
      <c r="H605" s="220">
        <f t="shared" si="33"/>
        <v>1234.35</v>
      </c>
      <c r="I605" s="224"/>
      <c r="J605" s="224"/>
      <c r="K605" s="218">
        <v>664.65</v>
      </c>
      <c r="L605" s="225">
        <v>0.7</v>
      </c>
      <c r="M605" s="225">
        <v>1085</v>
      </c>
      <c r="N605" s="225">
        <f t="shared" si="34"/>
        <v>-588.69</v>
      </c>
    </row>
    <row r="606" ht="15.2" spans="1:14">
      <c r="A606" s="219"/>
      <c r="B606" s="216"/>
      <c r="C606" s="217"/>
      <c r="D606" s="218"/>
      <c r="E606" s="220"/>
      <c r="F606" s="221"/>
      <c r="G606" s="223"/>
      <c r="H606" s="220"/>
      <c r="I606" s="224"/>
      <c r="J606" s="224"/>
      <c r="K606" s="220"/>
      <c r="L606" s="225"/>
      <c r="M606" s="225"/>
      <c r="N606" s="225"/>
    </row>
    <row r="607" ht="15.2" spans="1:14">
      <c r="A607" s="219">
        <v>44981</v>
      </c>
      <c r="B607" s="216" t="s">
        <v>377</v>
      </c>
      <c r="C607" s="217">
        <v>8904290600914</v>
      </c>
      <c r="D607" s="218">
        <v>1</v>
      </c>
      <c r="E607" s="218">
        <v>1999</v>
      </c>
      <c r="F607" s="218">
        <v>1319.34</v>
      </c>
      <c r="G607" s="223">
        <f t="shared" si="32"/>
        <v>65</v>
      </c>
      <c r="H607" s="220">
        <f t="shared" si="33"/>
        <v>1299.35</v>
      </c>
      <c r="I607" s="224"/>
      <c r="J607" s="224"/>
      <c r="K607" s="218">
        <v>699.65</v>
      </c>
      <c r="L607" s="225">
        <v>0.35</v>
      </c>
      <c r="M607" s="225">
        <v>700</v>
      </c>
      <c r="N607" s="225">
        <f t="shared" si="34"/>
        <v>-619.69</v>
      </c>
    </row>
    <row r="608" ht="15.2" spans="1:14">
      <c r="A608" s="219"/>
      <c r="B608" s="216"/>
      <c r="C608" s="217"/>
      <c r="D608" s="218"/>
      <c r="E608" s="220"/>
      <c r="F608" s="221"/>
      <c r="G608" s="223"/>
      <c r="H608" s="220"/>
      <c r="I608" s="224"/>
      <c r="J608" s="224"/>
      <c r="K608" s="220"/>
      <c r="L608" s="225"/>
      <c r="M608" s="225"/>
      <c r="N608" s="225"/>
    </row>
    <row r="609" ht="15.2" spans="1:14">
      <c r="A609" s="219">
        <v>44981</v>
      </c>
      <c r="B609" s="216" t="s">
        <v>378</v>
      </c>
      <c r="C609" s="217">
        <v>8907378982520</v>
      </c>
      <c r="D609" s="218">
        <v>1</v>
      </c>
      <c r="E609" s="218">
        <v>449</v>
      </c>
      <c r="F609" s="218">
        <v>296.34</v>
      </c>
      <c r="G609" s="223">
        <f t="shared" si="32"/>
        <v>50</v>
      </c>
      <c r="H609" s="220">
        <f t="shared" si="33"/>
        <v>224.5</v>
      </c>
      <c r="I609" s="224"/>
      <c r="J609" s="224"/>
      <c r="K609" s="218">
        <v>224.5</v>
      </c>
      <c r="L609" s="225"/>
      <c r="M609" s="225"/>
      <c r="N609" s="225">
        <f t="shared" si="34"/>
        <v>-71.84</v>
      </c>
    </row>
    <row r="610" ht="15.2" spans="1:14">
      <c r="A610" s="219">
        <v>44981</v>
      </c>
      <c r="B610" s="216" t="s">
        <v>378</v>
      </c>
      <c r="C610" s="217">
        <v>8907686350837</v>
      </c>
      <c r="D610" s="218">
        <v>1</v>
      </c>
      <c r="E610" s="218">
        <v>449</v>
      </c>
      <c r="F610" s="218">
        <v>296.34</v>
      </c>
      <c r="G610" s="223">
        <f t="shared" si="32"/>
        <v>50</v>
      </c>
      <c r="H610" s="220">
        <f t="shared" si="33"/>
        <v>224.5</v>
      </c>
      <c r="I610" s="224"/>
      <c r="J610" s="224"/>
      <c r="K610" s="218">
        <v>224.5</v>
      </c>
      <c r="L610" s="225"/>
      <c r="M610" s="225">
        <v>449</v>
      </c>
      <c r="N610" s="225">
        <f t="shared" si="34"/>
        <v>-71.84</v>
      </c>
    </row>
    <row r="611" ht="15.2" spans="1:14">
      <c r="A611" s="219"/>
      <c r="B611" s="216"/>
      <c r="C611" s="217"/>
      <c r="D611" s="218"/>
      <c r="E611" s="220"/>
      <c r="F611" s="221"/>
      <c r="G611" s="223"/>
      <c r="H611" s="220"/>
      <c r="I611" s="224"/>
      <c r="J611" s="224"/>
      <c r="K611" s="220"/>
      <c r="L611" s="225"/>
      <c r="M611" s="225"/>
      <c r="N611" s="225"/>
    </row>
    <row r="612" ht="15.2" spans="1:14">
      <c r="A612" s="219">
        <v>44981</v>
      </c>
      <c r="B612" s="216" t="s">
        <v>23</v>
      </c>
      <c r="C612" s="217" t="s">
        <v>24</v>
      </c>
      <c r="D612" s="218">
        <v>1.9</v>
      </c>
      <c r="E612" s="218">
        <v>1050</v>
      </c>
      <c r="F612" s="218">
        <v>279.3</v>
      </c>
      <c r="G612" s="223">
        <f t="shared" si="32"/>
        <v>50</v>
      </c>
      <c r="H612" s="220">
        <f t="shared" si="33"/>
        <v>997.5</v>
      </c>
      <c r="I612" s="224">
        <v>950</v>
      </c>
      <c r="J612" s="224">
        <v>47.5</v>
      </c>
      <c r="K612" s="220">
        <v>997.5</v>
      </c>
      <c r="L612" s="225">
        <v>0.5</v>
      </c>
      <c r="M612" s="225">
        <v>998</v>
      </c>
      <c r="N612" s="225">
        <f t="shared" si="34"/>
        <v>466.83</v>
      </c>
    </row>
    <row r="613" ht="15.2" spans="1:14">
      <c r="A613" s="219"/>
      <c r="B613" s="216"/>
      <c r="C613" s="217"/>
      <c r="D613" s="218"/>
      <c r="E613" s="220"/>
      <c r="F613" s="221"/>
      <c r="G613" s="223"/>
      <c r="H613" s="220"/>
      <c r="I613" s="224"/>
      <c r="J613" s="224"/>
      <c r="K613" s="220"/>
      <c r="L613" s="225"/>
      <c r="M613" s="225"/>
      <c r="N613" s="225"/>
    </row>
    <row r="614" ht="15.2" spans="1:14">
      <c r="A614" s="219">
        <v>44981</v>
      </c>
      <c r="B614" s="216" t="s">
        <v>25</v>
      </c>
      <c r="C614" s="217" t="s">
        <v>26</v>
      </c>
      <c r="D614" s="218">
        <v>1.15</v>
      </c>
      <c r="E614" s="218">
        <v>800</v>
      </c>
      <c r="F614" s="218">
        <v>289</v>
      </c>
      <c r="G614" s="223">
        <f t="shared" si="32"/>
        <v>53</v>
      </c>
      <c r="H614" s="220">
        <f t="shared" si="33"/>
        <v>487.6</v>
      </c>
      <c r="I614" s="224">
        <v>411.809523809524</v>
      </c>
      <c r="J614" s="224">
        <v>20.5904761904762</v>
      </c>
      <c r="K614" s="220">
        <v>432.4</v>
      </c>
      <c r="L614" s="225">
        <v>-0.4</v>
      </c>
      <c r="M614" s="225">
        <v>432</v>
      </c>
      <c r="N614" s="225">
        <f t="shared" si="34"/>
        <v>100.05</v>
      </c>
    </row>
    <row r="615" ht="15.2" spans="1:14">
      <c r="A615" s="219"/>
      <c r="B615" s="216"/>
      <c r="C615" s="217"/>
      <c r="D615" s="218"/>
      <c r="E615" s="220"/>
      <c r="F615" s="221"/>
      <c r="G615" s="223"/>
      <c r="H615" s="220"/>
      <c r="I615" s="224"/>
      <c r="J615" s="224"/>
      <c r="K615" s="220"/>
      <c r="L615" s="225"/>
      <c r="M615" s="225"/>
      <c r="N615" s="225"/>
    </row>
    <row r="616" ht="15.2" spans="1:14">
      <c r="A616" s="219">
        <v>44981</v>
      </c>
      <c r="B616" s="216" t="s">
        <v>27</v>
      </c>
      <c r="C616" s="217" t="s">
        <v>28</v>
      </c>
      <c r="D616" s="218">
        <v>0.8</v>
      </c>
      <c r="E616" s="218">
        <v>2330</v>
      </c>
      <c r="F616" s="218">
        <v>839.1</v>
      </c>
      <c r="G616" s="223">
        <f t="shared" si="32"/>
        <v>49.7854077253219</v>
      </c>
      <c r="H616" s="220">
        <f t="shared" si="33"/>
        <v>928</v>
      </c>
      <c r="I616" s="224">
        <v>891.428571428571</v>
      </c>
      <c r="J616" s="224">
        <v>44.5714285714286</v>
      </c>
      <c r="K616" s="220">
        <v>936</v>
      </c>
      <c r="L616" s="225"/>
      <c r="M616" s="225">
        <v>936</v>
      </c>
      <c r="N616" s="225">
        <f t="shared" si="34"/>
        <v>264.72</v>
      </c>
    </row>
    <row r="617" ht="15.2" spans="1:14">
      <c r="A617" s="219"/>
      <c r="B617" s="216"/>
      <c r="C617" s="217"/>
      <c r="D617" s="218"/>
      <c r="E617" s="220"/>
      <c r="F617" s="221"/>
      <c r="G617" s="223"/>
      <c r="H617" s="220"/>
      <c r="I617" s="224"/>
      <c r="J617" s="224"/>
      <c r="K617" s="220"/>
      <c r="L617" s="225"/>
      <c r="M617" s="225"/>
      <c r="N617" s="225"/>
    </row>
    <row r="618" ht="15.2" spans="1:14">
      <c r="A618" s="219">
        <v>44982</v>
      </c>
      <c r="B618" s="216" t="s">
        <v>379</v>
      </c>
      <c r="C618" s="217">
        <v>8907687169537</v>
      </c>
      <c r="D618" s="218">
        <v>1</v>
      </c>
      <c r="E618" s="218">
        <v>1399</v>
      </c>
      <c r="F618" s="218">
        <v>923.34</v>
      </c>
      <c r="G618" s="223">
        <f t="shared" si="32"/>
        <v>65</v>
      </c>
      <c r="H618" s="220">
        <f t="shared" si="33"/>
        <v>909.35</v>
      </c>
      <c r="I618" s="224"/>
      <c r="J618" s="224"/>
      <c r="K618" s="220">
        <v>489.65</v>
      </c>
      <c r="L618" s="225">
        <v>0.35</v>
      </c>
      <c r="M618" s="225">
        <v>490</v>
      </c>
      <c r="N618" s="225">
        <f t="shared" si="34"/>
        <v>-433.69</v>
      </c>
    </row>
    <row r="619" ht="15.2" spans="1:14">
      <c r="A619" s="219"/>
      <c r="B619" s="216"/>
      <c r="C619" s="217"/>
      <c r="D619" s="218"/>
      <c r="E619" s="220"/>
      <c r="F619" s="221"/>
      <c r="G619" s="223"/>
      <c r="H619" s="220"/>
      <c r="I619" s="224"/>
      <c r="J619" s="224"/>
      <c r="K619" s="220"/>
      <c r="L619" s="225"/>
      <c r="M619" s="225"/>
      <c r="N619" s="225"/>
    </row>
    <row r="620" ht="15.2" spans="1:14">
      <c r="A620" s="219">
        <v>44982</v>
      </c>
      <c r="B620" s="216" t="s">
        <v>380</v>
      </c>
      <c r="C620" s="217">
        <v>8907378981387</v>
      </c>
      <c r="D620" s="218">
        <v>1</v>
      </c>
      <c r="E620" s="218">
        <v>699</v>
      </c>
      <c r="F620" s="218">
        <v>461.34</v>
      </c>
      <c r="G620" s="223">
        <f t="shared" si="32"/>
        <v>65</v>
      </c>
      <c r="H620" s="220">
        <f t="shared" si="33"/>
        <v>454.35</v>
      </c>
      <c r="I620" s="224"/>
      <c r="J620" s="224"/>
      <c r="K620" s="218">
        <v>244.65</v>
      </c>
      <c r="L620" s="225"/>
      <c r="M620" s="225"/>
      <c r="N620" s="225">
        <f t="shared" si="34"/>
        <v>-216.69</v>
      </c>
    </row>
    <row r="621" ht="15.2" spans="1:14">
      <c r="A621" s="219">
        <v>44982</v>
      </c>
      <c r="B621" s="216" t="s">
        <v>380</v>
      </c>
      <c r="C621" s="217">
        <v>8907686786483</v>
      </c>
      <c r="D621" s="218">
        <v>1</v>
      </c>
      <c r="E621" s="218">
        <v>1499</v>
      </c>
      <c r="F621" s="218">
        <v>989.34</v>
      </c>
      <c r="G621" s="223">
        <f t="shared" si="32"/>
        <v>65</v>
      </c>
      <c r="H621" s="220">
        <f t="shared" si="33"/>
        <v>974.35</v>
      </c>
      <c r="I621" s="224"/>
      <c r="J621" s="224"/>
      <c r="K621" s="218">
        <v>524.65</v>
      </c>
      <c r="L621" s="225"/>
      <c r="M621" s="225"/>
      <c r="N621" s="225">
        <f t="shared" si="34"/>
        <v>-464.69</v>
      </c>
    </row>
    <row r="622" ht="15.2" spans="1:14">
      <c r="A622" s="219">
        <v>44982</v>
      </c>
      <c r="B622" s="216" t="s">
        <v>380</v>
      </c>
      <c r="C622" s="217">
        <v>8907686131450</v>
      </c>
      <c r="D622" s="218">
        <v>1</v>
      </c>
      <c r="E622" s="218">
        <v>949</v>
      </c>
      <c r="F622" s="218">
        <v>626.34</v>
      </c>
      <c r="G622" s="223">
        <f t="shared" si="32"/>
        <v>65</v>
      </c>
      <c r="H622" s="220">
        <f t="shared" si="33"/>
        <v>616.85</v>
      </c>
      <c r="I622" s="224"/>
      <c r="J622" s="224"/>
      <c r="K622" s="218">
        <v>332.15</v>
      </c>
      <c r="L622" s="225"/>
      <c r="M622" s="225"/>
      <c r="N622" s="225">
        <f t="shared" si="34"/>
        <v>-294.19</v>
      </c>
    </row>
    <row r="623" ht="15.2" spans="1:14">
      <c r="A623" s="219">
        <v>44982</v>
      </c>
      <c r="B623" s="216" t="s">
        <v>380</v>
      </c>
      <c r="C623" s="217">
        <v>8907686293875</v>
      </c>
      <c r="D623" s="218">
        <v>1</v>
      </c>
      <c r="E623" s="218">
        <v>899</v>
      </c>
      <c r="F623" s="218">
        <v>593.34</v>
      </c>
      <c r="G623" s="223">
        <f t="shared" si="32"/>
        <v>65</v>
      </c>
      <c r="H623" s="220">
        <f t="shared" si="33"/>
        <v>584.35</v>
      </c>
      <c r="I623" s="224"/>
      <c r="J623" s="224"/>
      <c r="K623" s="218">
        <v>314.65</v>
      </c>
      <c r="L623" s="225"/>
      <c r="M623" s="225"/>
      <c r="N623" s="225">
        <f t="shared" si="34"/>
        <v>-278.69</v>
      </c>
    </row>
    <row r="624" ht="15.2" spans="1:14">
      <c r="A624" s="219">
        <v>44982</v>
      </c>
      <c r="B624" s="216" t="s">
        <v>380</v>
      </c>
      <c r="C624" s="217">
        <v>8907538213761</v>
      </c>
      <c r="D624" s="218">
        <v>1</v>
      </c>
      <c r="E624" s="218">
        <v>1799</v>
      </c>
      <c r="F624" s="218">
        <v>1187.34</v>
      </c>
      <c r="G624" s="223">
        <f t="shared" si="32"/>
        <v>65</v>
      </c>
      <c r="H624" s="220">
        <f t="shared" si="33"/>
        <v>1169.35</v>
      </c>
      <c r="I624" s="224"/>
      <c r="J624" s="224"/>
      <c r="K624" s="218">
        <v>629.65</v>
      </c>
      <c r="L624" s="225">
        <v>0.25</v>
      </c>
      <c r="M624" s="225">
        <v>2046</v>
      </c>
      <c r="N624" s="225">
        <f t="shared" si="34"/>
        <v>-557.69</v>
      </c>
    </row>
    <row r="625" ht="15.2" spans="1:14">
      <c r="A625" s="219"/>
      <c r="B625" s="216"/>
      <c r="C625" s="217"/>
      <c r="D625" s="218"/>
      <c r="E625" s="220"/>
      <c r="F625" s="221"/>
      <c r="G625" s="223"/>
      <c r="H625" s="220"/>
      <c r="I625" s="224"/>
      <c r="J625" s="224"/>
      <c r="K625" s="220"/>
      <c r="L625" s="225"/>
      <c r="M625" s="225"/>
      <c r="N625" s="225"/>
    </row>
    <row r="626" ht="15.2" spans="1:14">
      <c r="A626" s="219">
        <v>44982</v>
      </c>
      <c r="B626" s="216" t="s">
        <v>29</v>
      </c>
      <c r="C626" s="217" t="s">
        <v>30</v>
      </c>
      <c r="D626" s="218">
        <v>1.25</v>
      </c>
      <c r="E626" s="218">
        <v>1240</v>
      </c>
      <c r="F626" s="218">
        <v>332.5</v>
      </c>
      <c r="G626" s="223">
        <f t="shared" si="32"/>
        <v>50</v>
      </c>
      <c r="H626" s="220">
        <f t="shared" si="33"/>
        <v>775</v>
      </c>
      <c r="I626" s="224">
        <v>738.095238095238</v>
      </c>
      <c r="J626" s="224">
        <v>36.9047619047619</v>
      </c>
      <c r="K626" s="220">
        <v>775</v>
      </c>
      <c r="L626" s="225"/>
      <c r="M626" s="225">
        <v>775</v>
      </c>
      <c r="N626" s="225">
        <f t="shared" si="34"/>
        <v>359.375</v>
      </c>
    </row>
    <row r="627" ht="15.2" spans="1:14">
      <c r="A627" s="219"/>
      <c r="B627" s="216"/>
      <c r="C627" s="217"/>
      <c r="D627" s="218"/>
      <c r="E627" s="220"/>
      <c r="F627" s="221"/>
      <c r="G627" s="223"/>
      <c r="H627" s="220"/>
      <c r="I627" s="224"/>
      <c r="J627" s="224"/>
      <c r="K627" s="220"/>
      <c r="L627" s="225"/>
      <c r="M627" s="225"/>
      <c r="N627" s="225"/>
    </row>
    <row r="628" ht="15.2" spans="1:14">
      <c r="A628" s="219">
        <v>44984</v>
      </c>
      <c r="B628" s="216" t="s">
        <v>381</v>
      </c>
      <c r="C628" s="217">
        <v>8904290618926</v>
      </c>
      <c r="D628" s="218">
        <v>1</v>
      </c>
      <c r="E628" s="218">
        <v>2499</v>
      </c>
      <c r="F628" s="218">
        <v>1649.34</v>
      </c>
      <c r="G628" s="223">
        <f t="shared" si="32"/>
        <v>65</v>
      </c>
      <c r="H628" s="220">
        <f t="shared" si="33"/>
        <v>1624.35</v>
      </c>
      <c r="I628" s="224"/>
      <c r="J628" s="224"/>
      <c r="K628" s="218">
        <v>874.65</v>
      </c>
      <c r="L628" s="225"/>
      <c r="M628" s="225"/>
      <c r="N628" s="225">
        <f t="shared" si="34"/>
        <v>-774.69</v>
      </c>
    </row>
    <row r="629" ht="15.2" spans="1:14">
      <c r="A629" s="219">
        <v>44984</v>
      </c>
      <c r="B629" s="216" t="s">
        <v>381</v>
      </c>
      <c r="C629" s="217">
        <v>8904290618766</v>
      </c>
      <c r="D629" s="218">
        <v>1</v>
      </c>
      <c r="E629" s="218">
        <v>1999</v>
      </c>
      <c r="F629" s="218">
        <v>1319.34</v>
      </c>
      <c r="G629" s="223">
        <f t="shared" si="32"/>
        <v>65</v>
      </c>
      <c r="H629" s="220">
        <f t="shared" si="33"/>
        <v>1299.35</v>
      </c>
      <c r="I629" s="224"/>
      <c r="J629" s="224"/>
      <c r="K629" s="218">
        <v>699.65</v>
      </c>
      <c r="L629" s="225">
        <v>0.7</v>
      </c>
      <c r="M629" s="225">
        <v>1575</v>
      </c>
      <c r="N629" s="225">
        <f t="shared" si="34"/>
        <v>-619.69</v>
      </c>
    </row>
    <row r="630" ht="15.2" spans="1:14">
      <c r="A630" s="219"/>
      <c r="B630" s="216"/>
      <c r="C630" s="217"/>
      <c r="D630" s="218"/>
      <c r="E630" s="220"/>
      <c r="F630" s="221"/>
      <c r="G630" s="223"/>
      <c r="H630" s="220"/>
      <c r="I630" s="224"/>
      <c r="J630" s="224"/>
      <c r="K630" s="220"/>
      <c r="L630" s="225"/>
      <c r="M630" s="225"/>
      <c r="N630" s="225"/>
    </row>
    <row r="631" ht="15.2" spans="1:14">
      <c r="A631" s="219">
        <v>44984</v>
      </c>
      <c r="B631" s="216" t="s">
        <v>31</v>
      </c>
      <c r="C631" s="217" t="s">
        <v>32</v>
      </c>
      <c r="D631" s="218">
        <v>1.7</v>
      </c>
      <c r="E631" s="218">
        <v>1140</v>
      </c>
      <c r="F631" s="218">
        <v>401</v>
      </c>
      <c r="G631" s="223">
        <f t="shared" si="32"/>
        <v>49.5614035087719</v>
      </c>
      <c r="H631" s="220">
        <f t="shared" si="33"/>
        <v>960.5</v>
      </c>
      <c r="I631" s="224">
        <v>930.952380952381</v>
      </c>
      <c r="J631" s="224">
        <v>46.5476190476191</v>
      </c>
      <c r="K631" s="218">
        <v>977.5</v>
      </c>
      <c r="L631" s="225"/>
      <c r="M631" s="225"/>
      <c r="N631" s="225">
        <f t="shared" si="34"/>
        <v>295.8</v>
      </c>
    </row>
    <row r="632" ht="15.2" spans="1:14">
      <c r="A632" s="219">
        <v>44984</v>
      </c>
      <c r="B632" s="216" t="s">
        <v>31</v>
      </c>
      <c r="C632" s="217" t="s">
        <v>33</v>
      </c>
      <c r="D632" s="218">
        <v>1.3</v>
      </c>
      <c r="E632" s="218">
        <v>630</v>
      </c>
      <c r="F632" s="218">
        <v>263</v>
      </c>
      <c r="G632" s="223">
        <f t="shared" si="32"/>
        <v>50</v>
      </c>
      <c r="H632" s="220">
        <f t="shared" si="33"/>
        <v>409.5</v>
      </c>
      <c r="I632" s="224">
        <v>390</v>
      </c>
      <c r="J632" s="224">
        <v>19.5</v>
      </c>
      <c r="K632" s="218">
        <v>409.5</v>
      </c>
      <c r="L632" s="225"/>
      <c r="M632" s="225">
        <v>1387</v>
      </c>
      <c r="N632" s="225">
        <f t="shared" si="34"/>
        <v>67.6</v>
      </c>
    </row>
    <row r="633" ht="15.2" spans="1:14">
      <c r="A633" s="219"/>
      <c r="B633" s="216"/>
      <c r="C633" s="217"/>
      <c r="D633" s="218"/>
      <c r="E633" s="220"/>
      <c r="F633" s="221"/>
      <c r="G633" s="223"/>
      <c r="H633" s="220"/>
      <c r="I633" s="224"/>
      <c r="J633" s="224"/>
      <c r="K633" s="220"/>
      <c r="L633" s="225"/>
      <c r="M633" s="225"/>
      <c r="N633" s="225"/>
    </row>
    <row r="634" ht="15.2" spans="1:14">
      <c r="A634" s="219">
        <v>44984</v>
      </c>
      <c r="B634" s="216" t="s">
        <v>34</v>
      </c>
      <c r="C634" s="217" t="s">
        <v>16</v>
      </c>
      <c r="D634" s="218">
        <v>1.6</v>
      </c>
      <c r="E634" s="218">
        <v>820</v>
      </c>
      <c r="F634" s="218">
        <v>299</v>
      </c>
      <c r="G634" s="223">
        <f t="shared" si="32"/>
        <v>50</v>
      </c>
      <c r="H634" s="220">
        <f t="shared" si="33"/>
        <v>656</v>
      </c>
      <c r="I634" s="224">
        <v>624.761904761905</v>
      </c>
      <c r="J634" s="224">
        <v>31.2380952380952</v>
      </c>
      <c r="K634" s="218">
        <v>656</v>
      </c>
      <c r="L634" s="225"/>
      <c r="M634" s="225"/>
      <c r="N634" s="225">
        <f t="shared" si="34"/>
        <v>177.6</v>
      </c>
    </row>
    <row r="635" ht="15.2" spans="1:14">
      <c r="A635" s="219">
        <v>44984</v>
      </c>
      <c r="B635" s="216" t="s">
        <v>34</v>
      </c>
      <c r="C635" s="217" t="s">
        <v>35</v>
      </c>
      <c r="D635" s="218">
        <v>1.6</v>
      </c>
      <c r="E635" s="218">
        <v>1310</v>
      </c>
      <c r="F635" s="218">
        <v>499</v>
      </c>
      <c r="G635" s="223">
        <f t="shared" si="32"/>
        <v>50</v>
      </c>
      <c r="H635" s="220">
        <f t="shared" si="33"/>
        <v>1048</v>
      </c>
      <c r="I635" s="224">
        <v>998.095238095238</v>
      </c>
      <c r="J635" s="224">
        <v>49.9047619047619</v>
      </c>
      <c r="K635" s="218">
        <v>1048</v>
      </c>
      <c r="L635" s="225"/>
      <c r="M635" s="225"/>
      <c r="N635" s="225">
        <f t="shared" si="34"/>
        <v>249.6</v>
      </c>
    </row>
    <row r="636" ht="15.2" spans="1:14">
      <c r="A636" s="219">
        <v>44984</v>
      </c>
      <c r="B636" s="216" t="s">
        <v>34</v>
      </c>
      <c r="C636" s="217" t="s">
        <v>36</v>
      </c>
      <c r="D636" s="218">
        <v>1.9</v>
      </c>
      <c r="E636" s="218">
        <v>4850</v>
      </c>
      <c r="F636" s="218">
        <v>1619.1</v>
      </c>
      <c r="G636" s="223">
        <f t="shared" si="32"/>
        <v>50</v>
      </c>
      <c r="H636" s="220">
        <f t="shared" si="33"/>
        <v>4607.5</v>
      </c>
      <c r="I636" s="224">
        <v>4388.09523809524</v>
      </c>
      <c r="J636" s="224">
        <v>219.404761904762</v>
      </c>
      <c r="K636" s="218">
        <v>4607.5</v>
      </c>
      <c r="L636" s="225"/>
      <c r="M636" s="225"/>
      <c r="N636" s="225">
        <f t="shared" si="34"/>
        <v>1531.21</v>
      </c>
    </row>
    <row r="637" ht="15.2" spans="1:14">
      <c r="A637" s="219">
        <v>44984</v>
      </c>
      <c r="B637" s="216" t="s">
        <v>34</v>
      </c>
      <c r="C637" s="217" t="s">
        <v>37</v>
      </c>
      <c r="D637" s="218">
        <v>1.3</v>
      </c>
      <c r="E637" s="218">
        <v>1580</v>
      </c>
      <c r="F637" s="218">
        <v>515</v>
      </c>
      <c r="G637" s="223">
        <f t="shared" si="32"/>
        <v>50</v>
      </c>
      <c r="H637" s="220">
        <f t="shared" si="33"/>
        <v>1027</v>
      </c>
      <c r="I637" s="224">
        <v>978.095238095238</v>
      </c>
      <c r="J637" s="224">
        <v>48.9047619047619</v>
      </c>
      <c r="K637" s="218">
        <v>1027</v>
      </c>
      <c r="L637" s="225">
        <v>0.5</v>
      </c>
      <c r="M637" s="225">
        <v>7339</v>
      </c>
      <c r="N637" s="225">
        <f t="shared" si="34"/>
        <v>357.5</v>
      </c>
    </row>
    <row r="638" ht="15.2" spans="1:14">
      <c r="A638" s="219"/>
      <c r="B638" s="216"/>
      <c r="C638" s="217"/>
      <c r="D638" s="218"/>
      <c r="E638" s="220"/>
      <c r="F638" s="221"/>
      <c r="G638" s="223"/>
      <c r="H638" s="220"/>
      <c r="I638" s="224"/>
      <c r="J638" s="224"/>
      <c r="K638" s="220"/>
      <c r="L638" s="225"/>
      <c r="M638" s="225"/>
      <c r="N638" s="225"/>
    </row>
    <row r="639" ht="15.2" spans="1:14">
      <c r="A639" s="219">
        <v>44984</v>
      </c>
      <c r="B639" s="216" t="s">
        <v>382</v>
      </c>
      <c r="C639" s="217">
        <v>8907290618926</v>
      </c>
      <c r="D639" s="218">
        <v>-1</v>
      </c>
      <c r="E639" s="218">
        <v>-2499</v>
      </c>
      <c r="F639" s="218">
        <v>1649.34</v>
      </c>
      <c r="G639" s="223">
        <f t="shared" si="32"/>
        <v>65</v>
      </c>
      <c r="H639" s="220">
        <f t="shared" si="33"/>
        <v>1624.35</v>
      </c>
      <c r="I639" s="224"/>
      <c r="J639" s="224"/>
      <c r="K639" s="220">
        <v>874.65</v>
      </c>
      <c r="L639" s="225"/>
      <c r="M639" s="225"/>
      <c r="N639" s="225">
        <f t="shared" si="34"/>
        <v>2523.99</v>
      </c>
    </row>
    <row r="640" ht="15.2" spans="1:14">
      <c r="A640" s="219">
        <v>44984</v>
      </c>
      <c r="B640" s="216" t="s">
        <v>382</v>
      </c>
      <c r="C640" s="217">
        <v>8904290618766</v>
      </c>
      <c r="D640" s="218">
        <v>-1</v>
      </c>
      <c r="E640" s="218">
        <v>-1999</v>
      </c>
      <c r="F640" s="218">
        <v>1319.34</v>
      </c>
      <c r="G640" s="223">
        <f t="shared" si="32"/>
        <v>65</v>
      </c>
      <c r="H640" s="220">
        <f t="shared" si="33"/>
        <v>1299.35</v>
      </c>
      <c r="I640" s="224"/>
      <c r="J640" s="224"/>
      <c r="K640" s="220">
        <v>699.65</v>
      </c>
      <c r="L640" s="225">
        <v>0.7</v>
      </c>
      <c r="M640" s="225">
        <v>1575</v>
      </c>
      <c r="N640" s="225">
        <f t="shared" si="34"/>
        <v>2018.99</v>
      </c>
    </row>
    <row r="641" ht="15.2" spans="1:14">
      <c r="A641" s="219"/>
      <c r="B641" s="216"/>
      <c r="C641" s="217"/>
      <c r="D641" s="218"/>
      <c r="E641" s="220"/>
      <c r="F641" s="221"/>
      <c r="G641" s="223"/>
      <c r="H641" s="220"/>
      <c r="I641" s="224"/>
      <c r="J641" s="224"/>
      <c r="K641" s="220"/>
      <c r="L641" s="225"/>
      <c r="M641" s="225"/>
      <c r="N641" s="225"/>
    </row>
    <row r="642" ht="15.2" spans="1:14">
      <c r="A642" s="219">
        <v>44984</v>
      </c>
      <c r="B642" s="216" t="s">
        <v>383</v>
      </c>
      <c r="C642" s="217">
        <v>510000000486</v>
      </c>
      <c r="D642" s="218">
        <v>1</v>
      </c>
      <c r="E642" s="218">
        <v>1999</v>
      </c>
      <c r="F642" s="218">
        <v>1319.34</v>
      </c>
      <c r="G642" s="223">
        <f t="shared" si="32"/>
        <v>65</v>
      </c>
      <c r="H642" s="220">
        <f t="shared" si="33"/>
        <v>1299.35</v>
      </c>
      <c r="I642" s="224"/>
      <c r="J642" s="224"/>
      <c r="K642" s="218">
        <v>699.65</v>
      </c>
      <c r="L642" s="225"/>
      <c r="M642" s="225"/>
      <c r="N642" s="225">
        <f t="shared" si="34"/>
        <v>-619.69</v>
      </c>
    </row>
    <row r="643" ht="15.2" spans="1:14">
      <c r="A643" s="219">
        <v>44984</v>
      </c>
      <c r="B643" s="216" t="s">
        <v>383</v>
      </c>
      <c r="C643" s="217">
        <v>8904290614621</v>
      </c>
      <c r="D643" s="218">
        <v>1</v>
      </c>
      <c r="E643" s="218">
        <v>2799</v>
      </c>
      <c r="F643" s="218">
        <v>1847.34</v>
      </c>
      <c r="G643" s="223">
        <f t="shared" si="32"/>
        <v>65</v>
      </c>
      <c r="H643" s="220">
        <f t="shared" si="33"/>
        <v>1819.35</v>
      </c>
      <c r="I643" s="224"/>
      <c r="J643" s="224"/>
      <c r="K643" s="218">
        <v>979.65</v>
      </c>
      <c r="L643" s="225">
        <v>0.7</v>
      </c>
      <c r="M643" s="225">
        <v>1680</v>
      </c>
      <c r="N643" s="225">
        <f t="shared" si="34"/>
        <v>-867.69</v>
      </c>
    </row>
    <row r="644" ht="15.2" spans="1:14">
      <c r="A644" s="219"/>
      <c r="B644" s="216"/>
      <c r="C644" s="217"/>
      <c r="D644" s="218"/>
      <c r="E644" s="220"/>
      <c r="F644" s="221"/>
      <c r="G644" s="223"/>
      <c r="H644" s="220"/>
      <c r="I644" s="224"/>
      <c r="J644" s="224"/>
      <c r="K644" s="220"/>
      <c r="L644" s="225"/>
      <c r="M644" s="225"/>
      <c r="N644" s="225"/>
    </row>
    <row r="645" ht="15.2" spans="1:14">
      <c r="A645" s="219">
        <v>44984</v>
      </c>
      <c r="B645" s="216" t="s">
        <v>38</v>
      </c>
      <c r="C645" s="217" t="s">
        <v>39</v>
      </c>
      <c r="D645" s="218">
        <v>1.55</v>
      </c>
      <c r="E645" s="218">
        <v>1780</v>
      </c>
      <c r="F645" s="218">
        <v>564</v>
      </c>
      <c r="G645" s="223">
        <f t="shared" si="32"/>
        <v>50</v>
      </c>
      <c r="H645" s="220">
        <f t="shared" si="33"/>
        <v>1379.5</v>
      </c>
      <c r="I645" s="224">
        <v>1313.80952380952</v>
      </c>
      <c r="J645" s="224">
        <v>65.6904761904762</v>
      </c>
      <c r="K645" s="218">
        <v>1379.5</v>
      </c>
      <c r="L645" s="225">
        <v>0.5</v>
      </c>
      <c r="M645" s="225">
        <v>1380</v>
      </c>
      <c r="N645" s="225">
        <f t="shared" si="34"/>
        <v>505.3</v>
      </c>
    </row>
    <row r="646" ht="15.2" spans="1:14">
      <c r="A646" s="219"/>
      <c r="B646" s="216"/>
      <c r="C646" s="217"/>
      <c r="D646" s="218"/>
      <c r="E646" s="220"/>
      <c r="F646" s="221"/>
      <c r="G646" s="223"/>
      <c r="H646" s="220"/>
      <c r="I646" s="224"/>
      <c r="J646" s="224"/>
      <c r="K646" s="220"/>
      <c r="L646" s="225"/>
      <c r="M646" s="225"/>
      <c r="N646" s="225"/>
    </row>
    <row r="647" ht="15.2" spans="1:14">
      <c r="A647" s="219">
        <v>44984</v>
      </c>
      <c r="B647" s="216" t="s">
        <v>384</v>
      </c>
      <c r="C647" s="217">
        <v>8904290614522</v>
      </c>
      <c r="D647" s="218">
        <v>1</v>
      </c>
      <c r="E647" s="218">
        <v>2799</v>
      </c>
      <c r="F647" s="218">
        <v>1847.34</v>
      </c>
      <c r="G647" s="223">
        <f t="shared" si="32"/>
        <v>65</v>
      </c>
      <c r="H647" s="220">
        <f t="shared" si="33"/>
        <v>1819.35</v>
      </c>
      <c r="I647" s="224"/>
      <c r="J647" s="224"/>
      <c r="K647" s="218">
        <v>979.65</v>
      </c>
      <c r="L647" s="225"/>
      <c r="M647" s="225"/>
      <c r="N647" s="225">
        <f t="shared" si="34"/>
        <v>-867.69</v>
      </c>
    </row>
    <row r="648" ht="15.2" spans="1:14">
      <c r="A648" s="219">
        <v>44984</v>
      </c>
      <c r="B648" s="216" t="s">
        <v>384</v>
      </c>
      <c r="C648" s="217">
        <v>8907538619747</v>
      </c>
      <c r="D648" s="218">
        <v>1</v>
      </c>
      <c r="E648" s="218">
        <v>1799</v>
      </c>
      <c r="F648" s="218">
        <v>1187.34</v>
      </c>
      <c r="G648" s="223">
        <f t="shared" si="32"/>
        <v>65</v>
      </c>
      <c r="H648" s="220">
        <f t="shared" si="33"/>
        <v>1169.35</v>
      </c>
      <c r="I648" s="224"/>
      <c r="J648" s="224"/>
      <c r="K648" s="218">
        <v>629.65</v>
      </c>
      <c r="L648" s="225"/>
      <c r="M648" s="225"/>
      <c r="N648" s="225">
        <f t="shared" si="34"/>
        <v>-557.69</v>
      </c>
    </row>
    <row r="649" ht="15.2" spans="1:14">
      <c r="A649" s="219">
        <v>44984</v>
      </c>
      <c r="B649" s="216" t="s">
        <v>384</v>
      </c>
      <c r="C649" s="217">
        <v>8907378962072</v>
      </c>
      <c r="D649" s="218">
        <v>1</v>
      </c>
      <c r="E649" s="218">
        <v>1999</v>
      </c>
      <c r="F649" s="218">
        <v>1319.34</v>
      </c>
      <c r="G649" s="223">
        <f t="shared" si="32"/>
        <v>65</v>
      </c>
      <c r="H649" s="220">
        <f t="shared" si="33"/>
        <v>1299.35</v>
      </c>
      <c r="I649" s="224"/>
      <c r="J649" s="224"/>
      <c r="K649" s="218">
        <v>699.65</v>
      </c>
      <c r="L649" s="225"/>
      <c r="M649" s="225"/>
      <c r="N649" s="225">
        <f t="shared" si="34"/>
        <v>-619.69</v>
      </c>
    </row>
    <row r="650" ht="15.2" spans="1:14">
      <c r="A650" s="219">
        <v>44984</v>
      </c>
      <c r="B650" s="216" t="s">
        <v>384</v>
      </c>
      <c r="C650" s="217">
        <v>8907538620309</v>
      </c>
      <c r="D650" s="218">
        <v>1</v>
      </c>
      <c r="E650" s="218">
        <v>1799</v>
      </c>
      <c r="F650" s="218">
        <v>1187.34</v>
      </c>
      <c r="G650" s="223">
        <f t="shared" si="32"/>
        <v>65</v>
      </c>
      <c r="H650" s="220">
        <f t="shared" si="33"/>
        <v>1169.35</v>
      </c>
      <c r="I650" s="224"/>
      <c r="J650" s="224"/>
      <c r="K650" s="218">
        <v>629.65</v>
      </c>
      <c r="L650" s="225">
        <v>0.4</v>
      </c>
      <c r="M650" s="225">
        <v>2939</v>
      </c>
      <c r="N650" s="225">
        <f t="shared" si="34"/>
        <v>-557.69</v>
      </c>
    </row>
    <row r="651" ht="15.2" spans="1:14">
      <c r="A651" s="219"/>
      <c r="B651" s="216"/>
      <c r="C651" s="217"/>
      <c r="D651" s="218"/>
      <c r="E651" s="220"/>
      <c r="F651" s="221"/>
      <c r="G651" s="223"/>
      <c r="H651" s="220"/>
      <c r="I651" s="224"/>
      <c r="J651" s="224"/>
      <c r="K651" s="220"/>
      <c r="L651" s="225"/>
      <c r="M651" s="225"/>
      <c r="N651" s="225"/>
    </row>
    <row r="652" ht="15.2" spans="1:14">
      <c r="A652" s="219">
        <v>44984</v>
      </c>
      <c r="B652" s="216" t="s">
        <v>385</v>
      </c>
      <c r="C652" s="217">
        <v>8907686950426</v>
      </c>
      <c r="D652" s="218">
        <v>1</v>
      </c>
      <c r="E652" s="218">
        <v>2199</v>
      </c>
      <c r="F652" s="218">
        <v>1451.34</v>
      </c>
      <c r="G652" s="223">
        <f t="shared" si="32"/>
        <v>65</v>
      </c>
      <c r="H652" s="220">
        <f t="shared" si="33"/>
        <v>1429.35</v>
      </c>
      <c r="I652" s="224"/>
      <c r="J652" s="224"/>
      <c r="K652" s="218">
        <v>769.65</v>
      </c>
      <c r="L652" s="225"/>
      <c r="M652" s="225"/>
      <c r="N652" s="225">
        <f t="shared" si="34"/>
        <v>-681.69</v>
      </c>
    </row>
    <row r="653" ht="15.2" spans="1:14">
      <c r="A653" s="219">
        <v>44984</v>
      </c>
      <c r="B653" s="216" t="s">
        <v>385</v>
      </c>
      <c r="C653" s="217">
        <v>8907259947846</v>
      </c>
      <c r="D653" s="218">
        <v>1</v>
      </c>
      <c r="E653" s="218">
        <v>1799</v>
      </c>
      <c r="F653" s="218">
        <v>1187.34</v>
      </c>
      <c r="G653" s="223">
        <f t="shared" si="32"/>
        <v>65</v>
      </c>
      <c r="H653" s="220">
        <f t="shared" si="33"/>
        <v>1169.35</v>
      </c>
      <c r="I653" s="224"/>
      <c r="J653" s="224"/>
      <c r="K653" s="218">
        <v>629.65</v>
      </c>
      <c r="L653" s="225">
        <v>0.7</v>
      </c>
      <c r="M653" s="225">
        <v>1400</v>
      </c>
      <c r="N653" s="225">
        <f t="shared" si="34"/>
        <v>-557.69</v>
      </c>
    </row>
    <row r="654" ht="15.2" spans="1:14">
      <c r="A654" s="219"/>
      <c r="B654" s="216"/>
      <c r="C654" s="217"/>
      <c r="D654" s="218"/>
      <c r="E654" s="220"/>
      <c r="F654" s="221"/>
      <c r="G654" s="223"/>
      <c r="H654" s="220"/>
      <c r="I654" s="224"/>
      <c r="J654" s="224"/>
      <c r="K654" s="220"/>
      <c r="L654" s="225"/>
      <c r="M654" s="225"/>
      <c r="N654" s="225"/>
    </row>
    <row r="655" ht="15.2" spans="1:14">
      <c r="A655" s="219">
        <v>44985</v>
      </c>
      <c r="B655" s="216" t="s">
        <v>40</v>
      </c>
      <c r="C655" s="217" t="s">
        <v>41</v>
      </c>
      <c r="D655" s="218">
        <v>2.2</v>
      </c>
      <c r="E655" s="218">
        <v>1110</v>
      </c>
      <c r="F655" s="218">
        <v>340</v>
      </c>
      <c r="G655" s="223">
        <f t="shared" si="32"/>
        <v>50</v>
      </c>
      <c r="H655" s="220">
        <f t="shared" si="33"/>
        <v>1221</v>
      </c>
      <c r="I655" s="224">
        <v>1162.85714285714</v>
      </c>
      <c r="J655" s="224">
        <v>58.1428571428571</v>
      </c>
      <c r="K655" s="220">
        <v>1221</v>
      </c>
      <c r="L655" s="225"/>
      <c r="M655" s="225">
        <v>1221</v>
      </c>
      <c r="N655" s="225">
        <f t="shared" si="34"/>
        <v>473</v>
      </c>
    </row>
    <row r="656" ht="15.2" spans="1:14">
      <c r="A656" s="219"/>
      <c r="B656" s="216"/>
      <c r="C656" s="217"/>
      <c r="D656" s="218"/>
      <c r="E656" s="220"/>
      <c r="F656" s="221"/>
      <c r="G656" s="223"/>
      <c r="H656" s="220"/>
      <c r="I656" s="224"/>
      <c r="J656" s="224"/>
      <c r="K656" s="220"/>
      <c r="L656" s="225"/>
      <c r="M656" s="225"/>
      <c r="N656" s="225"/>
    </row>
    <row r="657" ht="15.2" spans="1:14">
      <c r="A657" s="219">
        <v>44985</v>
      </c>
      <c r="B657" s="216" t="s">
        <v>386</v>
      </c>
      <c r="C657" s="217">
        <v>8907538732774</v>
      </c>
      <c r="D657" s="218">
        <v>1</v>
      </c>
      <c r="E657" s="220">
        <v>2499</v>
      </c>
      <c r="F657" s="218">
        <v>1517.25</v>
      </c>
      <c r="G657" s="223">
        <f t="shared" ref="G657:G720" si="35">(H657*100)/(E657*D657)</f>
        <v>65</v>
      </c>
      <c r="H657" s="220">
        <f t="shared" ref="H657:H720" si="36">D657*E657-K657</f>
        <v>1624.35</v>
      </c>
      <c r="I657" s="224"/>
      <c r="J657" s="224"/>
      <c r="K657" s="220">
        <v>874.65</v>
      </c>
      <c r="L657" s="225"/>
      <c r="M657" s="225"/>
      <c r="N657" s="225">
        <f t="shared" si="34"/>
        <v>-642.6</v>
      </c>
    </row>
    <row r="658" ht="15.2" spans="1:14">
      <c r="A658" s="219">
        <v>44985</v>
      </c>
      <c r="B658" s="216" t="s">
        <v>386</v>
      </c>
      <c r="C658" s="217">
        <v>8907686438603</v>
      </c>
      <c r="D658" s="218">
        <v>1</v>
      </c>
      <c r="E658" s="220">
        <v>2499</v>
      </c>
      <c r="F658" s="218">
        <v>1517.25</v>
      </c>
      <c r="G658" s="223">
        <f t="shared" si="35"/>
        <v>65</v>
      </c>
      <c r="H658" s="220">
        <f t="shared" si="36"/>
        <v>1624.35</v>
      </c>
      <c r="I658" s="224"/>
      <c r="J658" s="224"/>
      <c r="K658" s="220">
        <v>874.65</v>
      </c>
      <c r="L658" s="225"/>
      <c r="M658" s="225"/>
      <c r="N658" s="225">
        <f t="shared" si="34"/>
        <v>-642.6</v>
      </c>
    </row>
    <row r="659" ht="15.2" spans="1:14">
      <c r="A659" s="219">
        <v>44985</v>
      </c>
      <c r="B659" s="216" t="s">
        <v>386</v>
      </c>
      <c r="C659" s="217">
        <v>8907259937687</v>
      </c>
      <c r="D659" s="218">
        <v>1</v>
      </c>
      <c r="E659" s="220">
        <v>2199</v>
      </c>
      <c r="F659" s="218">
        <v>1451.34</v>
      </c>
      <c r="G659" s="223">
        <f t="shared" si="35"/>
        <v>65</v>
      </c>
      <c r="H659" s="220">
        <f t="shared" si="36"/>
        <v>1429.35</v>
      </c>
      <c r="I659" s="224"/>
      <c r="J659" s="224"/>
      <c r="K659" s="220">
        <v>769.65</v>
      </c>
      <c r="L659" s="225"/>
      <c r="M659" s="225"/>
      <c r="N659" s="225">
        <f t="shared" si="34"/>
        <v>-681.69</v>
      </c>
    </row>
    <row r="660" ht="15.2" spans="1:14">
      <c r="A660" s="219">
        <v>44985</v>
      </c>
      <c r="B660" s="216" t="s">
        <v>386</v>
      </c>
      <c r="C660" s="217">
        <v>8907797002465</v>
      </c>
      <c r="D660" s="218">
        <v>4</v>
      </c>
      <c r="E660" s="220">
        <v>289</v>
      </c>
      <c r="F660" s="218">
        <v>190.74</v>
      </c>
      <c r="G660" s="223">
        <f t="shared" si="35"/>
        <v>20</v>
      </c>
      <c r="H660" s="220">
        <f t="shared" si="36"/>
        <v>231.2</v>
      </c>
      <c r="I660" s="224"/>
      <c r="J660" s="224"/>
      <c r="K660" s="220">
        <v>924.8</v>
      </c>
      <c r="L660" s="225">
        <v>0.25</v>
      </c>
      <c r="M660" s="225">
        <v>3444</v>
      </c>
      <c r="N660" s="225">
        <f t="shared" si="34"/>
        <v>161.84</v>
      </c>
    </row>
    <row r="661" ht="15.2" spans="1:14">
      <c r="A661" s="219"/>
      <c r="B661" s="216"/>
      <c r="C661" s="217"/>
      <c r="D661" s="218"/>
      <c r="E661" s="220"/>
      <c r="F661" s="218"/>
      <c r="G661" s="223"/>
      <c r="H661" s="220"/>
      <c r="I661" s="224"/>
      <c r="J661" s="224"/>
      <c r="K661" s="220"/>
      <c r="L661" s="225"/>
      <c r="M661" s="225"/>
      <c r="N661" s="225"/>
    </row>
    <row r="662" ht="15.2" spans="1:14">
      <c r="A662" s="219">
        <v>44985</v>
      </c>
      <c r="B662" s="216" t="s">
        <v>62</v>
      </c>
      <c r="C662" s="217" t="s">
        <v>63</v>
      </c>
      <c r="D662" s="218">
        <v>3.25</v>
      </c>
      <c r="E662" s="220">
        <v>2431</v>
      </c>
      <c r="F662" s="218">
        <v>820</v>
      </c>
      <c r="G662" s="223">
        <f t="shared" si="35"/>
        <v>49.9999367148688</v>
      </c>
      <c r="H662" s="220">
        <f t="shared" si="36"/>
        <v>3950.37</v>
      </c>
      <c r="I662" s="224">
        <v>3762.26666666667</v>
      </c>
      <c r="J662" s="224">
        <v>188.113333333333</v>
      </c>
      <c r="K662" s="220">
        <v>3950.38</v>
      </c>
      <c r="L662" s="225">
        <v>-0.38</v>
      </c>
      <c r="M662" s="225">
        <v>3950</v>
      </c>
      <c r="N662" s="225">
        <f t="shared" ref="N662:N674" si="37">K662-(D662*F662)</f>
        <v>1285.38</v>
      </c>
    </row>
    <row r="663" ht="15.2" spans="1:14">
      <c r="A663" s="219"/>
      <c r="B663" s="216"/>
      <c r="C663" s="217"/>
      <c r="D663" s="218"/>
      <c r="E663" s="220"/>
      <c r="F663" s="218"/>
      <c r="G663" s="223"/>
      <c r="H663" s="220"/>
      <c r="I663" s="224"/>
      <c r="J663" s="224"/>
      <c r="K663" s="220"/>
      <c r="L663" s="225"/>
      <c r="M663" s="225"/>
      <c r="N663" s="225"/>
    </row>
    <row r="664" ht="15.2" spans="1:14">
      <c r="A664" s="219">
        <v>44985</v>
      </c>
      <c r="B664" s="216" t="s">
        <v>387</v>
      </c>
      <c r="C664" s="217">
        <v>8907686349923</v>
      </c>
      <c r="D664" s="218">
        <v>1</v>
      </c>
      <c r="E664" s="220">
        <v>449</v>
      </c>
      <c r="F664" s="218">
        <v>290.78</v>
      </c>
      <c r="G664" s="223">
        <f t="shared" si="35"/>
        <v>50</v>
      </c>
      <c r="H664" s="220">
        <f t="shared" si="36"/>
        <v>224.5</v>
      </c>
      <c r="I664" s="224"/>
      <c r="J664" s="224"/>
      <c r="K664" s="220">
        <v>224.5</v>
      </c>
      <c r="L664" s="225"/>
      <c r="M664" s="225"/>
      <c r="N664" s="225">
        <f t="shared" si="37"/>
        <v>-66.28</v>
      </c>
    </row>
    <row r="665" ht="15.2" spans="1:14">
      <c r="A665" s="219">
        <v>44985</v>
      </c>
      <c r="B665" s="216" t="s">
        <v>387</v>
      </c>
      <c r="C665" s="217">
        <v>8907378981650</v>
      </c>
      <c r="D665" s="218">
        <v>1</v>
      </c>
      <c r="E665" s="220">
        <v>449</v>
      </c>
      <c r="F665" s="218">
        <v>290.78</v>
      </c>
      <c r="G665" s="223">
        <f t="shared" si="35"/>
        <v>50</v>
      </c>
      <c r="H665" s="220">
        <f t="shared" si="36"/>
        <v>224.5</v>
      </c>
      <c r="I665" s="224"/>
      <c r="J665" s="224"/>
      <c r="K665" s="220">
        <v>224.5</v>
      </c>
      <c r="L665" s="225"/>
      <c r="M665" s="225">
        <v>449</v>
      </c>
      <c r="N665" s="225">
        <f t="shared" si="37"/>
        <v>-66.28</v>
      </c>
    </row>
    <row r="666" ht="15.2" spans="1:14">
      <c r="A666" s="219"/>
      <c r="B666" s="216"/>
      <c r="C666" s="217"/>
      <c r="D666" s="218"/>
      <c r="E666" s="220"/>
      <c r="F666" s="218"/>
      <c r="G666" s="223"/>
      <c r="H666" s="220"/>
      <c r="I666" s="224"/>
      <c r="J666" s="224"/>
      <c r="K666" s="220"/>
      <c r="L666" s="225"/>
      <c r="M666" s="225"/>
      <c r="N666" s="225"/>
    </row>
    <row r="667" ht="15.2" spans="1:14">
      <c r="A667" s="219">
        <v>44985</v>
      </c>
      <c r="B667" s="216" t="s">
        <v>64</v>
      </c>
      <c r="C667" s="217" t="s">
        <v>65</v>
      </c>
      <c r="D667" s="218">
        <v>1.6</v>
      </c>
      <c r="E667" s="220">
        <v>1460</v>
      </c>
      <c r="F667" s="218">
        <v>525</v>
      </c>
      <c r="G667" s="223">
        <f t="shared" si="35"/>
        <v>50</v>
      </c>
      <c r="H667" s="220">
        <f t="shared" si="36"/>
        <v>1168</v>
      </c>
      <c r="I667" s="224">
        <v>1112.38095238095</v>
      </c>
      <c r="J667" s="224">
        <v>55.6190476190476</v>
      </c>
      <c r="K667" s="220">
        <v>1168</v>
      </c>
      <c r="L667" s="225"/>
      <c r="M667" s="225"/>
      <c r="N667" s="225">
        <f t="shared" si="37"/>
        <v>328</v>
      </c>
    </row>
    <row r="668" ht="15.2" spans="1:14">
      <c r="A668" s="219">
        <v>44985</v>
      </c>
      <c r="B668" s="216" t="s">
        <v>64</v>
      </c>
      <c r="C668" s="217" t="s">
        <v>66</v>
      </c>
      <c r="D668" s="218">
        <v>1.6</v>
      </c>
      <c r="E668" s="220">
        <v>1460</v>
      </c>
      <c r="F668" s="218">
        <v>525</v>
      </c>
      <c r="G668" s="223">
        <f t="shared" si="35"/>
        <v>50</v>
      </c>
      <c r="H668" s="220">
        <f t="shared" si="36"/>
        <v>1168</v>
      </c>
      <c r="I668" s="224">
        <v>1112.38095238095</v>
      </c>
      <c r="J668" s="224">
        <v>55.6190476190476</v>
      </c>
      <c r="K668" s="220">
        <v>1168</v>
      </c>
      <c r="L668" s="225"/>
      <c r="M668" s="225">
        <v>2336</v>
      </c>
      <c r="N668" s="225">
        <f t="shared" si="37"/>
        <v>328</v>
      </c>
    </row>
    <row r="669" ht="15.2" spans="1:14">
      <c r="A669" s="219"/>
      <c r="B669" s="216"/>
      <c r="C669" s="217"/>
      <c r="D669" s="218"/>
      <c r="E669" s="220"/>
      <c r="F669" s="218"/>
      <c r="G669" s="223"/>
      <c r="H669" s="220"/>
      <c r="I669" s="224"/>
      <c r="J669" s="224"/>
      <c r="K669" s="220"/>
      <c r="L669" s="225"/>
      <c r="M669" s="225"/>
      <c r="N669" s="225"/>
    </row>
    <row r="670" ht="15.2" spans="1:14">
      <c r="A670" s="219">
        <v>44985</v>
      </c>
      <c r="B670" s="216" t="s">
        <v>67</v>
      </c>
      <c r="C670" s="217" t="s">
        <v>68</v>
      </c>
      <c r="D670" s="218">
        <v>1.2</v>
      </c>
      <c r="E670" s="220">
        <v>2370</v>
      </c>
      <c r="F670" s="218">
        <v>769</v>
      </c>
      <c r="G670" s="223">
        <f t="shared" si="35"/>
        <v>50</v>
      </c>
      <c r="H670" s="220">
        <f t="shared" si="36"/>
        <v>1422</v>
      </c>
      <c r="I670" s="224">
        <v>1354.28571428571</v>
      </c>
      <c r="J670" s="224">
        <v>67.7142857142857</v>
      </c>
      <c r="K670" s="220">
        <v>1422</v>
      </c>
      <c r="L670" s="225"/>
      <c r="M670" s="225"/>
      <c r="N670" s="225">
        <f t="shared" si="37"/>
        <v>499.2</v>
      </c>
    </row>
    <row r="671" ht="15.2" spans="1:14">
      <c r="A671" s="219">
        <v>44985</v>
      </c>
      <c r="B671" s="216" t="s">
        <v>67</v>
      </c>
      <c r="C671" s="217" t="s">
        <v>65</v>
      </c>
      <c r="D671" s="218">
        <v>1.4</v>
      </c>
      <c r="E671" s="220">
        <v>1460</v>
      </c>
      <c r="F671" s="218">
        <v>525</v>
      </c>
      <c r="G671" s="223">
        <f t="shared" si="35"/>
        <v>50</v>
      </c>
      <c r="H671" s="220">
        <f t="shared" si="36"/>
        <v>1022</v>
      </c>
      <c r="I671" s="224">
        <v>973.333333333333</v>
      </c>
      <c r="J671" s="224">
        <v>48.6666666666667</v>
      </c>
      <c r="K671" s="220">
        <v>1022</v>
      </c>
      <c r="L671" s="225"/>
      <c r="M671" s="225"/>
      <c r="N671" s="225">
        <f t="shared" si="37"/>
        <v>287</v>
      </c>
    </row>
    <row r="672" ht="15.2" spans="1:14">
      <c r="A672" s="219">
        <v>44985</v>
      </c>
      <c r="B672" s="216" t="s">
        <v>67</v>
      </c>
      <c r="C672" s="217" t="s">
        <v>69</v>
      </c>
      <c r="D672" s="218">
        <v>1.35</v>
      </c>
      <c r="E672" s="220">
        <v>1660</v>
      </c>
      <c r="F672" s="218">
        <v>497</v>
      </c>
      <c r="G672" s="223">
        <f t="shared" si="35"/>
        <v>50</v>
      </c>
      <c r="H672" s="220">
        <f t="shared" si="36"/>
        <v>1120.5</v>
      </c>
      <c r="I672" s="224">
        <v>1067.14285714286</v>
      </c>
      <c r="J672" s="224">
        <v>53.3571428571429</v>
      </c>
      <c r="K672" s="220">
        <v>1120.5</v>
      </c>
      <c r="L672" s="225">
        <v>0.5</v>
      </c>
      <c r="M672" s="225">
        <v>3565</v>
      </c>
      <c r="N672" s="225">
        <f t="shared" si="37"/>
        <v>449.55</v>
      </c>
    </row>
    <row r="673" ht="15.2" spans="1:14">
      <c r="A673" s="219"/>
      <c r="B673" s="216"/>
      <c r="C673" s="217"/>
      <c r="D673" s="218"/>
      <c r="E673" s="220"/>
      <c r="F673" s="218"/>
      <c r="G673" s="223"/>
      <c r="H673" s="220"/>
      <c r="I673" s="224"/>
      <c r="J673" s="224"/>
      <c r="K673" s="220"/>
      <c r="L673" s="225"/>
      <c r="M673" s="225"/>
      <c r="N673" s="225"/>
    </row>
    <row r="674" ht="15.2" spans="1:14">
      <c r="A674" s="219">
        <v>44985</v>
      </c>
      <c r="B674" s="216" t="s">
        <v>388</v>
      </c>
      <c r="C674" s="217">
        <v>8907036564587</v>
      </c>
      <c r="D674" s="218">
        <v>1</v>
      </c>
      <c r="E674" s="220">
        <v>1399</v>
      </c>
      <c r="F674" s="218">
        <v>908.83</v>
      </c>
      <c r="G674" s="223">
        <f t="shared" si="35"/>
        <v>65</v>
      </c>
      <c r="H674" s="220">
        <f t="shared" si="36"/>
        <v>909.35</v>
      </c>
      <c r="I674" s="224"/>
      <c r="J674" s="224"/>
      <c r="K674" s="220">
        <v>489.65</v>
      </c>
      <c r="L674" s="225">
        <v>0.35</v>
      </c>
      <c r="M674" s="225">
        <v>490</v>
      </c>
      <c r="N674" s="225">
        <f t="shared" si="37"/>
        <v>-419.18</v>
      </c>
    </row>
    <row r="675" ht="15.2" spans="1:14">
      <c r="A675" s="219"/>
      <c r="B675" s="216"/>
      <c r="C675" s="217"/>
      <c r="D675" s="218"/>
      <c r="E675" s="220"/>
      <c r="F675" s="221"/>
      <c r="G675" s="223"/>
      <c r="H675" s="220"/>
      <c r="I675" s="224"/>
      <c r="J675" s="224"/>
      <c r="K675" s="220"/>
      <c r="L675" s="225"/>
      <c r="M675" s="225"/>
      <c r="N675" s="225"/>
    </row>
    <row r="676" ht="15.2" spans="1:14">
      <c r="A676" s="219">
        <v>44987</v>
      </c>
      <c r="B676" s="216" t="s">
        <v>389</v>
      </c>
      <c r="C676" s="217">
        <v>8907259517230</v>
      </c>
      <c r="D676" s="218">
        <v>1</v>
      </c>
      <c r="E676" s="220">
        <v>1899</v>
      </c>
      <c r="F676" s="221">
        <v>1152.96</v>
      </c>
      <c r="G676" s="223">
        <f t="shared" si="35"/>
        <v>65</v>
      </c>
      <c r="H676" s="220">
        <f t="shared" si="36"/>
        <v>1234.35</v>
      </c>
      <c r="I676" s="224"/>
      <c r="J676" s="224"/>
      <c r="K676" s="220">
        <v>664.65</v>
      </c>
      <c r="L676" s="225">
        <v>0.35</v>
      </c>
      <c r="M676" s="225">
        <v>665</v>
      </c>
      <c r="N676" s="225">
        <v>665</v>
      </c>
    </row>
    <row r="677" ht="15.2" spans="1:14">
      <c r="A677" s="219"/>
      <c r="B677" s="216"/>
      <c r="C677" s="217"/>
      <c r="D677" s="218"/>
      <c r="E677" s="220"/>
      <c r="F677" s="221"/>
      <c r="G677" s="223"/>
      <c r="H677" s="220"/>
      <c r="I677" s="224"/>
      <c r="J677" s="224"/>
      <c r="K677" s="220"/>
      <c r="L677" s="225"/>
      <c r="M677" s="225"/>
      <c r="N677" s="225"/>
    </row>
    <row r="678" ht="15.2" spans="1:14">
      <c r="A678" s="219">
        <v>44987</v>
      </c>
      <c r="B678" s="216" t="s">
        <v>390</v>
      </c>
      <c r="C678" s="217">
        <v>8907686417134</v>
      </c>
      <c r="D678" s="218">
        <v>1</v>
      </c>
      <c r="E678" s="220">
        <v>2499</v>
      </c>
      <c r="F678" s="221">
        <v>1517.25</v>
      </c>
      <c r="G678" s="223">
        <f t="shared" si="35"/>
        <v>65</v>
      </c>
      <c r="H678" s="220">
        <f t="shared" si="36"/>
        <v>1624.35</v>
      </c>
      <c r="I678" s="224"/>
      <c r="J678" s="224"/>
      <c r="K678" s="220">
        <v>874.65</v>
      </c>
      <c r="L678" s="225"/>
      <c r="M678" s="225"/>
      <c r="N678" s="225"/>
    </row>
    <row r="679" ht="15.2" spans="1:14">
      <c r="A679" s="219">
        <v>44987</v>
      </c>
      <c r="B679" s="216" t="s">
        <v>390</v>
      </c>
      <c r="C679" s="217">
        <v>8904290615956</v>
      </c>
      <c r="D679" s="218">
        <v>1</v>
      </c>
      <c r="E679" s="220">
        <v>2299</v>
      </c>
      <c r="F679" s="221">
        <v>1354.77</v>
      </c>
      <c r="G679" s="223">
        <f t="shared" si="35"/>
        <v>65</v>
      </c>
      <c r="H679" s="220">
        <f t="shared" si="36"/>
        <v>1494.35</v>
      </c>
      <c r="I679" s="224"/>
      <c r="J679" s="224"/>
      <c r="K679" s="220">
        <v>804.65</v>
      </c>
      <c r="L679" s="225">
        <v>0.7</v>
      </c>
      <c r="M679" s="225">
        <v>1680</v>
      </c>
      <c r="N679" s="225"/>
    </row>
    <row r="680" ht="15.2" spans="1:14">
      <c r="A680" s="219"/>
      <c r="B680" s="216"/>
      <c r="C680" s="217"/>
      <c r="D680" s="218"/>
      <c r="E680" s="220"/>
      <c r="F680" s="221"/>
      <c r="G680" s="223"/>
      <c r="H680" s="220"/>
      <c r="I680" s="224"/>
      <c r="J680" s="224"/>
      <c r="K680" s="220"/>
      <c r="L680" s="225"/>
      <c r="M680" s="225"/>
      <c r="N680" s="225"/>
    </row>
    <row r="681" ht="15.2" spans="1:14">
      <c r="A681" s="219">
        <v>44987</v>
      </c>
      <c r="B681" s="216" t="s">
        <v>70</v>
      </c>
      <c r="C681" s="217" t="s">
        <v>71</v>
      </c>
      <c r="D681" s="218">
        <v>1.3</v>
      </c>
      <c r="E681" s="220">
        <v>1545.99</v>
      </c>
      <c r="F681" s="221">
        <v>589</v>
      </c>
      <c r="G681" s="223">
        <f t="shared" si="35"/>
        <v>49.9996765826428</v>
      </c>
      <c r="H681" s="220">
        <f t="shared" si="36"/>
        <v>1004.887</v>
      </c>
      <c r="I681" s="224">
        <v>957.047619047619</v>
      </c>
      <c r="J681" s="224">
        <v>47.852380952381</v>
      </c>
      <c r="K681" s="220">
        <v>1004.9</v>
      </c>
      <c r="L681" s="225">
        <v>0.1</v>
      </c>
      <c r="M681" s="225">
        <v>1005</v>
      </c>
      <c r="N681" s="225"/>
    </row>
    <row r="682" ht="15.2" spans="1:14">
      <c r="A682" s="219"/>
      <c r="B682" s="216"/>
      <c r="C682" s="217"/>
      <c r="D682" s="218"/>
      <c r="E682" s="220"/>
      <c r="F682" s="221"/>
      <c r="G682" s="223"/>
      <c r="H682" s="220"/>
      <c r="I682" s="224"/>
      <c r="J682" s="224"/>
      <c r="K682" s="220"/>
      <c r="L682" s="225"/>
      <c r="M682" s="225"/>
      <c r="N682" s="225"/>
    </row>
    <row r="683" ht="15.2" spans="1:14">
      <c r="A683" s="219">
        <v>44987</v>
      </c>
      <c r="B683" s="216" t="s">
        <v>72</v>
      </c>
      <c r="C683" s="217" t="s">
        <v>73</v>
      </c>
      <c r="D683" s="218">
        <v>2.25</v>
      </c>
      <c r="E683" s="220">
        <v>7280</v>
      </c>
      <c r="F683" s="221">
        <v>2624.11</v>
      </c>
      <c r="G683" s="223">
        <f t="shared" si="35"/>
        <v>50</v>
      </c>
      <c r="H683" s="220">
        <f t="shared" si="36"/>
        <v>8190</v>
      </c>
      <c r="I683" s="224">
        <v>7800</v>
      </c>
      <c r="J683" s="224">
        <v>390</v>
      </c>
      <c r="K683" s="220">
        <v>8190</v>
      </c>
      <c r="L683" s="225"/>
      <c r="M683" s="225"/>
      <c r="N683" s="225"/>
    </row>
    <row r="684" ht="15.2" spans="1:14">
      <c r="A684" s="219">
        <v>44987</v>
      </c>
      <c r="B684" s="216" t="s">
        <v>72</v>
      </c>
      <c r="C684" s="217" t="s">
        <v>74</v>
      </c>
      <c r="D684" s="218">
        <v>2.25</v>
      </c>
      <c r="E684" s="220">
        <v>7280</v>
      </c>
      <c r="F684" s="221">
        <v>2624.1</v>
      </c>
      <c r="G684" s="223">
        <f t="shared" si="35"/>
        <v>50</v>
      </c>
      <c r="H684" s="220">
        <f t="shared" si="36"/>
        <v>8190</v>
      </c>
      <c r="I684" s="224">
        <v>7800</v>
      </c>
      <c r="J684" s="224">
        <v>390</v>
      </c>
      <c r="K684" s="220">
        <v>8190</v>
      </c>
      <c r="L684" s="225"/>
      <c r="M684" s="225">
        <v>16380</v>
      </c>
      <c r="N684" s="225"/>
    </row>
    <row r="685" ht="15.2" spans="1:14">
      <c r="A685" s="219"/>
      <c r="B685" s="216"/>
      <c r="C685" s="217"/>
      <c r="D685" s="218"/>
      <c r="E685" s="220"/>
      <c r="F685" s="221"/>
      <c r="G685" s="223"/>
      <c r="H685" s="220"/>
      <c r="I685" s="224"/>
      <c r="J685" s="224"/>
      <c r="K685" s="220"/>
      <c r="L685" s="225"/>
      <c r="M685" s="225"/>
      <c r="N685" s="225"/>
    </row>
    <row r="686" ht="15.2" spans="1:14">
      <c r="A686" s="219">
        <v>44987</v>
      </c>
      <c r="B686" s="216" t="s">
        <v>75</v>
      </c>
      <c r="C686" s="217" t="s">
        <v>65</v>
      </c>
      <c r="D686" s="218">
        <v>1.8</v>
      </c>
      <c r="E686" s="220">
        <v>1460</v>
      </c>
      <c r="F686" s="221">
        <v>525</v>
      </c>
      <c r="G686" s="223">
        <f t="shared" si="35"/>
        <v>50</v>
      </c>
      <c r="H686" s="220">
        <f t="shared" si="36"/>
        <v>1314</v>
      </c>
      <c r="I686" s="224">
        <v>1251.42857142857</v>
      </c>
      <c r="J686" s="224">
        <v>62.5714285714286</v>
      </c>
      <c r="K686" s="220">
        <v>1314</v>
      </c>
      <c r="L686" s="225"/>
      <c r="M686" s="225">
        <v>1314</v>
      </c>
      <c r="N686" s="225"/>
    </row>
    <row r="687" ht="15.2" spans="1:14">
      <c r="A687" s="219"/>
      <c r="B687" s="216"/>
      <c r="C687" s="217"/>
      <c r="D687" s="218"/>
      <c r="E687" s="220"/>
      <c r="F687" s="221"/>
      <c r="G687" s="223"/>
      <c r="H687" s="220"/>
      <c r="I687" s="224"/>
      <c r="J687" s="224"/>
      <c r="K687" s="220"/>
      <c r="L687" s="225"/>
      <c r="M687" s="225"/>
      <c r="N687" s="225"/>
    </row>
    <row r="688" ht="15.2" spans="1:14">
      <c r="A688" s="219">
        <v>44987</v>
      </c>
      <c r="B688" s="216" t="s">
        <v>391</v>
      </c>
      <c r="C688" s="217">
        <v>8907538571670</v>
      </c>
      <c r="D688" s="218">
        <v>1</v>
      </c>
      <c r="E688" s="220">
        <v>1999</v>
      </c>
      <c r="F688" s="221">
        <v>1213.68</v>
      </c>
      <c r="G688" s="223">
        <f t="shared" si="35"/>
        <v>65</v>
      </c>
      <c r="H688" s="220">
        <f t="shared" si="36"/>
        <v>1299.35</v>
      </c>
      <c r="I688" s="224"/>
      <c r="J688" s="224"/>
      <c r="K688" s="220">
        <v>699.65</v>
      </c>
      <c r="L688" s="225">
        <v>0.35</v>
      </c>
      <c r="M688" s="225">
        <v>700</v>
      </c>
      <c r="N688" s="225"/>
    </row>
    <row r="689" ht="15.2" spans="1:14">
      <c r="A689" s="219"/>
      <c r="B689" s="216"/>
      <c r="C689" s="217"/>
      <c r="D689" s="218"/>
      <c r="E689" s="220"/>
      <c r="F689" s="221"/>
      <c r="G689" s="223"/>
      <c r="H689" s="220"/>
      <c r="I689" s="224"/>
      <c r="J689" s="224"/>
      <c r="K689" s="220"/>
      <c r="L689" s="225"/>
      <c r="M689" s="225"/>
      <c r="N689" s="225"/>
    </row>
    <row r="690" ht="15.2" spans="1:14">
      <c r="A690" s="219">
        <v>44987</v>
      </c>
      <c r="B690" s="216" t="s">
        <v>76</v>
      </c>
      <c r="C690" s="217" t="s">
        <v>41</v>
      </c>
      <c r="D690" s="218">
        <v>1.6</v>
      </c>
      <c r="E690" s="220">
        <v>1110</v>
      </c>
      <c r="F690" s="221">
        <v>340</v>
      </c>
      <c r="G690" s="223">
        <f t="shared" si="35"/>
        <v>50</v>
      </c>
      <c r="H690" s="220">
        <f t="shared" si="36"/>
        <v>888</v>
      </c>
      <c r="I690" s="224">
        <v>845.714285714286</v>
      </c>
      <c r="J690" s="224">
        <v>42.2857142857143</v>
      </c>
      <c r="K690" s="220">
        <v>888</v>
      </c>
      <c r="L690" s="225"/>
      <c r="M690" s="225">
        <v>888</v>
      </c>
      <c r="N690" s="225"/>
    </row>
    <row r="691" ht="15.2" spans="1:14">
      <c r="A691" s="219"/>
      <c r="B691" s="216"/>
      <c r="C691" s="217"/>
      <c r="D691" s="218"/>
      <c r="E691" s="220"/>
      <c r="F691" s="221"/>
      <c r="G691" s="223"/>
      <c r="H691" s="220"/>
      <c r="I691" s="224"/>
      <c r="J691" s="224"/>
      <c r="K691" s="220"/>
      <c r="L691" s="225"/>
      <c r="M691" s="225"/>
      <c r="N691" s="225"/>
    </row>
    <row r="692" ht="15.2" spans="1:14">
      <c r="A692" s="219">
        <v>44989</v>
      </c>
      <c r="B692" s="216" t="s">
        <v>392</v>
      </c>
      <c r="C692" s="217">
        <v>8907686313252</v>
      </c>
      <c r="D692" s="218">
        <v>1</v>
      </c>
      <c r="E692" s="220">
        <v>1499</v>
      </c>
      <c r="F692" s="221">
        <v>970.78</v>
      </c>
      <c r="G692" s="223">
        <f t="shared" si="35"/>
        <v>65</v>
      </c>
      <c r="H692" s="220">
        <f t="shared" si="36"/>
        <v>974.35</v>
      </c>
      <c r="I692" s="224"/>
      <c r="J692" s="224"/>
      <c r="K692" s="220">
        <v>524.65</v>
      </c>
      <c r="L692" s="225">
        <v>0.35</v>
      </c>
      <c r="M692" s="225">
        <v>525</v>
      </c>
      <c r="N692" s="225"/>
    </row>
    <row r="693" ht="15.2" spans="1:14">
      <c r="A693" s="219"/>
      <c r="B693" s="216"/>
      <c r="C693" s="217"/>
      <c r="D693" s="218"/>
      <c r="E693" s="220"/>
      <c r="F693" s="221"/>
      <c r="G693" s="223"/>
      <c r="H693" s="220"/>
      <c r="I693" s="224"/>
      <c r="J693" s="224"/>
      <c r="K693" s="220"/>
      <c r="L693" s="225"/>
      <c r="M693" s="225"/>
      <c r="N693" s="225"/>
    </row>
    <row r="694" ht="15.2" spans="1:14">
      <c r="A694" s="219">
        <v>44989</v>
      </c>
      <c r="B694" s="216" t="s">
        <v>77</v>
      </c>
      <c r="C694" s="217" t="s">
        <v>78</v>
      </c>
      <c r="D694" s="218">
        <v>1.3</v>
      </c>
      <c r="E694" s="220">
        <v>820</v>
      </c>
      <c r="F694" s="221">
        <v>299</v>
      </c>
      <c r="G694" s="223">
        <f t="shared" si="35"/>
        <v>50</v>
      </c>
      <c r="H694" s="220">
        <f t="shared" si="36"/>
        <v>533</v>
      </c>
      <c r="I694" s="224">
        <v>507.619047619048</v>
      </c>
      <c r="J694" s="224">
        <v>25.3809523809524</v>
      </c>
      <c r="K694" s="220">
        <v>533</v>
      </c>
      <c r="L694" s="225"/>
      <c r="M694" s="225">
        <v>533</v>
      </c>
      <c r="N694" s="225"/>
    </row>
    <row r="695" ht="15.2" spans="1:14">
      <c r="A695" s="219"/>
      <c r="B695" s="216"/>
      <c r="C695" s="217"/>
      <c r="D695" s="218"/>
      <c r="E695" s="220"/>
      <c r="F695" s="221"/>
      <c r="G695" s="223"/>
      <c r="H695" s="220"/>
      <c r="I695" s="224"/>
      <c r="J695" s="224"/>
      <c r="K695" s="220"/>
      <c r="L695" s="225"/>
      <c r="M695" s="225"/>
      <c r="N695" s="225"/>
    </row>
    <row r="696" ht="15.2" spans="1:14">
      <c r="A696" s="219">
        <v>44989</v>
      </c>
      <c r="B696" s="216" t="s">
        <v>393</v>
      </c>
      <c r="C696" s="217">
        <v>8907538653017</v>
      </c>
      <c r="D696" s="218">
        <v>1</v>
      </c>
      <c r="E696" s="220">
        <v>2299</v>
      </c>
      <c r="F696" s="221">
        <v>1395.82</v>
      </c>
      <c r="G696" s="223">
        <f t="shared" si="35"/>
        <v>65</v>
      </c>
      <c r="H696" s="220">
        <f t="shared" si="36"/>
        <v>1494.35</v>
      </c>
      <c r="I696" s="224"/>
      <c r="J696" s="224"/>
      <c r="K696" s="220">
        <v>804.65</v>
      </c>
      <c r="L696" s="225"/>
      <c r="M696" s="225"/>
      <c r="N696" s="225"/>
    </row>
    <row r="697" ht="15.2" spans="1:14">
      <c r="A697" s="219">
        <v>44989</v>
      </c>
      <c r="B697" s="216" t="s">
        <v>393</v>
      </c>
      <c r="C697" s="217" t="s">
        <v>394</v>
      </c>
      <c r="D697" s="218">
        <v>1.75</v>
      </c>
      <c r="E697" s="220">
        <v>2040</v>
      </c>
      <c r="F697" s="221">
        <v>570.86</v>
      </c>
      <c r="G697" s="223">
        <f t="shared" si="35"/>
        <v>55</v>
      </c>
      <c r="H697" s="220">
        <f t="shared" si="36"/>
        <v>1963.5</v>
      </c>
      <c r="I697" s="224">
        <v>1530</v>
      </c>
      <c r="J697" s="224">
        <v>76.5</v>
      </c>
      <c r="K697" s="220">
        <v>1606.5</v>
      </c>
      <c r="L697" s="225"/>
      <c r="M697" s="225"/>
      <c r="N697" s="225"/>
    </row>
    <row r="698" ht="15.2" spans="1:14">
      <c r="A698" s="219">
        <v>44989</v>
      </c>
      <c r="B698" s="216" t="s">
        <v>393</v>
      </c>
      <c r="C698" s="217" t="s">
        <v>395</v>
      </c>
      <c r="D698" s="218">
        <v>1.7</v>
      </c>
      <c r="E698" s="220">
        <v>1370</v>
      </c>
      <c r="F698" s="221">
        <v>332.8</v>
      </c>
      <c r="G698" s="223">
        <f t="shared" si="35"/>
        <v>55</v>
      </c>
      <c r="H698" s="220">
        <f t="shared" si="36"/>
        <v>1280.95</v>
      </c>
      <c r="I698" s="224">
        <v>998.142857142857</v>
      </c>
      <c r="J698" s="224">
        <v>49.9071428571429</v>
      </c>
      <c r="K698" s="220">
        <v>1048.05</v>
      </c>
      <c r="L698" s="225"/>
      <c r="M698" s="225"/>
      <c r="N698" s="225"/>
    </row>
    <row r="699" ht="15.2" spans="1:14">
      <c r="A699" s="219">
        <v>44989</v>
      </c>
      <c r="B699" s="216" t="s">
        <v>393</v>
      </c>
      <c r="C699" s="217" t="s">
        <v>396</v>
      </c>
      <c r="D699" s="218">
        <v>2.2</v>
      </c>
      <c r="E699" s="220">
        <v>1110</v>
      </c>
      <c r="F699" s="221"/>
      <c r="G699" s="223">
        <f t="shared" si="35"/>
        <v>55</v>
      </c>
      <c r="H699" s="220">
        <f t="shared" si="36"/>
        <v>1343.1</v>
      </c>
      <c r="I699" s="224"/>
      <c r="J699" s="224"/>
      <c r="K699" s="220">
        <v>1098.9</v>
      </c>
      <c r="L699" s="225"/>
      <c r="M699" s="225"/>
      <c r="N699" s="225"/>
    </row>
    <row r="700" ht="15.2" spans="1:14">
      <c r="A700" s="219">
        <v>44989</v>
      </c>
      <c r="B700" s="216" t="s">
        <v>393</v>
      </c>
      <c r="C700" s="217" t="s">
        <v>397</v>
      </c>
      <c r="D700" s="218">
        <v>1.2</v>
      </c>
      <c r="E700" s="220">
        <v>4260</v>
      </c>
      <c r="F700" s="221">
        <v>1259.1</v>
      </c>
      <c r="G700" s="223">
        <f t="shared" si="35"/>
        <v>55</v>
      </c>
      <c r="H700" s="220">
        <f t="shared" si="36"/>
        <v>2811.6</v>
      </c>
      <c r="I700" s="224">
        <v>2190.85714285714</v>
      </c>
      <c r="J700" s="224">
        <v>109.542857142857</v>
      </c>
      <c r="K700" s="220">
        <v>2300.4</v>
      </c>
      <c r="L700" s="225"/>
      <c r="M700" s="225"/>
      <c r="N700" s="225"/>
    </row>
    <row r="701" ht="15.2" spans="1:14">
      <c r="A701" s="219">
        <v>44989</v>
      </c>
      <c r="B701" s="216" t="s">
        <v>393</v>
      </c>
      <c r="C701" s="217">
        <v>8907036565331</v>
      </c>
      <c r="D701" s="218">
        <v>1</v>
      </c>
      <c r="E701" s="220">
        <v>1399</v>
      </c>
      <c r="F701" s="221">
        <v>904.43</v>
      </c>
      <c r="G701" s="223">
        <f t="shared" si="35"/>
        <v>65</v>
      </c>
      <c r="H701" s="220">
        <f t="shared" si="36"/>
        <v>909.35</v>
      </c>
      <c r="I701" s="224"/>
      <c r="J701" s="224"/>
      <c r="K701" s="220">
        <v>489.65</v>
      </c>
      <c r="L701" s="225"/>
      <c r="M701" s="225"/>
      <c r="N701" s="225"/>
    </row>
    <row r="702" ht="15.2" spans="1:14">
      <c r="A702" s="219">
        <v>44989</v>
      </c>
      <c r="B702" s="216" t="s">
        <v>393</v>
      </c>
      <c r="C702" s="217" t="s">
        <v>398</v>
      </c>
      <c r="D702" s="218">
        <v>1.2</v>
      </c>
      <c r="E702" s="220">
        <v>1740</v>
      </c>
      <c r="F702" s="221">
        <v>649</v>
      </c>
      <c r="G702" s="223">
        <f t="shared" si="35"/>
        <v>55</v>
      </c>
      <c r="H702" s="220">
        <f t="shared" si="36"/>
        <v>1148.4</v>
      </c>
      <c r="I702" s="224">
        <v>894.857142857143</v>
      </c>
      <c r="J702" s="224">
        <v>44.7428571428571</v>
      </c>
      <c r="K702" s="220">
        <v>939.6</v>
      </c>
      <c r="L702" s="225">
        <v>0.25</v>
      </c>
      <c r="M702" s="225">
        <v>8288</v>
      </c>
      <c r="N702" s="225"/>
    </row>
    <row r="703" ht="15.2" spans="1:14">
      <c r="A703" s="219"/>
      <c r="B703" s="216"/>
      <c r="C703" s="217"/>
      <c r="D703" s="218"/>
      <c r="E703" s="220"/>
      <c r="F703" s="221"/>
      <c r="G703" s="223"/>
      <c r="H703" s="220"/>
      <c r="I703" s="224"/>
      <c r="J703" s="224"/>
      <c r="K703" s="220"/>
      <c r="L703" s="225"/>
      <c r="M703" s="225"/>
      <c r="N703" s="225"/>
    </row>
    <row r="704" ht="15.2" spans="1:14">
      <c r="A704" s="219">
        <v>44989</v>
      </c>
      <c r="B704" s="216" t="s">
        <v>399</v>
      </c>
      <c r="C704" s="217">
        <v>8907259480749</v>
      </c>
      <c r="D704" s="218">
        <v>1</v>
      </c>
      <c r="E704" s="220">
        <v>1999</v>
      </c>
      <c r="F704" s="221">
        <v>1280.23</v>
      </c>
      <c r="G704" s="223">
        <f t="shared" si="35"/>
        <v>65</v>
      </c>
      <c r="H704" s="220">
        <f t="shared" si="36"/>
        <v>1299.35</v>
      </c>
      <c r="I704" s="224"/>
      <c r="J704" s="224"/>
      <c r="K704" s="220">
        <v>699.65</v>
      </c>
      <c r="L704" s="225"/>
      <c r="M704" s="225"/>
      <c r="N704" s="225"/>
    </row>
    <row r="705" ht="15.2" spans="1:14">
      <c r="A705" s="219">
        <v>44989</v>
      </c>
      <c r="B705" s="216" t="s">
        <v>399</v>
      </c>
      <c r="C705" s="217" t="s">
        <v>80</v>
      </c>
      <c r="D705" s="218">
        <v>1.7</v>
      </c>
      <c r="E705" s="220">
        <v>1380</v>
      </c>
      <c r="F705" s="221">
        <v>481</v>
      </c>
      <c r="G705" s="223">
        <f t="shared" si="35"/>
        <v>50</v>
      </c>
      <c r="H705" s="220">
        <f t="shared" si="36"/>
        <v>1173</v>
      </c>
      <c r="I705" s="224">
        <v>1117.14285714286</v>
      </c>
      <c r="J705" s="224">
        <v>55.8571428571429</v>
      </c>
      <c r="K705" s="220">
        <v>1173</v>
      </c>
      <c r="L705" s="225">
        <v>0.35</v>
      </c>
      <c r="M705" s="225">
        <v>1873</v>
      </c>
      <c r="N705" s="225"/>
    </row>
    <row r="706" ht="15.2" spans="1:14">
      <c r="A706" s="219"/>
      <c r="B706" s="216"/>
      <c r="C706" s="217"/>
      <c r="D706" s="218"/>
      <c r="E706" s="220"/>
      <c r="F706" s="221"/>
      <c r="G706" s="223"/>
      <c r="H706" s="220"/>
      <c r="I706" s="224"/>
      <c r="J706" s="224"/>
      <c r="K706" s="220"/>
      <c r="L706" s="225"/>
      <c r="M706" s="225"/>
      <c r="N706" s="225"/>
    </row>
    <row r="707" ht="15.2" spans="1:14">
      <c r="A707" s="219">
        <v>44989</v>
      </c>
      <c r="B707" s="216" t="s">
        <v>400</v>
      </c>
      <c r="C707" s="217">
        <v>8907538619747</v>
      </c>
      <c r="D707" s="218">
        <v>1</v>
      </c>
      <c r="E707" s="220">
        <v>1799</v>
      </c>
      <c r="F707" s="221">
        <v>1092.25</v>
      </c>
      <c r="G707" s="223">
        <f t="shared" si="35"/>
        <v>80</v>
      </c>
      <c r="H707" s="220">
        <f t="shared" si="36"/>
        <v>1439.2</v>
      </c>
      <c r="I707" s="224"/>
      <c r="J707" s="224"/>
      <c r="K707" s="220">
        <v>359.8</v>
      </c>
      <c r="L707" s="225">
        <v>0.2</v>
      </c>
      <c r="M707" s="225">
        <v>360</v>
      </c>
      <c r="N707" s="225"/>
    </row>
    <row r="708" ht="15.2" spans="1:14">
      <c r="A708" s="219"/>
      <c r="B708" s="216"/>
      <c r="C708" s="217"/>
      <c r="D708" s="218"/>
      <c r="E708" s="220"/>
      <c r="F708" s="221"/>
      <c r="G708" s="223"/>
      <c r="H708" s="220"/>
      <c r="I708" s="224"/>
      <c r="J708" s="224"/>
      <c r="K708" s="220"/>
      <c r="L708" s="225"/>
      <c r="M708" s="225"/>
      <c r="N708" s="225"/>
    </row>
    <row r="709" ht="15.2" spans="1:14">
      <c r="A709" s="219">
        <v>44989</v>
      </c>
      <c r="B709" s="216" t="s">
        <v>79</v>
      </c>
      <c r="C709" s="217" t="s">
        <v>80</v>
      </c>
      <c r="D709" s="218">
        <v>1.7</v>
      </c>
      <c r="E709" s="220">
        <v>1380</v>
      </c>
      <c r="F709" s="221">
        <v>481</v>
      </c>
      <c r="G709" s="223">
        <f t="shared" si="35"/>
        <v>50</v>
      </c>
      <c r="H709" s="220">
        <f t="shared" si="36"/>
        <v>1173</v>
      </c>
      <c r="I709" s="224">
        <v>1117.14285714286</v>
      </c>
      <c r="J709" s="224">
        <v>55.8571428571429</v>
      </c>
      <c r="K709" s="220">
        <v>1173</v>
      </c>
      <c r="L709" s="225"/>
      <c r="M709" s="225">
        <v>1173</v>
      </c>
      <c r="N709" s="225"/>
    </row>
    <row r="710" ht="15.2" spans="1:14">
      <c r="A710" s="219"/>
      <c r="B710" s="216"/>
      <c r="C710" s="217"/>
      <c r="D710" s="218"/>
      <c r="E710" s="220"/>
      <c r="F710" s="221"/>
      <c r="G710" s="223"/>
      <c r="H710" s="220"/>
      <c r="I710" s="224"/>
      <c r="J710" s="224"/>
      <c r="K710" s="220"/>
      <c r="L710" s="225"/>
      <c r="M710" s="225"/>
      <c r="N710" s="225"/>
    </row>
    <row r="711" ht="15.2" spans="1:14">
      <c r="A711" s="219">
        <v>44989</v>
      </c>
      <c r="B711" s="216" t="s">
        <v>81</v>
      </c>
      <c r="C711" s="217" t="s">
        <v>82</v>
      </c>
      <c r="D711" s="218">
        <v>2</v>
      </c>
      <c r="E711" s="220">
        <v>11365</v>
      </c>
      <c r="F711" s="221">
        <v>3451</v>
      </c>
      <c r="G711" s="223">
        <f t="shared" si="35"/>
        <v>57</v>
      </c>
      <c r="H711" s="220">
        <f t="shared" si="36"/>
        <v>12956.1</v>
      </c>
      <c r="I711" s="224">
        <v>9308.47619047619</v>
      </c>
      <c r="J711" s="224">
        <v>465.42380952381</v>
      </c>
      <c r="K711" s="220">
        <v>9773.9</v>
      </c>
      <c r="L711" s="225"/>
      <c r="M711" s="225"/>
      <c r="N711" s="225"/>
    </row>
    <row r="712" ht="15.2" spans="1:14">
      <c r="A712" s="219">
        <v>44989</v>
      </c>
      <c r="B712" s="216" t="s">
        <v>81</v>
      </c>
      <c r="C712" s="217" t="s">
        <v>83</v>
      </c>
      <c r="D712" s="218">
        <v>3.25</v>
      </c>
      <c r="E712" s="220">
        <v>5458.46</v>
      </c>
      <c r="F712" s="221">
        <v>1499</v>
      </c>
      <c r="G712" s="223">
        <f t="shared" si="35"/>
        <v>56.9999878804926</v>
      </c>
      <c r="H712" s="220">
        <f t="shared" si="36"/>
        <v>10111.795</v>
      </c>
      <c r="I712" s="224">
        <v>7264.95238095238</v>
      </c>
      <c r="J712" s="224">
        <v>363.247619047619</v>
      </c>
      <c r="K712" s="220">
        <v>7628.2</v>
      </c>
      <c r="L712" s="225">
        <v>-0.1</v>
      </c>
      <c r="M712" s="225">
        <v>17402</v>
      </c>
      <c r="N712" s="225"/>
    </row>
    <row r="713" ht="15.2" spans="1:14">
      <c r="A713" s="219"/>
      <c r="B713" s="216"/>
      <c r="C713" s="217"/>
      <c r="D713" s="218"/>
      <c r="E713" s="220"/>
      <c r="F713" s="221"/>
      <c r="G713" s="223"/>
      <c r="H713" s="220"/>
      <c r="I713" s="224"/>
      <c r="J713" s="224"/>
      <c r="K713" s="220"/>
      <c r="L713" s="225"/>
      <c r="M713" s="225"/>
      <c r="N713" s="225"/>
    </row>
    <row r="714" ht="15.2" spans="1:14">
      <c r="A714" s="219">
        <v>44989</v>
      </c>
      <c r="B714" s="216" t="s">
        <v>401</v>
      </c>
      <c r="C714" s="217">
        <v>8907686145945</v>
      </c>
      <c r="D714" s="218">
        <v>1</v>
      </c>
      <c r="E714" s="220">
        <v>1449</v>
      </c>
      <c r="F714" s="221">
        <v>938.4</v>
      </c>
      <c r="G714" s="223">
        <f t="shared" si="35"/>
        <v>65</v>
      </c>
      <c r="H714" s="220">
        <f t="shared" si="36"/>
        <v>941.85</v>
      </c>
      <c r="I714" s="224"/>
      <c r="J714" s="224"/>
      <c r="K714" s="220">
        <v>507.15</v>
      </c>
      <c r="L714" s="225"/>
      <c r="M714" s="225"/>
      <c r="N714" s="225"/>
    </row>
    <row r="715" ht="15.2" spans="1:14">
      <c r="A715" s="219">
        <v>44989</v>
      </c>
      <c r="B715" s="216" t="s">
        <v>401</v>
      </c>
      <c r="C715" s="217">
        <v>8907686779089</v>
      </c>
      <c r="D715" s="218">
        <v>1</v>
      </c>
      <c r="E715" s="220">
        <v>1199</v>
      </c>
      <c r="F715" s="221">
        <v>776.5</v>
      </c>
      <c r="G715" s="223">
        <f t="shared" si="35"/>
        <v>65</v>
      </c>
      <c r="H715" s="220">
        <f t="shared" si="36"/>
        <v>779.35</v>
      </c>
      <c r="I715" s="224"/>
      <c r="J715" s="224"/>
      <c r="K715" s="220">
        <v>419.65</v>
      </c>
      <c r="L715" s="225">
        <v>-0.8</v>
      </c>
      <c r="M715" s="225">
        <v>926</v>
      </c>
      <c r="N715" s="225"/>
    </row>
    <row r="716" ht="15.2" spans="1:14">
      <c r="A716" s="219"/>
      <c r="B716" s="216"/>
      <c r="C716" s="217"/>
      <c r="D716" s="218"/>
      <c r="E716" s="220"/>
      <c r="F716" s="221"/>
      <c r="G716" s="223"/>
      <c r="H716" s="220"/>
      <c r="I716" s="224"/>
      <c r="J716" s="224"/>
      <c r="K716" s="220"/>
      <c r="L716" s="225"/>
      <c r="M716" s="225"/>
      <c r="N716" s="225"/>
    </row>
    <row r="717" ht="15.2" spans="1:14">
      <c r="A717" s="219">
        <v>44989</v>
      </c>
      <c r="B717" s="216" t="s">
        <v>402</v>
      </c>
      <c r="C717" s="217">
        <v>8907378980922</v>
      </c>
      <c r="D717" s="218">
        <v>1</v>
      </c>
      <c r="E717" s="220">
        <v>449</v>
      </c>
      <c r="F717" s="221">
        <v>295.02</v>
      </c>
      <c r="G717" s="223">
        <f t="shared" si="35"/>
        <v>50</v>
      </c>
      <c r="H717" s="220">
        <f t="shared" si="36"/>
        <v>224.5</v>
      </c>
      <c r="I717" s="224"/>
      <c r="J717" s="224"/>
      <c r="K717" s="220">
        <v>224.5</v>
      </c>
      <c r="L717" s="225"/>
      <c r="M717" s="225"/>
      <c r="N717" s="225"/>
    </row>
    <row r="718" ht="15.2" spans="1:14">
      <c r="A718" s="219">
        <v>44989</v>
      </c>
      <c r="B718" s="216" t="s">
        <v>402</v>
      </c>
      <c r="C718" s="217">
        <v>8907686346731</v>
      </c>
      <c r="D718" s="218">
        <v>1</v>
      </c>
      <c r="E718" s="220">
        <v>449</v>
      </c>
      <c r="F718" s="221">
        <v>290.78</v>
      </c>
      <c r="G718" s="223">
        <f t="shared" si="35"/>
        <v>50</v>
      </c>
      <c r="H718" s="220">
        <f t="shared" si="36"/>
        <v>224.5</v>
      </c>
      <c r="I718" s="224"/>
      <c r="J718" s="224"/>
      <c r="K718" s="220">
        <v>224.5</v>
      </c>
      <c r="L718" s="225"/>
      <c r="M718" s="225">
        <v>449</v>
      </c>
      <c r="N718" s="225"/>
    </row>
    <row r="719" ht="15.2" spans="1:14">
      <c r="A719" s="219"/>
      <c r="B719" s="216"/>
      <c r="C719" s="217"/>
      <c r="D719" s="218"/>
      <c r="E719" s="220"/>
      <c r="F719" s="221"/>
      <c r="G719" s="223"/>
      <c r="H719" s="220"/>
      <c r="I719" s="224"/>
      <c r="J719" s="224"/>
      <c r="K719" s="220"/>
      <c r="L719" s="225"/>
      <c r="M719" s="225"/>
      <c r="N719" s="225"/>
    </row>
    <row r="720" ht="15.2" spans="1:14">
      <c r="A720" s="219">
        <v>44989</v>
      </c>
      <c r="B720" s="219" t="s">
        <v>84</v>
      </c>
      <c r="C720" s="217" t="s">
        <v>85</v>
      </c>
      <c r="D720" s="218">
        <v>1.1</v>
      </c>
      <c r="E720" s="220">
        <v>650</v>
      </c>
      <c r="F720" s="221">
        <v>263</v>
      </c>
      <c r="G720" s="223">
        <f t="shared" si="35"/>
        <v>50</v>
      </c>
      <c r="H720" s="220">
        <f t="shared" si="36"/>
        <v>357.5</v>
      </c>
      <c r="I720" s="224">
        <v>340.47619047619</v>
      </c>
      <c r="J720" s="224">
        <v>17.0238095238095</v>
      </c>
      <c r="K720" s="220">
        <v>357.5</v>
      </c>
      <c r="L720" s="225">
        <v>0.5</v>
      </c>
      <c r="M720" s="225">
        <v>358</v>
      </c>
      <c r="N720" s="225"/>
    </row>
    <row r="721" ht="15.2" spans="1:14">
      <c r="A721" s="219"/>
      <c r="B721" s="216"/>
      <c r="C721" s="217"/>
      <c r="D721" s="218"/>
      <c r="E721" s="220"/>
      <c r="F721" s="221"/>
      <c r="G721" s="223"/>
      <c r="H721" s="220"/>
      <c r="I721" s="224"/>
      <c r="J721" s="224"/>
      <c r="K721" s="220"/>
      <c r="L721" s="225"/>
      <c r="M721" s="225"/>
      <c r="N721" s="225"/>
    </row>
    <row r="722" ht="15.2" spans="1:14">
      <c r="A722" s="219">
        <v>44989</v>
      </c>
      <c r="B722" s="216" t="s">
        <v>86</v>
      </c>
      <c r="C722" s="217" t="s">
        <v>87</v>
      </c>
      <c r="D722" s="218">
        <v>1.2</v>
      </c>
      <c r="E722" s="220">
        <v>780</v>
      </c>
      <c r="F722" s="221">
        <v>299</v>
      </c>
      <c r="G722" s="223">
        <f t="shared" ref="G722:G729" si="38">(H722*100)/(E722*D722)</f>
        <v>50</v>
      </c>
      <c r="H722" s="220">
        <f t="shared" ref="H722:H729" si="39">D722*E722-K722</f>
        <v>468</v>
      </c>
      <c r="I722" s="224">
        <v>445.714285714286</v>
      </c>
      <c r="J722" s="224">
        <v>22.2857142857143</v>
      </c>
      <c r="K722" s="220">
        <v>468</v>
      </c>
      <c r="L722" s="225"/>
      <c r="M722" s="225"/>
      <c r="N722" s="225"/>
    </row>
    <row r="723" ht="15.2" spans="1:14">
      <c r="A723" s="219">
        <v>44989</v>
      </c>
      <c r="B723" s="216" t="s">
        <v>86</v>
      </c>
      <c r="C723" s="217">
        <v>8907259275659</v>
      </c>
      <c r="D723" s="218">
        <v>1</v>
      </c>
      <c r="E723" s="220">
        <v>2299</v>
      </c>
      <c r="F723" s="221">
        <v>1517.34</v>
      </c>
      <c r="G723" s="223">
        <f t="shared" si="38"/>
        <v>70</v>
      </c>
      <c r="H723" s="220">
        <f t="shared" si="39"/>
        <v>1609.3</v>
      </c>
      <c r="I723" s="224"/>
      <c r="J723" s="224"/>
      <c r="K723" s="220">
        <v>689.7</v>
      </c>
      <c r="L723" s="225">
        <v>0.3</v>
      </c>
      <c r="M723" s="225">
        <v>1158</v>
      </c>
      <c r="N723" s="225"/>
    </row>
    <row r="724" ht="15.2" spans="1:14">
      <c r="A724" s="219"/>
      <c r="B724" s="216"/>
      <c r="C724" s="217"/>
      <c r="D724" s="218"/>
      <c r="E724" s="220"/>
      <c r="F724" s="221"/>
      <c r="G724" s="223"/>
      <c r="H724" s="220"/>
      <c r="I724" s="224"/>
      <c r="J724" s="224"/>
      <c r="K724" s="220"/>
      <c r="L724" s="225"/>
      <c r="M724" s="225"/>
      <c r="N724" s="225"/>
    </row>
    <row r="725" ht="15.2" spans="1:14">
      <c r="A725" s="219">
        <v>44989</v>
      </c>
      <c r="B725" s="216" t="s">
        <v>403</v>
      </c>
      <c r="C725" s="217">
        <v>8904290625696</v>
      </c>
      <c r="D725" s="218">
        <v>1</v>
      </c>
      <c r="E725" s="220">
        <v>2199</v>
      </c>
      <c r="F725" s="221">
        <v>1295.84</v>
      </c>
      <c r="G725" s="223">
        <f t="shared" si="38"/>
        <v>65</v>
      </c>
      <c r="H725" s="220">
        <f t="shared" si="39"/>
        <v>1429.35</v>
      </c>
      <c r="I725" s="224"/>
      <c r="J725" s="224"/>
      <c r="K725" s="220">
        <v>769.65</v>
      </c>
      <c r="L725" s="225">
        <v>0.35</v>
      </c>
      <c r="M725" s="225">
        <v>770</v>
      </c>
      <c r="N725" s="225"/>
    </row>
    <row r="726" ht="15.2" spans="1:14">
      <c r="A726" s="219"/>
      <c r="B726" s="216"/>
      <c r="C726" s="217"/>
      <c r="D726" s="218"/>
      <c r="E726" s="220"/>
      <c r="F726" s="221"/>
      <c r="G726" s="223"/>
      <c r="H726" s="220"/>
      <c r="I726" s="224"/>
      <c r="J726" s="224"/>
      <c r="K726" s="220"/>
      <c r="L726" s="225"/>
      <c r="M726" s="225"/>
      <c r="N726" s="225"/>
    </row>
    <row r="727" ht="15.2" spans="1:14">
      <c r="A727" s="219">
        <v>44989</v>
      </c>
      <c r="B727" s="216" t="s">
        <v>88</v>
      </c>
      <c r="C727" s="217" t="s">
        <v>89</v>
      </c>
      <c r="D727" s="218">
        <v>1.75</v>
      </c>
      <c r="E727" s="220">
        <v>2475</v>
      </c>
      <c r="F727" s="221">
        <v>570.86</v>
      </c>
      <c r="G727" s="223">
        <f t="shared" si="38"/>
        <v>49.9987301587302</v>
      </c>
      <c r="H727" s="220">
        <f t="shared" si="39"/>
        <v>2165.57</v>
      </c>
      <c r="I727" s="224">
        <v>2062.55238095238</v>
      </c>
      <c r="J727" s="224">
        <v>103.127619047619</v>
      </c>
      <c r="K727" s="220">
        <v>2165.68</v>
      </c>
      <c r="L727" s="225"/>
      <c r="M727" s="225"/>
      <c r="N727" s="225"/>
    </row>
    <row r="728" ht="15.2" spans="1:14">
      <c r="A728" s="219">
        <v>44989</v>
      </c>
      <c r="B728" s="216" t="s">
        <v>88</v>
      </c>
      <c r="C728" s="217" t="s">
        <v>90</v>
      </c>
      <c r="D728" s="218">
        <v>1.2</v>
      </c>
      <c r="E728" s="220">
        <v>2560</v>
      </c>
      <c r="F728" s="221">
        <v>830</v>
      </c>
      <c r="G728" s="223">
        <f t="shared" si="38"/>
        <v>50</v>
      </c>
      <c r="H728" s="220">
        <f t="shared" si="39"/>
        <v>1536</v>
      </c>
      <c r="I728" s="224">
        <v>1462.85714285714</v>
      </c>
      <c r="J728" s="224">
        <v>73.1428571428572</v>
      </c>
      <c r="K728" s="220">
        <v>1536</v>
      </c>
      <c r="L728" s="225"/>
      <c r="M728" s="225"/>
      <c r="N728" s="225"/>
    </row>
    <row r="729" ht="15.2" spans="1:14">
      <c r="A729" s="219">
        <v>44989</v>
      </c>
      <c r="B729" s="216" t="s">
        <v>88</v>
      </c>
      <c r="C729" s="217" t="s">
        <v>404</v>
      </c>
      <c r="D729" s="218">
        <v>1.7</v>
      </c>
      <c r="E729" s="220">
        <v>1660</v>
      </c>
      <c r="F729" s="221"/>
      <c r="G729" s="223">
        <f t="shared" si="38"/>
        <v>50</v>
      </c>
      <c r="H729" s="220">
        <f t="shared" si="39"/>
        <v>1411</v>
      </c>
      <c r="I729" s="224"/>
      <c r="J729" s="224"/>
      <c r="K729" s="220">
        <v>1411</v>
      </c>
      <c r="L729" s="225">
        <v>-12.68</v>
      </c>
      <c r="M729" s="225">
        <v>5100</v>
      </c>
      <c r="N729" s="225"/>
    </row>
    <row r="730" ht="15.2" spans="1:14">
      <c r="A730" s="208"/>
      <c r="B730" s="209"/>
      <c r="C730" s="210"/>
      <c r="D730" s="211"/>
      <c r="E730" s="212"/>
      <c r="F730" s="207"/>
      <c r="G730" s="230"/>
      <c r="H730" s="212">
        <f>((D730*E730)*(G730/100))</f>
        <v>0</v>
      </c>
      <c r="I730" s="213"/>
      <c r="J730" s="213"/>
      <c r="K730" s="212"/>
      <c r="L730" s="212"/>
      <c r="M730" s="212"/>
      <c r="N730" s="212">
        <f>K730-(D730*F730)</f>
        <v>0</v>
      </c>
    </row>
    <row r="731" ht="15.2" spans="1:14">
      <c r="A731" s="209" t="s">
        <v>405</v>
      </c>
      <c r="B731" s="209"/>
      <c r="C731" s="211"/>
      <c r="D731" s="211"/>
      <c r="E731" s="211"/>
      <c r="F731" s="207"/>
      <c r="G731" s="207"/>
      <c r="H731" s="211"/>
      <c r="I731" s="214"/>
      <c r="J731" s="214"/>
      <c r="K731" s="211"/>
      <c r="L731" s="211"/>
      <c r="M731" s="211"/>
      <c r="N731" s="212">
        <f>SUBTOTAL(109,ProfitLossTable11[Profit/Loss])</f>
        <v>-1297.492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{6f3b812a-ff97-4561-997f-eb7ab78e222d}</x14:id>
        </ext>
      </extLst>
    </cfRule>
  </conditionalFormatting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3b812a-ff97-4561-997f-eb7ab78e222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"/>
  <cols>
    <col min="1" max="1" width="5.6640625" customWidth="1"/>
    <col min="2" max="2" width="23.3359375" customWidth="1"/>
    <col min="3" max="3" width="12.335937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ht="15.55" spans="1:19">
      <c r="A1" s="134"/>
      <c r="B1" s="135"/>
      <c r="C1" s="135"/>
      <c r="D1" s="135"/>
      <c r="E1" s="135"/>
      <c r="F1" s="141"/>
      <c r="N1" s="186" t="s">
        <v>406</v>
      </c>
      <c r="O1" s="187"/>
      <c r="S1" s="187"/>
    </row>
    <row r="2" ht="17.6" spans="1:19">
      <c r="A2" s="156"/>
      <c r="B2" s="157" t="s">
        <v>407</v>
      </c>
      <c r="C2" s="157"/>
      <c r="D2" s="157"/>
      <c r="E2" s="37"/>
      <c r="F2" s="172"/>
      <c r="N2" s="134" t="s">
        <v>408</v>
      </c>
      <c r="O2" s="135" t="s">
        <v>409</v>
      </c>
      <c r="P2" s="141" t="s">
        <v>410</v>
      </c>
      <c r="Q2" s="199" t="s">
        <v>411</v>
      </c>
      <c r="S2" s="187"/>
    </row>
    <row r="3" ht="14.75" spans="1:16">
      <c r="A3" s="156"/>
      <c r="B3" s="158" t="s">
        <v>412</v>
      </c>
      <c r="C3" s="158"/>
      <c r="D3" s="158"/>
      <c r="E3" s="37"/>
      <c r="F3" s="172"/>
      <c r="N3" s="188">
        <f ca="1">NOW()</f>
        <v>45025.455462963</v>
      </c>
      <c r="P3">
        <v>0</v>
      </c>
    </row>
    <row r="4" spans="1:6">
      <c r="A4" s="159" t="s">
        <v>413</v>
      </c>
      <c r="B4" s="160" t="s">
        <v>414</v>
      </c>
      <c r="C4" s="37"/>
      <c r="D4" s="160" t="s">
        <v>415</v>
      </c>
      <c r="F4" s="172"/>
    </row>
    <row r="5" ht="15.55" spans="1:15">
      <c r="A5" s="156"/>
      <c r="F5" s="172"/>
      <c r="H5" s="173" t="s">
        <v>416</v>
      </c>
      <c r="I5" s="185">
        <f>ROUNDUP(F26,0)</f>
        <v>0</v>
      </c>
      <c r="N5" s="186" t="s">
        <v>417</v>
      </c>
      <c r="O5" s="187"/>
    </row>
    <row r="6" ht="15.2" spans="1:17">
      <c r="A6" s="161"/>
      <c r="B6" s="162" t="s">
        <v>418</v>
      </c>
      <c r="C6" s="162"/>
      <c r="D6" s="163" t="s">
        <v>419</v>
      </c>
      <c r="E6" s="174"/>
      <c r="F6" s="175"/>
      <c r="N6" s="134" t="s">
        <v>408</v>
      </c>
      <c r="O6" s="135" t="s">
        <v>409</v>
      </c>
      <c r="P6" s="141" t="s">
        <v>410</v>
      </c>
      <c r="Q6" s="199" t="s">
        <v>411</v>
      </c>
    </row>
    <row r="7" ht="15.95" spans="1:17">
      <c r="A7" s="164"/>
      <c r="B7" s="165" t="s">
        <v>420</v>
      </c>
      <c r="C7" s="166" t="s">
        <v>421</v>
      </c>
      <c r="D7" s="166"/>
      <c r="E7" s="176">
        <v>164</v>
      </c>
      <c r="F7" s="177"/>
      <c r="K7" t="s">
        <v>422</v>
      </c>
      <c r="N7" s="188">
        <f ca="1">NOW()</f>
        <v>45025.455462963</v>
      </c>
      <c r="O7" s="168"/>
      <c r="P7" s="178">
        <v>0</v>
      </c>
      <c r="Q7" s="200"/>
    </row>
    <row r="8" ht="14.75" spans="1:14">
      <c r="A8" s="167"/>
      <c r="B8" s="168"/>
      <c r="C8" s="168"/>
      <c r="D8" s="168"/>
      <c r="E8" s="168"/>
      <c r="F8" s="178"/>
      <c r="N8" s="189" t="s">
        <v>423</v>
      </c>
    </row>
    <row r="9" spans="1:17">
      <c r="A9" s="156" t="s">
        <v>424</v>
      </c>
      <c r="B9" t="s">
        <v>425</v>
      </c>
      <c r="C9" t="s">
        <v>4</v>
      </c>
      <c r="D9" t="s">
        <v>426</v>
      </c>
      <c r="E9" t="s">
        <v>427</v>
      </c>
      <c r="F9" s="172" t="s">
        <v>428</v>
      </c>
      <c r="H9" s="179" t="s">
        <v>429</v>
      </c>
      <c r="I9" s="179"/>
      <c r="J9" s="179" t="s">
        <v>430</v>
      </c>
      <c r="K9" s="179"/>
      <c r="N9" s="190" t="s">
        <v>0</v>
      </c>
      <c r="O9" s="191" t="s">
        <v>431</v>
      </c>
      <c r="P9" s="191" t="s">
        <v>432</v>
      </c>
      <c r="Q9" s="201" t="s">
        <v>428</v>
      </c>
    </row>
    <row r="10" ht="15.2" spans="1:17">
      <c r="A10" s="169">
        <v>1</v>
      </c>
      <c r="B10" s="170"/>
      <c r="C10" s="129"/>
      <c r="D10" s="43"/>
      <c r="E10" s="43"/>
      <c r="F10" s="180">
        <f>(C10*D10)-((C10*D10)*(E10/100))</f>
        <v>0</v>
      </c>
      <c r="N10" s="192">
        <f ca="1">NOW()</f>
        <v>45025.455462963</v>
      </c>
      <c r="O10" s="60"/>
      <c r="P10" s="60"/>
      <c r="Q10" s="202"/>
    </row>
    <row r="11" ht="15.2" spans="1:17">
      <c r="A11" s="169">
        <v>2</v>
      </c>
      <c r="B11" s="170"/>
      <c r="C11" s="129"/>
      <c r="D11" s="43"/>
      <c r="F11" s="180">
        <f>(C11*D11)-((C11*D11)*(E11/100))</f>
        <v>0</v>
      </c>
      <c r="N11" s="193" t="s">
        <v>433</v>
      </c>
      <c r="O11" s="60"/>
      <c r="P11" s="60" t="s">
        <v>434</v>
      </c>
      <c r="Q11" s="202"/>
    </row>
    <row r="12" ht="15.95" spans="1:17">
      <c r="A12" s="169">
        <v>3</v>
      </c>
      <c r="B12" s="170"/>
      <c r="C12" s="129"/>
      <c r="D12" s="43"/>
      <c r="F12" s="180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94" t="s">
        <v>411</v>
      </c>
      <c r="O12" s="195"/>
      <c r="P12" s="195" t="s">
        <v>439</v>
      </c>
      <c r="Q12" s="203" t="s">
        <v>440</v>
      </c>
    </row>
    <row r="13" ht="15.95" spans="1:14">
      <c r="A13" s="169">
        <v>4</v>
      </c>
      <c r="B13" s="170"/>
      <c r="C13" s="129"/>
      <c r="F13" s="180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9" t="s">
        <v>445</v>
      </c>
    </row>
    <row r="14" ht="15.2" spans="1:17">
      <c r="A14" s="169">
        <v>5</v>
      </c>
      <c r="B14" s="170"/>
      <c r="C14" s="129"/>
      <c r="D14" s="43"/>
      <c r="E14" s="43"/>
      <c r="F14" s="180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96" t="s">
        <v>0</v>
      </c>
      <c r="O14" s="191" t="s">
        <v>431</v>
      </c>
      <c r="P14" s="191" t="s">
        <v>432</v>
      </c>
      <c r="Q14" s="201" t="s">
        <v>428</v>
      </c>
    </row>
    <row r="15" ht="15.2" spans="1:17">
      <c r="A15" s="169">
        <v>6</v>
      </c>
      <c r="B15" s="170"/>
      <c r="C15" s="129"/>
      <c r="D15" s="43"/>
      <c r="E15" s="43"/>
      <c r="F15" s="180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97">
        <f ca="1">NOW()</f>
        <v>45025.455462963</v>
      </c>
      <c r="O15" s="60"/>
      <c r="P15" s="60"/>
      <c r="Q15" s="202"/>
    </row>
    <row r="16" ht="15.2" spans="1:17">
      <c r="A16" s="169">
        <v>7</v>
      </c>
      <c r="B16" s="170"/>
      <c r="C16" s="129"/>
      <c r="D16" s="43"/>
      <c r="E16" s="43"/>
      <c r="F16" s="180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9" t="s">
        <v>433</v>
      </c>
      <c r="O16" s="60"/>
      <c r="P16" s="60" t="s">
        <v>434</v>
      </c>
      <c r="Q16" s="202"/>
    </row>
    <row r="17" ht="15.95" spans="1:17">
      <c r="A17" s="169">
        <v>8</v>
      </c>
      <c r="B17" s="170"/>
      <c r="C17" s="129"/>
      <c r="D17" s="43"/>
      <c r="E17" s="43"/>
      <c r="F17" s="180">
        <f t="shared" si="0"/>
        <v>0</v>
      </c>
      <c r="I17" t="s">
        <v>458</v>
      </c>
      <c r="J17" t="s">
        <v>459</v>
      </c>
      <c r="N17" s="194" t="s">
        <v>411</v>
      </c>
      <c r="O17" s="195"/>
      <c r="P17" s="195" t="s">
        <v>439</v>
      </c>
      <c r="Q17" s="203" t="s">
        <v>440</v>
      </c>
    </row>
    <row r="18" ht="15.95" spans="1:14">
      <c r="A18" s="169">
        <v>9</v>
      </c>
      <c r="B18" s="170"/>
      <c r="C18" s="129"/>
      <c r="D18" s="43"/>
      <c r="E18" s="43"/>
      <c r="F18" s="180">
        <f t="shared" si="0"/>
        <v>0</v>
      </c>
      <c r="J18" t="s">
        <v>460</v>
      </c>
      <c r="N18" s="189" t="s">
        <v>461</v>
      </c>
    </row>
    <row r="19" ht="15.2" spans="1:17">
      <c r="A19" s="169">
        <v>10</v>
      </c>
      <c r="B19" s="170"/>
      <c r="C19" s="129"/>
      <c r="D19" s="43"/>
      <c r="E19" s="43"/>
      <c r="F19" s="180">
        <f t="shared" si="0"/>
        <v>0</v>
      </c>
      <c r="J19" t="s">
        <v>462</v>
      </c>
      <c r="N19" s="190" t="s">
        <v>0</v>
      </c>
      <c r="O19" s="191" t="s">
        <v>437</v>
      </c>
      <c r="P19" s="191" t="s">
        <v>463</v>
      </c>
      <c r="Q19" s="201" t="s">
        <v>464</v>
      </c>
    </row>
    <row r="20" ht="15.2" spans="1:17">
      <c r="A20" s="169">
        <v>11</v>
      </c>
      <c r="B20" s="171"/>
      <c r="C20" s="129"/>
      <c r="D20" s="43"/>
      <c r="E20" s="43"/>
      <c r="F20" s="180">
        <f t="shared" si="0"/>
        <v>0</v>
      </c>
      <c r="N20" s="198">
        <f ca="1">NOW()</f>
        <v>45025.455462963</v>
      </c>
      <c r="O20" s="60"/>
      <c r="P20" s="150"/>
      <c r="Q20" s="60"/>
    </row>
    <row r="21" ht="15.2" spans="1:6">
      <c r="A21" s="169">
        <v>12</v>
      </c>
      <c r="B21" s="171"/>
      <c r="C21" s="129"/>
      <c r="D21" s="43"/>
      <c r="E21" s="43"/>
      <c r="F21" s="180">
        <f t="shared" si="0"/>
        <v>0</v>
      </c>
    </row>
    <row r="22" ht="15.2" spans="1:13">
      <c r="A22" s="169">
        <v>13</v>
      </c>
      <c r="B22" s="43"/>
      <c r="C22" s="129"/>
      <c r="D22" s="43"/>
      <c r="E22" s="43"/>
      <c r="F22" s="180">
        <f t="shared" si="0"/>
        <v>0</v>
      </c>
      <c r="M22" s="60"/>
    </row>
    <row r="23" ht="15.2" spans="1:6">
      <c r="A23" s="169">
        <v>14</v>
      </c>
      <c r="B23" s="43"/>
      <c r="C23" s="129"/>
      <c r="D23" s="43"/>
      <c r="E23" s="43"/>
      <c r="F23" s="180">
        <f t="shared" si="0"/>
        <v>0</v>
      </c>
    </row>
    <row r="24" ht="15.2" spans="1:8">
      <c r="A24" s="169">
        <v>15</v>
      </c>
      <c r="B24" s="43"/>
      <c r="C24" s="129"/>
      <c r="D24" s="43"/>
      <c r="E24" s="43"/>
      <c r="F24" s="180">
        <f t="shared" si="0"/>
        <v>0</v>
      </c>
      <c r="H24" t="s">
        <v>422</v>
      </c>
    </row>
    <row r="25" ht="15.2" spans="1:6">
      <c r="A25" s="156"/>
      <c r="B25" t="s">
        <v>465</v>
      </c>
      <c r="F25" s="181">
        <v>0</v>
      </c>
    </row>
    <row r="26" ht="15.55" spans="1:6">
      <c r="A26" s="156"/>
      <c r="C26" t="s">
        <v>466</v>
      </c>
      <c r="D26">
        <f>SUBTOTAL(103,InvoiceItem[Qty])</f>
        <v>0</v>
      </c>
      <c r="E26" t="s">
        <v>467</v>
      </c>
      <c r="F26" s="182">
        <f>SUBTOTAL(109,InvoiceItem[Amount])</f>
        <v>0</v>
      </c>
    </row>
    <row r="27" spans="1:6">
      <c r="A27" s="134"/>
      <c r="B27" s="135"/>
      <c r="C27" s="135"/>
      <c r="D27" s="135"/>
      <c r="E27" s="135"/>
      <c r="F27" s="141"/>
    </row>
    <row r="28" spans="1:6">
      <c r="A28" s="156" t="s">
        <v>0</v>
      </c>
      <c r="B28" s="34">
        <f ca="1">NOW()</f>
        <v>45025.455462963</v>
      </c>
      <c r="F28" s="172"/>
    </row>
    <row r="29" spans="1:6">
      <c r="A29" s="156"/>
      <c r="B29" t="s">
        <v>468</v>
      </c>
      <c r="C29" t="s">
        <v>469</v>
      </c>
      <c r="F29" s="172"/>
    </row>
    <row r="30" spans="1:6">
      <c r="A30" s="156"/>
      <c r="B30" t="s">
        <v>411</v>
      </c>
      <c r="F30" s="172"/>
    </row>
    <row r="31" spans="1:6">
      <c r="A31" s="156"/>
      <c r="F31" s="172"/>
    </row>
    <row r="32" spans="1:6">
      <c r="A32" s="156"/>
      <c r="E32" s="37" t="s">
        <v>470</v>
      </c>
      <c r="F32" s="172"/>
    </row>
    <row r="33" spans="1:6">
      <c r="A33" s="156"/>
      <c r="F33" s="172"/>
    </row>
    <row r="34" ht="14.75" spans="1:6">
      <c r="A34" s="167"/>
      <c r="B34" s="168" t="s">
        <v>471</v>
      </c>
      <c r="C34" s="168"/>
      <c r="D34" s="168"/>
      <c r="E34" s="183" t="s">
        <v>472</v>
      </c>
      <c r="F34" s="184"/>
    </row>
  </sheetData>
  <mergeCells count="6">
    <mergeCell ref="B2:D2"/>
    <mergeCell ref="B3:D3"/>
    <mergeCell ref="B6:C6"/>
    <mergeCell ref="E6:F6"/>
    <mergeCell ref="C7:D7"/>
    <mergeCell ref="E34:F34"/>
  </mergeCells>
  <printOptions horizontalCentered="1"/>
  <pageMargins left="0.31496062992126" right="0.078740157480315" top="0.078740157480315" bottom="0.354330708661417" header="0.118110236220472" footer="0.31496062992126"/>
  <pageSetup paperSize="2833" scale="15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name="Button 11" r:id="rId3">
              <controlPr print="0" defaultSize="0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name="Button 12" r:id="rId4">
              <controlPr print="0" defaultSize="0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name="Button 14" r:id="rId5">
              <controlPr print="0" defaultSize="0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name="Button 15" r:id="rId6">
              <controlPr print="0" defaultSize="0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name="Button 16" r:id="rId7">
              <controlPr print="0" defaultSize="0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name="Button 17" r:id="rId8">
              <controlPr print="0" defaultSize="0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109"/>
  <sheetViews>
    <sheetView topLeftCell="A42" workbookViewId="0">
      <selection activeCell="D44" sqref="D44"/>
    </sheetView>
  </sheetViews>
  <sheetFormatPr defaultColWidth="9" defaultRowHeight="14"/>
  <cols>
    <col min="2" max="2" width="10.4453125" customWidth="1"/>
    <col min="10" max="10" width="19.890625" customWidth="1"/>
    <col min="11" max="11" width="17.3359375" customWidth="1"/>
    <col min="12" max="12" width="15.5546875" customWidth="1"/>
  </cols>
  <sheetData>
    <row r="1" ht="14.75" spans="10:12">
      <c r="J1" t="s">
        <v>473</v>
      </c>
      <c r="L1" s="26">
        <f ca="1">NOW()</f>
        <v>45025.455462963</v>
      </c>
    </row>
    <row r="2" spans="1:13">
      <c r="A2" s="134" t="s">
        <v>424</v>
      </c>
      <c r="B2" s="135" t="s">
        <v>0</v>
      </c>
      <c r="C2" s="135" t="s">
        <v>443</v>
      </c>
      <c r="D2" s="135" t="s">
        <v>452</v>
      </c>
      <c r="E2" s="135" t="s">
        <v>448</v>
      </c>
      <c r="F2" s="141" t="s">
        <v>456</v>
      </c>
      <c r="I2" s="143" t="s">
        <v>424</v>
      </c>
      <c r="J2" s="144" t="s">
        <v>0</v>
      </c>
      <c r="K2" s="144" t="s">
        <v>474</v>
      </c>
      <c r="L2" s="144" t="s">
        <v>475</v>
      </c>
      <c r="M2" s="151" t="s">
        <v>464</v>
      </c>
    </row>
    <row r="3" ht="15.2" spans="1:13">
      <c r="A3" s="60">
        <v>1</v>
      </c>
      <c r="B3" s="136">
        <v>44986</v>
      </c>
      <c r="C3" s="137" t="s">
        <v>476</v>
      </c>
      <c r="D3" s="137" t="s">
        <v>477</v>
      </c>
      <c r="E3" s="137" t="s">
        <v>476</v>
      </c>
      <c r="F3" s="137" t="s">
        <v>478</v>
      </c>
      <c r="I3" s="145">
        <v>1</v>
      </c>
      <c r="J3" s="146">
        <v>44986.3912384259</v>
      </c>
      <c r="K3" s="147" t="s">
        <v>443</v>
      </c>
      <c r="L3" s="148">
        <v>0.390972222222222</v>
      </c>
      <c r="M3" s="152" t="s">
        <v>457</v>
      </c>
    </row>
    <row r="4" spans="1:13">
      <c r="A4" s="60">
        <v>2</v>
      </c>
      <c r="B4" s="138">
        <v>44987</v>
      </c>
      <c r="C4" s="139" t="s">
        <v>479</v>
      </c>
      <c r="D4" s="139" t="s">
        <v>480</v>
      </c>
      <c r="E4" s="139" t="s">
        <v>479</v>
      </c>
      <c r="F4" s="139" t="s">
        <v>481</v>
      </c>
      <c r="I4" s="149">
        <v>2</v>
      </c>
      <c r="J4" s="146">
        <v>44986.3912384259</v>
      </c>
      <c r="K4" s="60" t="s">
        <v>448</v>
      </c>
      <c r="L4" s="150">
        <v>0.393055555555556</v>
      </c>
      <c r="M4" s="153" t="s">
        <v>457</v>
      </c>
    </row>
    <row r="5" spans="1:13">
      <c r="A5" s="60">
        <v>3</v>
      </c>
      <c r="B5" s="138">
        <v>44988</v>
      </c>
      <c r="C5" s="139" t="s">
        <v>482</v>
      </c>
      <c r="D5" s="139" t="s">
        <v>483</v>
      </c>
      <c r="E5" s="139" t="s">
        <v>484</v>
      </c>
      <c r="F5" s="139" t="s">
        <v>485</v>
      </c>
      <c r="I5" s="149">
        <v>3</v>
      </c>
      <c r="J5" s="146">
        <v>44986.3912384259</v>
      </c>
      <c r="K5" s="60" t="s">
        <v>452</v>
      </c>
      <c r="L5" s="150">
        <v>0.104166666666667</v>
      </c>
      <c r="M5" s="153" t="s">
        <v>457</v>
      </c>
    </row>
    <row r="6" spans="1:13">
      <c r="A6" s="60">
        <v>4</v>
      </c>
      <c r="B6" s="138">
        <v>44989</v>
      </c>
      <c r="C6" s="139" t="s">
        <v>476</v>
      </c>
      <c r="D6" s="139" t="s">
        <v>486</v>
      </c>
      <c r="E6" s="139" t="s">
        <v>476</v>
      </c>
      <c r="F6" s="139" t="s">
        <v>487</v>
      </c>
      <c r="I6" s="145">
        <v>4</v>
      </c>
      <c r="J6" s="146">
        <v>44986.3912384259</v>
      </c>
      <c r="K6" s="147" t="s">
        <v>456</v>
      </c>
      <c r="L6" s="148">
        <v>0.418055555555556</v>
      </c>
      <c r="M6" s="152" t="s">
        <v>457</v>
      </c>
    </row>
    <row r="7" spans="1:13">
      <c r="A7" s="60">
        <v>5</v>
      </c>
      <c r="B7" s="138">
        <v>44990</v>
      </c>
      <c r="C7" s="140" t="s">
        <v>488</v>
      </c>
      <c r="D7" s="140" t="s">
        <v>489</v>
      </c>
      <c r="E7" s="140" t="s">
        <v>490</v>
      </c>
      <c r="F7" s="140" t="s">
        <v>491</v>
      </c>
      <c r="I7" s="149">
        <v>5</v>
      </c>
      <c r="J7" s="146">
        <v>44987.3912384259</v>
      </c>
      <c r="K7" s="147" t="s">
        <v>443</v>
      </c>
      <c r="L7" s="148">
        <v>0.390972222222222</v>
      </c>
      <c r="M7" s="152" t="s">
        <v>457</v>
      </c>
    </row>
    <row r="8" spans="1:13">
      <c r="A8" s="60">
        <v>6</v>
      </c>
      <c r="B8" s="138">
        <v>44991</v>
      </c>
      <c r="C8" s="139" t="s">
        <v>492</v>
      </c>
      <c r="D8" s="139" t="s">
        <v>486</v>
      </c>
      <c r="E8" s="139" t="s">
        <v>492</v>
      </c>
      <c r="F8" s="139" t="s">
        <v>493</v>
      </c>
      <c r="I8" s="149">
        <v>6</v>
      </c>
      <c r="J8" s="146">
        <v>44987.3912384259</v>
      </c>
      <c r="K8" s="60" t="s">
        <v>448</v>
      </c>
      <c r="L8" s="150">
        <v>0.393055555555556</v>
      </c>
      <c r="M8" s="153" t="s">
        <v>457</v>
      </c>
    </row>
    <row r="9" ht="15.2" spans="1:13">
      <c r="A9" s="60">
        <v>7</v>
      </c>
      <c r="B9" s="136">
        <v>44992</v>
      </c>
      <c r="C9" s="139" t="s">
        <v>476</v>
      </c>
      <c r="D9" s="139" t="s">
        <v>494</v>
      </c>
      <c r="E9" s="142" t="s">
        <v>476</v>
      </c>
      <c r="F9" s="139" t="s">
        <v>476</v>
      </c>
      <c r="I9" s="145">
        <v>7</v>
      </c>
      <c r="J9" s="146">
        <v>44987.3912384259</v>
      </c>
      <c r="K9" s="60" t="s">
        <v>452</v>
      </c>
      <c r="L9" s="150">
        <v>0.104166666666667</v>
      </c>
      <c r="M9" s="153" t="s">
        <v>457</v>
      </c>
    </row>
    <row r="10" spans="1:13">
      <c r="A10" s="60">
        <v>8</v>
      </c>
      <c r="B10" s="138">
        <v>44993</v>
      </c>
      <c r="C10" s="140" t="s">
        <v>495</v>
      </c>
      <c r="D10" s="140" t="s">
        <v>496</v>
      </c>
      <c r="E10" s="140" t="s">
        <v>497</v>
      </c>
      <c r="F10" s="140" t="s">
        <v>498</v>
      </c>
      <c r="I10" s="149">
        <v>8</v>
      </c>
      <c r="J10" s="146">
        <v>44987.3912384259</v>
      </c>
      <c r="K10" s="147" t="s">
        <v>456</v>
      </c>
      <c r="L10" s="148">
        <v>0.418055555555556</v>
      </c>
      <c r="M10" s="152" t="s">
        <v>457</v>
      </c>
    </row>
    <row r="11" spans="1:13">
      <c r="A11" s="60">
        <v>9</v>
      </c>
      <c r="B11" s="138">
        <v>44994</v>
      </c>
      <c r="C11" s="140" t="s">
        <v>495</v>
      </c>
      <c r="D11" s="140" t="s">
        <v>496</v>
      </c>
      <c r="E11" s="140" t="s">
        <v>497</v>
      </c>
      <c r="F11" s="140" t="s">
        <v>498</v>
      </c>
      <c r="I11" s="149">
        <v>9</v>
      </c>
      <c r="J11" s="146">
        <v>44988.3912384259</v>
      </c>
      <c r="K11" s="147" t="s">
        <v>443</v>
      </c>
      <c r="L11" s="148">
        <v>0.390972222222222</v>
      </c>
      <c r="M11" s="152" t="s">
        <v>457</v>
      </c>
    </row>
    <row r="12" spans="1:13">
      <c r="A12" s="60">
        <v>10</v>
      </c>
      <c r="B12" s="138">
        <v>44995</v>
      </c>
      <c r="C12" s="139" t="s">
        <v>482</v>
      </c>
      <c r="D12" s="139" t="s">
        <v>499</v>
      </c>
      <c r="E12" s="139" t="s">
        <v>500</v>
      </c>
      <c r="F12" s="139" t="s">
        <v>501</v>
      </c>
      <c r="I12" s="145">
        <v>10</v>
      </c>
      <c r="J12" s="146">
        <v>44988.3912384259</v>
      </c>
      <c r="K12" s="60" t="s">
        <v>448</v>
      </c>
      <c r="L12" s="150">
        <v>0.393055555555556</v>
      </c>
      <c r="M12" s="153" t="s">
        <v>457</v>
      </c>
    </row>
    <row r="13" spans="1:13">
      <c r="A13" s="60">
        <v>11</v>
      </c>
      <c r="B13" s="138">
        <v>44996</v>
      </c>
      <c r="C13" s="139" t="s">
        <v>500</v>
      </c>
      <c r="D13" s="139" t="s">
        <v>502</v>
      </c>
      <c r="E13" s="139" t="s">
        <v>500</v>
      </c>
      <c r="F13" s="139" t="s">
        <v>503</v>
      </c>
      <c r="I13" s="149">
        <v>11</v>
      </c>
      <c r="J13" s="146">
        <v>44988.3912384259</v>
      </c>
      <c r="K13" s="60" t="s">
        <v>452</v>
      </c>
      <c r="L13" s="150">
        <v>0.104166666666667</v>
      </c>
      <c r="M13" s="153" t="s">
        <v>457</v>
      </c>
    </row>
    <row r="14" spans="1:13">
      <c r="A14" s="60">
        <v>12</v>
      </c>
      <c r="B14" s="138">
        <v>44997</v>
      </c>
      <c r="C14" s="140" t="s">
        <v>504</v>
      </c>
      <c r="D14" s="140" t="s">
        <v>504</v>
      </c>
      <c r="E14" s="140" t="s">
        <v>504</v>
      </c>
      <c r="F14" s="140" t="s">
        <v>504</v>
      </c>
      <c r="I14" s="149">
        <v>12</v>
      </c>
      <c r="J14" s="146">
        <v>44988.3912384259</v>
      </c>
      <c r="K14" s="147" t="s">
        <v>456</v>
      </c>
      <c r="L14" s="148">
        <v>0.418055555555556</v>
      </c>
      <c r="M14" s="152" t="s">
        <v>457</v>
      </c>
    </row>
    <row r="15" ht="15.2" spans="1:13">
      <c r="A15" s="60">
        <v>13</v>
      </c>
      <c r="B15" s="136">
        <v>44998</v>
      </c>
      <c r="C15" s="139" t="s">
        <v>476</v>
      </c>
      <c r="D15" s="139" t="s">
        <v>505</v>
      </c>
      <c r="E15" s="139" t="s">
        <v>476</v>
      </c>
      <c r="F15" s="139" t="s">
        <v>506</v>
      </c>
      <c r="I15" s="145">
        <v>13</v>
      </c>
      <c r="J15" s="146">
        <v>44989.3912384259</v>
      </c>
      <c r="K15" s="147" t="s">
        <v>443</v>
      </c>
      <c r="L15" s="148">
        <v>0.390972222222222</v>
      </c>
      <c r="M15" s="152" t="s">
        <v>457</v>
      </c>
    </row>
    <row r="16" spans="1:13">
      <c r="A16" s="60">
        <v>14</v>
      </c>
      <c r="B16" s="138">
        <v>44999</v>
      </c>
      <c r="C16" s="139" t="s">
        <v>490</v>
      </c>
      <c r="D16" s="139" t="s">
        <v>507</v>
      </c>
      <c r="E16" s="139" t="s">
        <v>490</v>
      </c>
      <c r="F16" s="140" t="s">
        <v>508</v>
      </c>
      <c r="I16" s="149">
        <v>14</v>
      </c>
      <c r="J16" s="146">
        <v>44989.3912384259</v>
      </c>
      <c r="K16" s="60" t="s">
        <v>448</v>
      </c>
      <c r="L16" s="150">
        <v>0.393055555555556</v>
      </c>
      <c r="M16" s="153" t="s">
        <v>457</v>
      </c>
    </row>
    <row r="17" spans="1:13">
      <c r="A17" s="60">
        <v>15</v>
      </c>
      <c r="B17" s="138">
        <v>45000</v>
      </c>
      <c r="C17" s="139" t="s">
        <v>479</v>
      </c>
      <c r="D17" s="139" t="s">
        <v>509</v>
      </c>
      <c r="E17" s="139" t="s">
        <v>479</v>
      </c>
      <c r="F17" s="139" t="s">
        <v>487</v>
      </c>
      <c r="I17" s="149">
        <v>15</v>
      </c>
      <c r="J17" s="146">
        <v>44989.3912384259</v>
      </c>
      <c r="K17" s="60" t="s">
        <v>452</v>
      </c>
      <c r="L17" s="150">
        <v>0.104166666666667</v>
      </c>
      <c r="M17" s="153" t="s">
        <v>457</v>
      </c>
    </row>
    <row r="18" spans="1:13">
      <c r="A18" s="60">
        <v>16</v>
      </c>
      <c r="B18" s="138">
        <v>45001</v>
      </c>
      <c r="C18" s="139" t="s">
        <v>510</v>
      </c>
      <c r="D18" s="139" t="s">
        <v>511</v>
      </c>
      <c r="E18" s="139" t="s">
        <v>510</v>
      </c>
      <c r="F18" s="139" t="s">
        <v>512</v>
      </c>
      <c r="I18" s="145">
        <v>16</v>
      </c>
      <c r="J18" s="146">
        <v>44989.3912384259</v>
      </c>
      <c r="K18" s="147" t="s">
        <v>456</v>
      </c>
      <c r="L18" s="148">
        <v>0.418055555555556</v>
      </c>
      <c r="M18" s="152" t="s">
        <v>457</v>
      </c>
    </row>
    <row r="19" spans="1:13">
      <c r="A19" s="60">
        <v>17</v>
      </c>
      <c r="B19" s="138">
        <v>45002</v>
      </c>
      <c r="C19" s="139" t="s">
        <v>488</v>
      </c>
      <c r="D19" s="139" t="s">
        <v>513</v>
      </c>
      <c r="E19" s="139" t="s">
        <v>500</v>
      </c>
      <c r="F19" s="139" t="s">
        <v>514</v>
      </c>
      <c r="I19" s="149">
        <v>17</v>
      </c>
      <c r="J19" s="146">
        <v>44991.3912384259</v>
      </c>
      <c r="K19" s="147" t="s">
        <v>443</v>
      </c>
      <c r="L19" s="148">
        <v>0.390972222222222</v>
      </c>
      <c r="M19" s="152" t="s">
        <v>457</v>
      </c>
    </row>
    <row r="20" spans="1:13">
      <c r="A20" s="60">
        <v>18</v>
      </c>
      <c r="B20" s="138">
        <v>45003</v>
      </c>
      <c r="C20" s="139" t="s">
        <v>476</v>
      </c>
      <c r="D20" s="139" t="s">
        <v>515</v>
      </c>
      <c r="E20" s="139" t="s">
        <v>476</v>
      </c>
      <c r="F20" s="139" t="s">
        <v>503</v>
      </c>
      <c r="I20" s="149">
        <v>18</v>
      </c>
      <c r="J20" s="146">
        <v>44991.3912384259</v>
      </c>
      <c r="K20" s="60" t="s">
        <v>448</v>
      </c>
      <c r="L20" s="150">
        <v>0.393055555555556</v>
      </c>
      <c r="M20" s="153" t="s">
        <v>457</v>
      </c>
    </row>
    <row r="21" ht="15.2" spans="1:13">
      <c r="A21" s="60">
        <v>19</v>
      </c>
      <c r="B21" s="136">
        <v>45004</v>
      </c>
      <c r="C21" s="140" t="s">
        <v>504</v>
      </c>
      <c r="D21" s="140" t="s">
        <v>504</v>
      </c>
      <c r="E21" s="140" t="s">
        <v>504</v>
      </c>
      <c r="F21" s="140" t="s">
        <v>504</v>
      </c>
      <c r="I21" s="145">
        <v>19</v>
      </c>
      <c r="J21" s="146">
        <v>44991.3912384259</v>
      </c>
      <c r="K21" s="60" t="s">
        <v>452</v>
      </c>
      <c r="L21" s="150">
        <v>0.104166666666667</v>
      </c>
      <c r="M21" s="153" t="s">
        <v>457</v>
      </c>
    </row>
    <row r="22" spans="1:13">
      <c r="A22" s="60">
        <v>20</v>
      </c>
      <c r="B22" s="138">
        <v>45005</v>
      </c>
      <c r="C22" s="139" t="s">
        <v>488</v>
      </c>
      <c r="D22" s="139" t="s">
        <v>516</v>
      </c>
      <c r="E22" s="139" t="s">
        <v>488</v>
      </c>
      <c r="F22" s="139" t="s">
        <v>517</v>
      </c>
      <c r="I22" s="149">
        <v>20</v>
      </c>
      <c r="J22" s="146">
        <v>44991.3912384259</v>
      </c>
      <c r="K22" s="147" t="s">
        <v>456</v>
      </c>
      <c r="L22" s="148">
        <v>0.418055555555556</v>
      </c>
      <c r="M22" s="152" t="s">
        <v>457</v>
      </c>
    </row>
    <row r="23" spans="1:13">
      <c r="A23" s="60">
        <v>21</v>
      </c>
      <c r="B23" s="138">
        <v>45006</v>
      </c>
      <c r="C23" s="139" t="s">
        <v>484</v>
      </c>
      <c r="D23" s="139" t="s">
        <v>518</v>
      </c>
      <c r="E23" s="139" t="s">
        <v>484</v>
      </c>
      <c r="F23" s="139" t="s">
        <v>519</v>
      </c>
      <c r="I23" s="145">
        <v>21</v>
      </c>
      <c r="J23" s="146">
        <v>44992.4037847222</v>
      </c>
      <c r="K23" s="147" t="s">
        <v>520</v>
      </c>
      <c r="L23" s="148" t="s">
        <v>521</v>
      </c>
      <c r="M23" s="152" t="s">
        <v>522</v>
      </c>
    </row>
    <row r="24" spans="1:13">
      <c r="A24" s="60">
        <v>22</v>
      </c>
      <c r="B24" s="138">
        <v>45007</v>
      </c>
      <c r="C24" s="139" t="s">
        <v>523</v>
      </c>
      <c r="D24" s="139" t="s">
        <v>524</v>
      </c>
      <c r="E24" s="139" t="s">
        <v>500</v>
      </c>
      <c r="F24" s="139" t="s">
        <v>525</v>
      </c>
      <c r="I24" s="145">
        <v>22</v>
      </c>
      <c r="J24" s="146">
        <v>44992.4039930556</v>
      </c>
      <c r="K24" s="147" t="s">
        <v>526</v>
      </c>
      <c r="L24" s="148" t="s">
        <v>527</v>
      </c>
      <c r="M24" s="152" t="s">
        <v>522</v>
      </c>
    </row>
    <row r="25" spans="1:13">
      <c r="A25" s="60">
        <v>23</v>
      </c>
      <c r="B25" s="138">
        <v>45008</v>
      </c>
      <c r="C25" s="139" t="s">
        <v>528</v>
      </c>
      <c r="D25" s="139" t="s">
        <v>499</v>
      </c>
      <c r="E25" s="139" t="s">
        <v>528</v>
      </c>
      <c r="F25" s="139" t="s">
        <v>529</v>
      </c>
      <c r="I25" s="145">
        <v>23</v>
      </c>
      <c r="J25" s="146">
        <v>44992.4061574074</v>
      </c>
      <c r="K25" s="147" t="s">
        <v>530</v>
      </c>
      <c r="L25" s="148" t="s">
        <v>531</v>
      </c>
      <c r="M25" s="154" t="s">
        <v>532</v>
      </c>
    </row>
    <row r="26" spans="1:13">
      <c r="A26" s="60">
        <v>24</v>
      </c>
      <c r="B26" s="138">
        <v>45009</v>
      </c>
      <c r="C26" s="139" t="s">
        <v>500</v>
      </c>
      <c r="D26" s="139" t="s">
        <v>533</v>
      </c>
      <c r="E26" s="139" t="s">
        <v>500</v>
      </c>
      <c r="F26" s="139" t="s">
        <v>529</v>
      </c>
      <c r="I26" s="145">
        <v>24</v>
      </c>
      <c r="J26" s="146">
        <v>44992.4494675926</v>
      </c>
      <c r="K26" s="147" t="s">
        <v>534</v>
      </c>
      <c r="L26" s="148" t="s">
        <v>535</v>
      </c>
      <c r="M26" s="152" t="s">
        <v>522</v>
      </c>
    </row>
    <row r="27" ht="15.2" spans="1:13">
      <c r="A27" s="60">
        <v>25</v>
      </c>
      <c r="B27" s="136">
        <v>45010</v>
      </c>
      <c r="C27" s="139" t="s">
        <v>484</v>
      </c>
      <c r="D27" s="139" t="s">
        <v>536</v>
      </c>
      <c r="E27" s="139" t="s">
        <v>484</v>
      </c>
      <c r="F27" s="139" t="s">
        <v>485</v>
      </c>
      <c r="I27" s="145"/>
      <c r="J27" s="146"/>
      <c r="K27" s="147"/>
      <c r="L27" s="148"/>
      <c r="M27" s="152"/>
    </row>
    <row r="28" spans="1:13">
      <c r="A28" s="60">
        <v>26</v>
      </c>
      <c r="B28" s="138">
        <v>45011</v>
      </c>
      <c r="C28" s="140" t="s">
        <v>504</v>
      </c>
      <c r="D28" s="140" t="s">
        <v>504</v>
      </c>
      <c r="E28" s="140" t="s">
        <v>504</v>
      </c>
      <c r="F28" s="140" t="s">
        <v>504</v>
      </c>
      <c r="I28" s="145">
        <v>26</v>
      </c>
      <c r="J28" s="146">
        <v>44995.3972685185</v>
      </c>
      <c r="K28" s="147" t="s">
        <v>537</v>
      </c>
      <c r="L28" s="148" t="s">
        <v>482</v>
      </c>
      <c r="M28" s="152" t="s">
        <v>522</v>
      </c>
    </row>
    <row r="29" spans="1:13">
      <c r="A29" s="60">
        <v>27</v>
      </c>
      <c r="B29" s="138">
        <v>45012</v>
      </c>
      <c r="C29" s="137" t="s">
        <v>482</v>
      </c>
      <c r="D29" s="137" t="s">
        <v>538</v>
      </c>
      <c r="E29" s="137" t="s">
        <v>476</v>
      </c>
      <c r="F29" s="137" t="s">
        <v>539</v>
      </c>
      <c r="I29" s="145">
        <v>27</v>
      </c>
      <c r="J29" s="146">
        <v>44995.3974537037</v>
      </c>
      <c r="K29" s="147" t="s">
        <v>530</v>
      </c>
      <c r="L29" s="148" t="s">
        <v>500</v>
      </c>
      <c r="M29" s="152" t="s">
        <v>522</v>
      </c>
    </row>
    <row r="30" spans="1:13">
      <c r="A30" s="60">
        <v>28</v>
      </c>
      <c r="B30" s="138">
        <v>45013</v>
      </c>
      <c r="C30" s="137" t="s">
        <v>476</v>
      </c>
      <c r="D30" s="137" t="s">
        <v>540</v>
      </c>
      <c r="E30" s="137" t="s">
        <v>476</v>
      </c>
      <c r="F30" s="137" t="s">
        <v>529</v>
      </c>
      <c r="I30" s="145">
        <v>28</v>
      </c>
      <c r="J30" s="146">
        <v>44995.4107523148</v>
      </c>
      <c r="K30" s="147" t="s">
        <v>541</v>
      </c>
      <c r="L30" s="148" t="s">
        <v>501</v>
      </c>
      <c r="M30" s="152" t="s">
        <v>522</v>
      </c>
    </row>
    <row r="31" spans="1:13">
      <c r="A31" s="60">
        <v>29</v>
      </c>
      <c r="B31" s="138">
        <v>45014</v>
      </c>
      <c r="C31" s="137" t="s">
        <v>500</v>
      </c>
      <c r="D31" s="137" t="s">
        <v>542</v>
      </c>
      <c r="E31" s="137" t="s">
        <v>500</v>
      </c>
      <c r="F31" s="137" t="s">
        <v>512</v>
      </c>
      <c r="I31" s="145">
        <v>29</v>
      </c>
      <c r="J31" s="146">
        <v>44995.4388888889</v>
      </c>
      <c r="K31" s="147" t="s">
        <v>534</v>
      </c>
      <c r="L31" s="148" t="s">
        <v>499</v>
      </c>
      <c r="M31" s="152" t="s">
        <v>522</v>
      </c>
    </row>
    <row r="32" spans="1:13">
      <c r="A32" s="60">
        <v>30</v>
      </c>
      <c r="B32" s="138">
        <v>45015</v>
      </c>
      <c r="C32" s="137" t="s">
        <v>523</v>
      </c>
      <c r="D32" s="137" t="s">
        <v>543</v>
      </c>
      <c r="E32" s="137" t="s">
        <v>492</v>
      </c>
      <c r="F32" s="137" t="s">
        <v>544</v>
      </c>
      <c r="I32" s="145">
        <v>30</v>
      </c>
      <c r="J32" s="146">
        <v>44996.4032523148</v>
      </c>
      <c r="K32" s="147" t="s">
        <v>545</v>
      </c>
      <c r="L32" s="148" t="s">
        <v>546</v>
      </c>
      <c r="M32" s="152" t="s">
        <v>547</v>
      </c>
    </row>
    <row r="33" ht="15.2" spans="1:13">
      <c r="A33" s="60">
        <v>31</v>
      </c>
      <c r="B33" s="136">
        <v>45016</v>
      </c>
      <c r="C33" s="139" t="s">
        <v>500</v>
      </c>
      <c r="D33" s="139"/>
      <c r="E33" s="139" t="s">
        <v>500</v>
      </c>
      <c r="F33" s="139" t="s">
        <v>481</v>
      </c>
      <c r="I33" s="145">
        <v>31</v>
      </c>
      <c r="J33" s="146">
        <v>44996.4034606482</v>
      </c>
      <c r="K33" s="147" t="s">
        <v>548</v>
      </c>
      <c r="L33" s="148" t="s">
        <v>546</v>
      </c>
      <c r="M33" s="152" t="s">
        <v>547</v>
      </c>
    </row>
    <row r="34" spans="9:13">
      <c r="I34" s="145">
        <v>32</v>
      </c>
      <c r="J34" s="146">
        <v>44996.4148148148</v>
      </c>
      <c r="K34" s="147" t="s">
        <v>549</v>
      </c>
      <c r="L34" s="148" t="s">
        <v>550</v>
      </c>
      <c r="M34" s="152" t="s">
        <v>547</v>
      </c>
    </row>
    <row r="35" ht="14.75" spans="9:13">
      <c r="I35" s="145">
        <v>33</v>
      </c>
      <c r="J35" s="146">
        <v>44996.4500462963</v>
      </c>
      <c r="K35" s="147" t="s">
        <v>551</v>
      </c>
      <c r="L35" s="148" t="s">
        <v>552</v>
      </c>
      <c r="M35" s="152" t="s">
        <v>547</v>
      </c>
    </row>
    <row r="36" spans="1:13">
      <c r="A36" s="134" t="s">
        <v>424</v>
      </c>
      <c r="B36" s="135" t="s">
        <v>0</v>
      </c>
      <c r="C36" s="135" t="s">
        <v>443</v>
      </c>
      <c r="D36" s="135" t="s">
        <v>452</v>
      </c>
      <c r="E36" s="135" t="s">
        <v>448</v>
      </c>
      <c r="F36" s="141" t="s">
        <v>456</v>
      </c>
      <c r="I36" s="145">
        <v>34</v>
      </c>
      <c r="J36" s="146">
        <v>44998.4069097222</v>
      </c>
      <c r="K36" s="147" t="s">
        <v>520</v>
      </c>
      <c r="L36" s="148" t="s">
        <v>476</v>
      </c>
      <c r="M36" s="152" t="s">
        <v>522</v>
      </c>
    </row>
    <row r="37" ht="15.2" spans="1:13">
      <c r="A37" s="60">
        <v>1</v>
      </c>
      <c r="B37" s="136">
        <v>45017</v>
      </c>
      <c r="C37" s="137" t="s">
        <v>476</v>
      </c>
      <c r="D37" s="137"/>
      <c r="E37" s="137" t="s">
        <v>476</v>
      </c>
      <c r="F37" s="137" t="s">
        <v>478</v>
      </c>
      <c r="I37" s="145">
        <v>35</v>
      </c>
      <c r="J37" s="146">
        <v>44998.4070486111</v>
      </c>
      <c r="K37" s="147" t="s">
        <v>530</v>
      </c>
      <c r="L37" s="148" t="s">
        <v>476</v>
      </c>
      <c r="M37" s="152" t="s">
        <v>522</v>
      </c>
    </row>
    <row r="38" spans="1:13">
      <c r="A38" s="60">
        <v>2</v>
      </c>
      <c r="B38" s="138">
        <v>45018</v>
      </c>
      <c r="C38" s="140" t="s">
        <v>504</v>
      </c>
      <c r="D38" s="140" t="s">
        <v>504</v>
      </c>
      <c r="E38" s="140" t="s">
        <v>504</v>
      </c>
      <c r="F38" s="140" t="s">
        <v>504</v>
      </c>
      <c r="I38" s="145">
        <v>36</v>
      </c>
      <c r="J38" s="146">
        <v>44998.4140625</v>
      </c>
      <c r="K38" s="147" t="s">
        <v>526</v>
      </c>
      <c r="L38" s="148" t="s">
        <v>506</v>
      </c>
      <c r="M38" s="152" t="s">
        <v>522</v>
      </c>
    </row>
    <row r="39" ht="15.2" spans="1:13">
      <c r="A39" s="60">
        <v>3</v>
      </c>
      <c r="B39" s="136">
        <v>45019</v>
      </c>
      <c r="C39" s="139" t="s">
        <v>482</v>
      </c>
      <c r="D39" s="139" t="s">
        <v>553</v>
      </c>
      <c r="E39" s="140" t="s">
        <v>554</v>
      </c>
      <c r="F39" s="139" t="s">
        <v>485</v>
      </c>
      <c r="I39" s="145">
        <v>37</v>
      </c>
      <c r="J39" s="146">
        <v>44998.6175347222</v>
      </c>
      <c r="K39" s="147" t="s">
        <v>534</v>
      </c>
      <c r="L39" s="148" t="s">
        <v>555</v>
      </c>
      <c r="M39" s="152" t="s">
        <v>522</v>
      </c>
    </row>
    <row r="40" spans="1:13">
      <c r="A40" s="60">
        <v>4</v>
      </c>
      <c r="B40" s="138">
        <v>45020</v>
      </c>
      <c r="C40" s="139" t="s">
        <v>476</v>
      </c>
      <c r="D40" s="139" t="s">
        <v>486</v>
      </c>
      <c r="E40" s="139" t="s">
        <v>476</v>
      </c>
      <c r="F40" s="139" t="s">
        <v>487</v>
      </c>
      <c r="I40" s="145">
        <v>38</v>
      </c>
      <c r="J40" s="146">
        <v>44999.4008564815</v>
      </c>
      <c r="K40" s="147" t="s">
        <v>443</v>
      </c>
      <c r="L40" s="148" t="s">
        <v>490</v>
      </c>
      <c r="M40" s="152" t="s">
        <v>522</v>
      </c>
    </row>
    <row r="41" ht="15.2" spans="1:13">
      <c r="A41" s="60">
        <v>5</v>
      </c>
      <c r="B41" s="136">
        <v>45021</v>
      </c>
      <c r="C41" s="137" t="s">
        <v>488</v>
      </c>
      <c r="D41" s="137" t="s">
        <v>489</v>
      </c>
      <c r="E41" s="137" t="s">
        <v>490</v>
      </c>
      <c r="F41" s="137" t="s">
        <v>491</v>
      </c>
      <c r="I41" s="145">
        <v>39</v>
      </c>
      <c r="J41" s="146">
        <v>44999.4011111111</v>
      </c>
      <c r="K41" s="147" t="s">
        <v>448</v>
      </c>
      <c r="L41" s="148" t="s">
        <v>490</v>
      </c>
      <c r="M41" s="152" t="s">
        <v>457</v>
      </c>
    </row>
    <row r="42" spans="1:13">
      <c r="A42" s="60">
        <v>6</v>
      </c>
      <c r="B42" s="138">
        <v>45022</v>
      </c>
      <c r="C42" s="139" t="s">
        <v>492</v>
      </c>
      <c r="D42" s="139" t="s">
        <v>486</v>
      </c>
      <c r="E42" s="139" t="s">
        <v>492</v>
      </c>
      <c r="F42" s="139" t="s">
        <v>493</v>
      </c>
      <c r="I42" s="145">
        <v>40</v>
      </c>
      <c r="J42" s="146">
        <v>44999.4152314815</v>
      </c>
      <c r="K42" s="147" t="s">
        <v>456</v>
      </c>
      <c r="L42" s="148" t="s">
        <v>503</v>
      </c>
      <c r="M42" s="154" t="s">
        <v>532</v>
      </c>
    </row>
    <row r="43" ht="15.2" spans="1:13">
      <c r="A43" s="60">
        <v>7</v>
      </c>
      <c r="B43" s="136">
        <v>45023</v>
      </c>
      <c r="C43" s="139" t="s">
        <v>476</v>
      </c>
      <c r="D43" s="139" t="s">
        <v>494</v>
      </c>
      <c r="E43" s="139" t="s">
        <v>476</v>
      </c>
      <c r="F43" s="139" t="s">
        <v>476</v>
      </c>
      <c r="I43" s="145">
        <v>41</v>
      </c>
      <c r="J43" s="146">
        <v>44999.6061921296</v>
      </c>
      <c r="K43" s="147" t="s">
        <v>452</v>
      </c>
      <c r="L43" s="148" t="s">
        <v>507</v>
      </c>
      <c r="M43" s="155" t="s">
        <v>457</v>
      </c>
    </row>
    <row r="44" spans="1:13">
      <c r="A44" s="60">
        <v>8</v>
      </c>
      <c r="B44" s="138">
        <v>45024</v>
      </c>
      <c r="C44" s="140"/>
      <c r="D44" s="140"/>
      <c r="E44" s="140"/>
      <c r="F44" s="140"/>
      <c r="I44" s="145">
        <v>42</v>
      </c>
      <c r="J44" s="146">
        <v>45000.4071180556</v>
      </c>
      <c r="K44" s="147" t="s">
        <v>443</v>
      </c>
      <c r="L44" s="148" t="s">
        <v>479</v>
      </c>
      <c r="M44" s="155" t="s">
        <v>457</v>
      </c>
    </row>
    <row r="45" ht="15.2" spans="1:13">
      <c r="A45" s="60">
        <v>9</v>
      </c>
      <c r="B45" s="136">
        <v>45025</v>
      </c>
      <c r="C45" s="140"/>
      <c r="D45" s="140"/>
      <c r="E45" s="140"/>
      <c r="F45" s="140"/>
      <c r="I45" s="145">
        <v>43</v>
      </c>
      <c r="J45" s="146">
        <v>45000.407349537</v>
      </c>
      <c r="K45" s="147" t="s">
        <v>448</v>
      </c>
      <c r="L45" s="148" t="s">
        <v>479</v>
      </c>
      <c r="M45" s="155" t="s">
        <v>457</v>
      </c>
    </row>
    <row r="46" spans="1:13">
      <c r="A46" s="60">
        <v>10</v>
      </c>
      <c r="B46" s="138">
        <v>45026</v>
      </c>
      <c r="C46" s="139"/>
      <c r="D46" s="139"/>
      <c r="E46" s="139"/>
      <c r="F46" s="139"/>
      <c r="I46" s="145">
        <v>44</v>
      </c>
      <c r="J46" s="146">
        <v>45000.4167013889</v>
      </c>
      <c r="K46" s="147" t="s">
        <v>456</v>
      </c>
      <c r="L46" s="148" t="s">
        <v>487</v>
      </c>
      <c r="M46" s="155" t="s">
        <v>457</v>
      </c>
    </row>
    <row r="47" ht="15.2" spans="1:13">
      <c r="A47" s="60">
        <v>11</v>
      </c>
      <c r="B47" s="136">
        <v>45027</v>
      </c>
      <c r="C47" s="139"/>
      <c r="D47" s="139"/>
      <c r="E47" s="139"/>
      <c r="F47" s="139"/>
      <c r="I47" s="145">
        <v>45</v>
      </c>
      <c r="J47" s="146">
        <v>45000.5233217593</v>
      </c>
      <c r="K47" s="147" t="s">
        <v>452</v>
      </c>
      <c r="L47" s="148" t="s">
        <v>509</v>
      </c>
      <c r="M47" s="155" t="s">
        <v>457</v>
      </c>
    </row>
    <row r="48" spans="1:13">
      <c r="A48" s="60">
        <v>12</v>
      </c>
      <c r="B48" s="138">
        <v>45028</v>
      </c>
      <c r="C48" s="140"/>
      <c r="D48" s="140"/>
      <c r="E48" s="140"/>
      <c r="F48" s="140"/>
      <c r="I48" s="145">
        <v>46</v>
      </c>
      <c r="J48" s="146">
        <v>45001.408275463</v>
      </c>
      <c r="K48" s="147" t="s">
        <v>443</v>
      </c>
      <c r="L48" s="148" t="s">
        <v>510</v>
      </c>
      <c r="M48" s="155" t="s">
        <v>457</v>
      </c>
    </row>
    <row r="49" ht="15.2" spans="1:13">
      <c r="A49" s="60">
        <v>13</v>
      </c>
      <c r="B49" s="136">
        <v>45029</v>
      </c>
      <c r="C49" s="139"/>
      <c r="D49" s="139"/>
      <c r="E49" s="139"/>
      <c r="F49" s="139"/>
      <c r="I49" s="145">
        <v>47</v>
      </c>
      <c r="J49" s="146">
        <v>45001.4084953704</v>
      </c>
      <c r="K49" s="147" t="s">
        <v>448</v>
      </c>
      <c r="L49" s="148" t="s">
        <v>510</v>
      </c>
      <c r="M49" s="155" t="s">
        <v>457</v>
      </c>
    </row>
    <row r="50" spans="1:13">
      <c r="A50" s="60">
        <v>14</v>
      </c>
      <c r="B50" s="138">
        <v>45030</v>
      </c>
      <c r="C50" s="139"/>
      <c r="D50" s="139"/>
      <c r="E50" s="139"/>
      <c r="F50" s="140"/>
      <c r="I50" s="145">
        <v>48</v>
      </c>
      <c r="J50" s="146">
        <v>45001.415775463</v>
      </c>
      <c r="K50" s="147" t="s">
        <v>456</v>
      </c>
      <c r="L50" s="148" t="s">
        <v>512</v>
      </c>
      <c r="M50" s="155" t="s">
        <v>457</v>
      </c>
    </row>
    <row r="51" ht="15.2" spans="1:13">
      <c r="A51" s="60">
        <v>15</v>
      </c>
      <c r="B51" s="136">
        <v>45031</v>
      </c>
      <c r="C51" s="139"/>
      <c r="D51" s="139"/>
      <c r="E51" s="139"/>
      <c r="F51" s="139"/>
      <c r="I51" s="145">
        <v>49</v>
      </c>
      <c r="J51" s="146">
        <v>45001.6092939815</v>
      </c>
      <c r="K51" s="147" t="s">
        <v>452</v>
      </c>
      <c r="L51" s="148" t="s">
        <v>511</v>
      </c>
      <c r="M51" s="155" t="s">
        <v>457</v>
      </c>
    </row>
    <row r="52" spans="1:13">
      <c r="A52" s="60">
        <v>16</v>
      </c>
      <c r="B52" s="138">
        <v>45032</v>
      </c>
      <c r="C52" s="139"/>
      <c r="D52" s="139"/>
      <c r="E52" s="139"/>
      <c r="F52" s="139"/>
      <c r="I52" s="145">
        <v>50</v>
      </c>
      <c r="J52" s="146">
        <v>45002.4008680556</v>
      </c>
      <c r="K52" s="147" t="s">
        <v>443</v>
      </c>
      <c r="L52" s="148" t="s">
        <v>488</v>
      </c>
      <c r="M52" s="155" t="s">
        <v>457</v>
      </c>
    </row>
    <row r="53" ht="15.2" spans="1:13">
      <c r="A53" s="60">
        <v>17</v>
      </c>
      <c r="B53" s="136">
        <v>45033</v>
      </c>
      <c r="C53" s="139"/>
      <c r="D53" s="139"/>
      <c r="E53" s="139"/>
      <c r="F53" s="139"/>
      <c r="I53" s="145">
        <v>51</v>
      </c>
      <c r="J53" s="146">
        <v>45002.4010763889</v>
      </c>
      <c r="K53" s="147" t="s">
        <v>448</v>
      </c>
      <c r="L53" s="148" t="s">
        <v>500</v>
      </c>
      <c r="M53" s="155" t="s">
        <v>457</v>
      </c>
    </row>
    <row r="54" spans="1:13">
      <c r="A54" s="60">
        <v>18</v>
      </c>
      <c r="B54" s="138">
        <v>45034</v>
      </c>
      <c r="C54" s="139"/>
      <c r="D54" s="139"/>
      <c r="E54" s="139"/>
      <c r="F54" s="139"/>
      <c r="I54" s="145">
        <v>52</v>
      </c>
      <c r="J54" s="146">
        <v>45002.4054398148</v>
      </c>
      <c r="K54" s="147" t="s">
        <v>456</v>
      </c>
      <c r="L54" s="148" t="s">
        <v>514</v>
      </c>
      <c r="M54" s="155" t="s">
        <v>457</v>
      </c>
    </row>
    <row r="55" ht="15.2" spans="1:13">
      <c r="A55" s="60">
        <v>19</v>
      </c>
      <c r="B55" s="136">
        <v>45035</v>
      </c>
      <c r="C55" s="140"/>
      <c r="D55" s="140"/>
      <c r="E55" s="140"/>
      <c r="F55" s="140"/>
      <c r="I55" s="145">
        <v>53</v>
      </c>
      <c r="J55" s="146">
        <v>45002.6072916667</v>
      </c>
      <c r="K55" s="147" t="s">
        <v>452</v>
      </c>
      <c r="L55" s="148" t="s">
        <v>513</v>
      </c>
      <c r="M55" s="155" t="s">
        <v>457</v>
      </c>
    </row>
    <row r="56" spans="1:13">
      <c r="A56" s="60">
        <v>20</v>
      </c>
      <c r="B56" s="138">
        <v>45036</v>
      </c>
      <c r="C56" s="139"/>
      <c r="D56" s="139"/>
      <c r="E56" s="139"/>
      <c r="F56" s="139"/>
      <c r="I56" s="145">
        <v>54</v>
      </c>
      <c r="J56" s="146">
        <v>45003.4082986111</v>
      </c>
      <c r="K56" s="147" t="s">
        <v>443</v>
      </c>
      <c r="L56" s="148" t="s">
        <v>476</v>
      </c>
      <c r="M56" s="155" t="s">
        <v>457</v>
      </c>
    </row>
    <row r="57" ht="15.2" spans="1:13">
      <c r="A57" s="60">
        <v>21</v>
      </c>
      <c r="B57" s="136">
        <v>45037</v>
      </c>
      <c r="C57" s="139"/>
      <c r="D57" s="139"/>
      <c r="E57" s="139"/>
      <c r="F57" s="139"/>
      <c r="I57" s="145">
        <v>55</v>
      </c>
      <c r="J57" s="146">
        <v>45003.4084953704</v>
      </c>
      <c r="K57" s="147" t="s">
        <v>448</v>
      </c>
      <c r="L57" s="148" t="s">
        <v>476</v>
      </c>
      <c r="M57" s="155" t="s">
        <v>457</v>
      </c>
    </row>
    <row r="58" spans="1:13">
      <c r="A58" s="60">
        <v>22</v>
      </c>
      <c r="B58" s="138">
        <v>45038</v>
      </c>
      <c r="C58" s="139"/>
      <c r="D58" s="139"/>
      <c r="E58" s="139"/>
      <c r="F58" s="139"/>
      <c r="I58" s="145">
        <v>56</v>
      </c>
      <c r="J58" s="146">
        <v>45003.4147916667</v>
      </c>
      <c r="K58" s="147" t="s">
        <v>456</v>
      </c>
      <c r="L58" s="148" t="s">
        <v>503</v>
      </c>
      <c r="M58" s="155" t="s">
        <v>457</v>
      </c>
    </row>
    <row r="59" ht="15.2" spans="1:13">
      <c r="A59" s="60">
        <v>23</v>
      </c>
      <c r="B59" s="136">
        <v>45039</v>
      </c>
      <c r="C59" s="139"/>
      <c r="D59" s="139"/>
      <c r="E59" s="139"/>
      <c r="F59" s="139"/>
      <c r="I59" s="145">
        <v>57</v>
      </c>
      <c r="J59" s="146">
        <v>45003.605</v>
      </c>
      <c r="K59" s="147" t="s">
        <v>452</v>
      </c>
      <c r="L59" s="148" t="s">
        <v>515</v>
      </c>
      <c r="M59" s="155" t="s">
        <v>457</v>
      </c>
    </row>
    <row r="60" spans="1:13">
      <c r="A60" s="60">
        <v>24</v>
      </c>
      <c r="B60" s="138">
        <v>45040</v>
      </c>
      <c r="C60" s="139"/>
      <c r="D60" s="139"/>
      <c r="E60" s="139"/>
      <c r="F60" s="139"/>
      <c r="I60" s="145">
        <v>58</v>
      </c>
      <c r="J60" s="146">
        <v>45005.3988078704</v>
      </c>
      <c r="K60" s="147" t="s">
        <v>443</v>
      </c>
      <c r="L60" s="148" t="s">
        <v>488</v>
      </c>
      <c r="M60" s="155" t="s">
        <v>457</v>
      </c>
    </row>
    <row r="61" ht="15.2" spans="1:13">
      <c r="A61" s="60">
        <v>25</v>
      </c>
      <c r="B61" s="136">
        <v>45041</v>
      </c>
      <c r="C61" s="139"/>
      <c r="D61" s="139"/>
      <c r="E61" s="139"/>
      <c r="F61" s="139"/>
      <c r="I61" s="145">
        <v>59</v>
      </c>
      <c r="J61" s="146">
        <v>45005.3990046296</v>
      </c>
      <c r="K61" s="147" t="s">
        <v>448</v>
      </c>
      <c r="L61" s="148" t="s">
        <v>488</v>
      </c>
      <c r="M61" s="155" t="s">
        <v>457</v>
      </c>
    </row>
    <row r="62" spans="1:13">
      <c r="A62" s="60">
        <v>26</v>
      </c>
      <c r="B62" s="138">
        <v>45042</v>
      </c>
      <c r="C62" s="140"/>
      <c r="D62" s="140"/>
      <c r="E62" s="140"/>
      <c r="F62" s="140"/>
      <c r="I62" s="145">
        <v>60</v>
      </c>
      <c r="J62" s="146">
        <v>45005.4200694444</v>
      </c>
      <c r="K62" s="147" t="s">
        <v>456</v>
      </c>
      <c r="L62" s="148" t="s">
        <v>517</v>
      </c>
      <c r="M62" s="155" t="s">
        <v>457</v>
      </c>
    </row>
    <row r="63" ht="15.2" spans="1:13">
      <c r="A63" s="60">
        <v>27</v>
      </c>
      <c r="B63" s="136">
        <v>45043</v>
      </c>
      <c r="C63" s="137"/>
      <c r="D63" s="137"/>
      <c r="E63" s="137"/>
      <c r="F63" s="137"/>
      <c r="I63" s="145">
        <v>61</v>
      </c>
      <c r="J63" s="146">
        <v>45005.5694328704</v>
      </c>
      <c r="K63" s="147" t="s">
        <v>452</v>
      </c>
      <c r="L63" s="148" t="s">
        <v>516</v>
      </c>
      <c r="M63" s="155" t="s">
        <v>457</v>
      </c>
    </row>
    <row r="64" spans="1:13">
      <c r="A64" s="60">
        <v>28</v>
      </c>
      <c r="B64" s="138">
        <v>45044</v>
      </c>
      <c r="C64" s="137"/>
      <c r="D64" s="137"/>
      <c r="E64" s="137"/>
      <c r="F64" s="137"/>
      <c r="I64" s="145">
        <v>62</v>
      </c>
      <c r="J64" s="146">
        <v>45006.4008449074</v>
      </c>
      <c r="K64" s="147" t="s">
        <v>443</v>
      </c>
      <c r="L64" s="148" t="s">
        <v>484</v>
      </c>
      <c r="M64" s="155" t="s">
        <v>457</v>
      </c>
    </row>
    <row r="65" ht="15.2" spans="1:13">
      <c r="A65" s="60">
        <v>29</v>
      </c>
      <c r="B65" s="136">
        <v>45045</v>
      </c>
      <c r="C65" s="137"/>
      <c r="D65" s="137"/>
      <c r="E65" s="137"/>
      <c r="F65" s="137"/>
      <c r="I65" s="145">
        <v>63</v>
      </c>
      <c r="J65" s="146">
        <v>45006.4010648148</v>
      </c>
      <c r="K65" s="147" t="s">
        <v>448</v>
      </c>
      <c r="L65" s="148" t="s">
        <v>484</v>
      </c>
      <c r="M65" s="155" t="s">
        <v>457</v>
      </c>
    </row>
    <row r="66" spans="1:13">
      <c r="A66" s="60">
        <v>30</v>
      </c>
      <c r="B66" s="138">
        <v>45046</v>
      </c>
      <c r="C66" s="137"/>
      <c r="D66" s="137"/>
      <c r="E66" s="137"/>
      <c r="F66" s="137"/>
      <c r="I66" s="145">
        <v>64</v>
      </c>
      <c r="J66" s="146">
        <v>45006.409224537</v>
      </c>
      <c r="K66" s="147" t="s">
        <v>456</v>
      </c>
      <c r="L66" s="148" t="s">
        <v>519</v>
      </c>
      <c r="M66" s="155" t="s">
        <v>457</v>
      </c>
    </row>
    <row r="67" ht="15.2" spans="1:13">
      <c r="A67" s="60">
        <v>31</v>
      </c>
      <c r="B67" s="136"/>
      <c r="C67" s="139"/>
      <c r="D67" s="139"/>
      <c r="E67" s="139"/>
      <c r="F67" s="139"/>
      <c r="I67" s="145">
        <v>65</v>
      </c>
      <c r="J67" s="146">
        <v>45006.5582986111</v>
      </c>
      <c r="K67" s="147" t="s">
        <v>452</v>
      </c>
      <c r="L67" s="148" t="s">
        <v>518</v>
      </c>
      <c r="M67" s="155" t="s">
        <v>457</v>
      </c>
    </row>
    <row r="68" spans="9:13">
      <c r="I68" s="145">
        <v>66</v>
      </c>
      <c r="J68" s="146">
        <v>45007.3995486111</v>
      </c>
      <c r="K68" s="147" t="s">
        <v>443</v>
      </c>
      <c r="L68" s="148" t="s">
        <v>523</v>
      </c>
      <c r="M68" s="155" t="s">
        <v>457</v>
      </c>
    </row>
    <row r="69" spans="9:13">
      <c r="I69" s="145">
        <v>67</v>
      </c>
      <c r="J69" s="146">
        <v>45007.3997337963</v>
      </c>
      <c r="K69" s="147" t="s">
        <v>448</v>
      </c>
      <c r="L69" s="148" t="s">
        <v>500</v>
      </c>
      <c r="M69" s="155" t="s">
        <v>457</v>
      </c>
    </row>
    <row r="70" spans="9:13">
      <c r="I70" s="145">
        <v>68</v>
      </c>
      <c r="J70" s="146">
        <v>45007.4039930556</v>
      </c>
      <c r="K70" s="147" t="s">
        <v>456</v>
      </c>
      <c r="L70" s="148" t="s">
        <v>525</v>
      </c>
      <c r="M70" s="155" t="s">
        <v>457</v>
      </c>
    </row>
    <row r="71" spans="9:13">
      <c r="I71" s="145">
        <v>69</v>
      </c>
      <c r="J71" s="146">
        <v>45007.566099537</v>
      </c>
      <c r="K71" s="147" t="s">
        <v>452</v>
      </c>
      <c r="L71" s="148" t="s">
        <v>524</v>
      </c>
      <c r="M71" s="155" t="s">
        <v>457</v>
      </c>
    </row>
    <row r="72" spans="9:13">
      <c r="I72" s="145">
        <v>70</v>
      </c>
      <c r="J72" s="146">
        <v>45008.4055671296</v>
      </c>
      <c r="K72" s="147" t="s">
        <v>443</v>
      </c>
      <c r="L72" s="148" t="s">
        <v>528</v>
      </c>
      <c r="M72" s="155" t="s">
        <v>457</v>
      </c>
    </row>
    <row r="73" spans="9:13">
      <c r="I73" s="145">
        <v>71</v>
      </c>
      <c r="J73" s="146">
        <v>45008.4057523148</v>
      </c>
      <c r="K73" s="147" t="s">
        <v>448</v>
      </c>
      <c r="L73" s="148" t="s">
        <v>528</v>
      </c>
      <c r="M73" s="155" t="s">
        <v>457</v>
      </c>
    </row>
    <row r="74" spans="9:13">
      <c r="I74" s="145">
        <v>72</v>
      </c>
      <c r="J74" s="146">
        <v>45008.4159027778</v>
      </c>
      <c r="K74" s="147" t="s">
        <v>456</v>
      </c>
      <c r="L74" s="148" t="s">
        <v>529</v>
      </c>
      <c r="M74" s="155" t="s">
        <v>457</v>
      </c>
    </row>
    <row r="75" spans="9:13">
      <c r="I75" s="145">
        <v>73</v>
      </c>
      <c r="J75" s="146">
        <v>45008.4383449074</v>
      </c>
      <c r="K75" s="147" t="s">
        <v>452</v>
      </c>
      <c r="L75" s="148" t="s">
        <v>499</v>
      </c>
      <c r="M75" s="155" t="s">
        <v>457</v>
      </c>
    </row>
    <row r="76" spans="9:13">
      <c r="I76" s="145">
        <v>74</v>
      </c>
      <c r="J76" s="146">
        <v>45009.4010532407</v>
      </c>
      <c r="K76" s="147" t="s">
        <v>443</v>
      </c>
      <c r="L76" s="148" t="s">
        <v>500</v>
      </c>
      <c r="M76" s="155" t="s">
        <v>457</v>
      </c>
    </row>
    <row r="77" spans="9:13">
      <c r="I77" s="145">
        <v>75</v>
      </c>
      <c r="J77" s="146">
        <v>45009.40125</v>
      </c>
      <c r="K77" s="147" t="s">
        <v>448</v>
      </c>
      <c r="L77" s="148" t="s">
        <v>500</v>
      </c>
      <c r="M77" s="155" t="s">
        <v>457</v>
      </c>
    </row>
    <row r="78" spans="9:13">
      <c r="I78" s="145">
        <v>76</v>
      </c>
      <c r="J78" s="146">
        <v>45009.4158680556</v>
      </c>
      <c r="K78" s="147" t="s">
        <v>456</v>
      </c>
      <c r="L78" s="148" t="s">
        <v>529</v>
      </c>
      <c r="M78" s="155" t="s">
        <v>457</v>
      </c>
    </row>
    <row r="79" spans="9:13">
      <c r="I79" s="145">
        <v>77</v>
      </c>
      <c r="J79" s="146">
        <v>45009.4367361111</v>
      </c>
      <c r="K79" s="147" t="s">
        <v>452</v>
      </c>
      <c r="L79" s="148" t="s">
        <v>533</v>
      </c>
      <c r="M79" s="155" t="s">
        <v>457</v>
      </c>
    </row>
    <row r="80" spans="9:13">
      <c r="I80" s="145">
        <v>78</v>
      </c>
      <c r="J80" s="146">
        <v>45010.3983101852</v>
      </c>
      <c r="K80" s="147" t="s">
        <v>443</v>
      </c>
      <c r="L80" s="148" t="s">
        <v>484</v>
      </c>
      <c r="M80" s="155" t="s">
        <v>457</v>
      </c>
    </row>
    <row r="81" spans="9:13">
      <c r="I81" s="145">
        <v>79</v>
      </c>
      <c r="J81" s="146">
        <v>45010.3985069444</v>
      </c>
      <c r="K81" s="147" t="s">
        <v>448</v>
      </c>
      <c r="L81" s="148" t="s">
        <v>484</v>
      </c>
      <c r="M81" s="155" t="s">
        <v>457</v>
      </c>
    </row>
    <row r="82" spans="9:13">
      <c r="I82" s="145">
        <v>80</v>
      </c>
      <c r="J82" s="146">
        <v>45010.4111805556</v>
      </c>
      <c r="K82" s="147" t="s">
        <v>456</v>
      </c>
      <c r="L82" s="148" t="s">
        <v>485</v>
      </c>
      <c r="M82" s="155" t="s">
        <v>457</v>
      </c>
    </row>
    <row r="83" spans="9:13">
      <c r="I83" s="145">
        <v>81</v>
      </c>
      <c r="J83" s="146">
        <v>45010.5585185185</v>
      </c>
      <c r="K83" s="147" t="s">
        <v>452</v>
      </c>
      <c r="L83" s="148" t="s">
        <v>536</v>
      </c>
      <c r="M83" s="155" t="s">
        <v>457</v>
      </c>
    </row>
    <row r="84" spans="9:13">
      <c r="I84" s="145">
        <v>82</v>
      </c>
      <c r="J84" s="146">
        <v>45016.5415509259</v>
      </c>
      <c r="K84" s="147" t="s">
        <v>443</v>
      </c>
      <c r="L84" s="148" t="s">
        <v>500</v>
      </c>
      <c r="M84" s="155" t="s">
        <v>457</v>
      </c>
    </row>
    <row r="85" spans="9:13">
      <c r="I85" s="145">
        <v>83</v>
      </c>
      <c r="J85" s="146">
        <v>45016.5417592593</v>
      </c>
      <c r="K85" s="147" t="s">
        <v>448</v>
      </c>
      <c r="L85" s="148" t="s">
        <v>500</v>
      </c>
      <c r="M85" s="155" t="s">
        <v>457</v>
      </c>
    </row>
    <row r="86" spans="9:13">
      <c r="I86" s="145">
        <v>84</v>
      </c>
      <c r="J86" s="146">
        <v>45016.5419444444</v>
      </c>
      <c r="K86" s="147" t="s">
        <v>456</v>
      </c>
      <c r="L86" s="148" t="s">
        <v>481</v>
      </c>
      <c r="M86" s="155" t="s">
        <v>457</v>
      </c>
    </row>
    <row r="87" spans="9:13">
      <c r="I87" s="145">
        <v>85</v>
      </c>
      <c r="J87" s="146">
        <v>45017.4109259259</v>
      </c>
      <c r="K87" s="147" t="s">
        <v>443</v>
      </c>
      <c r="L87" s="148" t="s">
        <v>476</v>
      </c>
      <c r="M87" s="155" t="s">
        <v>457</v>
      </c>
    </row>
    <row r="88" spans="9:13">
      <c r="I88" s="145">
        <v>86</v>
      </c>
      <c r="J88" s="146">
        <v>45017.4111921296</v>
      </c>
      <c r="K88" s="147" t="s">
        <v>448</v>
      </c>
      <c r="L88" s="148" t="s">
        <v>476</v>
      </c>
      <c r="M88" s="155" t="s">
        <v>457</v>
      </c>
    </row>
    <row r="89" spans="9:13">
      <c r="I89" s="145">
        <v>87</v>
      </c>
      <c r="J89" s="146">
        <v>45017.4181597222</v>
      </c>
      <c r="K89" s="147" t="s">
        <v>456</v>
      </c>
      <c r="L89" s="148" t="s">
        <v>478</v>
      </c>
      <c r="M89" s="155" t="s">
        <v>457</v>
      </c>
    </row>
    <row r="90" spans="9:13">
      <c r="I90" s="145">
        <v>88</v>
      </c>
      <c r="J90" s="146">
        <v>45019.443587963</v>
      </c>
      <c r="K90" s="147" t="s">
        <v>443</v>
      </c>
      <c r="L90" s="148" t="s">
        <v>482</v>
      </c>
      <c r="M90" s="155" t="s">
        <v>457</v>
      </c>
    </row>
    <row r="91" spans="9:13">
      <c r="I91" s="145">
        <v>89</v>
      </c>
      <c r="J91" s="146">
        <v>45019.4440740741</v>
      </c>
      <c r="K91" s="147" t="s">
        <v>448</v>
      </c>
      <c r="L91" s="148" t="s">
        <v>484</v>
      </c>
      <c r="M91" s="155" t="s">
        <v>532</v>
      </c>
    </row>
    <row r="92" spans="9:13">
      <c r="I92" s="145">
        <v>90</v>
      </c>
      <c r="J92" s="146">
        <v>45019.4444097222</v>
      </c>
      <c r="K92" s="147" t="s">
        <v>456</v>
      </c>
      <c r="L92" s="148" t="s">
        <v>485</v>
      </c>
      <c r="M92" s="155" t="s">
        <v>457</v>
      </c>
    </row>
    <row r="93" spans="9:13">
      <c r="I93" s="145">
        <v>91</v>
      </c>
      <c r="J93" s="146">
        <v>45019.6040277778</v>
      </c>
      <c r="K93" s="147" t="s">
        <v>452</v>
      </c>
      <c r="L93" s="148" t="s">
        <v>483</v>
      </c>
      <c r="M93" s="155" t="s">
        <v>457</v>
      </c>
    </row>
    <row r="94" spans="9:13">
      <c r="I94" s="145">
        <v>92</v>
      </c>
      <c r="J94" s="146">
        <v>45020.4083101852</v>
      </c>
      <c r="K94" s="147" t="s">
        <v>443</v>
      </c>
      <c r="L94" s="148" t="s">
        <v>476</v>
      </c>
      <c r="M94" s="155" t="s">
        <v>457</v>
      </c>
    </row>
    <row r="95" spans="9:13">
      <c r="I95" s="145">
        <v>93</v>
      </c>
      <c r="J95" s="146">
        <v>45020.4084953704</v>
      </c>
      <c r="K95" s="147" t="s">
        <v>448</v>
      </c>
      <c r="L95" s="148" t="s">
        <v>476</v>
      </c>
      <c r="M95" s="155" t="s">
        <v>457</v>
      </c>
    </row>
    <row r="96" spans="9:13">
      <c r="I96" s="145">
        <v>94</v>
      </c>
      <c r="J96" s="146">
        <v>45020.4175</v>
      </c>
      <c r="K96" s="147" t="s">
        <v>456</v>
      </c>
      <c r="L96" s="148" t="s">
        <v>487</v>
      </c>
      <c r="M96" s="155" t="s">
        <v>457</v>
      </c>
    </row>
    <row r="97" spans="9:13">
      <c r="I97" s="145">
        <v>95</v>
      </c>
      <c r="J97" s="146">
        <v>45020.4334027778</v>
      </c>
      <c r="K97" s="147" t="s">
        <v>452</v>
      </c>
      <c r="L97" s="148" t="s">
        <v>486</v>
      </c>
      <c r="M97" s="155" t="s">
        <v>457</v>
      </c>
    </row>
    <row r="98" spans="9:13">
      <c r="I98" s="145">
        <v>96</v>
      </c>
      <c r="J98" s="146">
        <v>45021.3996875</v>
      </c>
      <c r="K98" s="147" t="s">
        <v>443</v>
      </c>
      <c r="L98" s="148" t="s">
        <v>488</v>
      </c>
      <c r="M98" s="155" t="s">
        <v>457</v>
      </c>
    </row>
    <row r="99" spans="9:13">
      <c r="I99" s="145">
        <v>97</v>
      </c>
      <c r="J99" s="146">
        <v>45021.3999652778</v>
      </c>
      <c r="K99" s="147" t="s">
        <v>448</v>
      </c>
      <c r="L99" s="148" t="s">
        <v>490</v>
      </c>
      <c r="M99" s="155" t="s">
        <v>457</v>
      </c>
    </row>
    <row r="100" spans="9:13">
      <c r="I100" s="145">
        <v>98</v>
      </c>
      <c r="J100" s="146">
        <v>45021.4184953704</v>
      </c>
      <c r="K100" s="147" t="s">
        <v>456</v>
      </c>
      <c r="L100" s="148" t="s">
        <v>491</v>
      </c>
      <c r="M100" s="155" t="s">
        <v>457</v>
      </c>
    </row>
    <row r="101" spans="9:13">
      <c r="I101" s="145">
        <v>99</v>
      </c>
      <c r="J101" s="146">
        <v>45021.4462962963</v>
      </c>
      <c r="K101" s="147" t="s">
        <v>452</v>
      </c>
      <c r="L101" s="148" t="s">
        <v>489</v>
      </c>
      <c r="M101" s="155" t="s">
        <v>457</v>
      </c>
    </row>
    <row r="102" spans="9:13">
      <c r="I102" s="145">
        <v>100</v>
      </c>
      <c r="J102" s="146">
        <v>45022.4035532407</v>
      </c>
      <c r="K102" s="147" t="s">
        <v>443</v>
      </c>
      <c r="L102" s="148" t="s">
        <v>492</v>
      </c>
      <c r="M102" s="155" t="s">
        <v>457</v>
      </c>
    </row>
    <row r="103" spans="9:13">
      <c r="I103" s="145">
        <v>101</v>
      </c>
      <c r="J103" s="146">
        <v>45022.4037384259</v>
      </c>
      <c r="K103" s="147" t="s">
        <v>448</v>
      </c>
      <c r="L103" s="148" t="s">
        <v>492</v>
      </c>
      <c r="M103" s="155" t="s">
        <v>457</v>
      </c>
    </row>
    <row r="104" spans="9:13">
      <c r="I104" s="145">
        <v>102</v>
      </c>
      <c r="J104" s="146">
        <v>45022.4134143519</v>
      </c>
      <c r="K104" s="147" t="s">
        <v>456</v>
      </c>
      <c r="L104" s="148" t="s">
        <v>493</v>
      </c>
      <c r="M104" s="155" t="s">
        <v>457</v>
      </c>
    </row>
    <row r="105" spans="9:13">
      <c r="I105" s="145">
        <v>103</v>
      </c>
      <c r="J105" s="146">
        <v>45022.4340046296</v>
      </c>
      <c r="K105" s="147" t="s">
        <v>452</v>
      </c>
      <c r="L105" s="148" t="s">
        <v>486</v>
      </c>
      <c r="M105" s="155" t="s">
        <v>457</v>
      </c>
    </row>
    <row r="106" spans="9:13">
      <c r="I106" s="145">
        <v>104</v>
      </c>
      <c r="J106" s="146">
        <v>45023.4034953704</v>
      </c>
      <c r="K106" s="147" t="s">
        <v>443</v>
      </c>
      <c r="L106" s="148" t="s">
        <v>476</v>
      </c>
      <c r="M106" s="155" t="s">
        <v>457</v>
      </c>
    </row>
    <row r="107" spans="9:13">
      <c r="I107" s="145">
        <v>105</v>
      </c>
      <c r="J107" s="146">
        <v>45023.4037615741</v>
      </c>
      <c r="K107" s="147" t="s">
        <v>448</v>
      </c>
      <c r="L107" s="148" t="s">
        <v>476</v>
      </c>
      <c r="M107" s="155" t="s">
        <v>457</v>
      </c>
    </row>
    <row r="108" spans="9:13">
      <c r="I108" s="145">
        <v>106</v>
      </c>
      <c r="J108" s="146">
        <v>45023.4040046296</v>
      </c>
      <c r="K108" s="147" t="s">
        <v>456</v>
      </c>
      <c r="L108" s="148" t="s">
        <v>476</v>
      </c>
      <c r="M108" s="155" t="s">
        <v>457</v>
      </c>
    </row>
    <row r="109" spans="9:13">
      <c r="I109" s="145">
        <v>107</v>
      </c>
      <c r="J109" s="146">
        <v>45023.4465046296</v>
      </c>
      <c r="K109" s="147" t="s">
        <v>452</v>
      </c>
      <c r="L109" s="148" t="s">
        <v>494</v>
      </c>
      <c r="M109" s="155" t="s">
        <v>457</v>
      </c>
    </row>
  </sheetData>
  <pageMargins left="0.7" right="0.7" top="0.75" bottom="0.75" header="0.3" footer="0.3"/>
  <headerFooter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U262"/>
  <sheetViews>
    <sheetView tabSelected="1" workbookViewId="0">
      <pane ySplit="1" topLeftCell="A22" activePane="bottomLeft" state="frozen"/>
      <selection/>
      <selection pane="bottomLeft" activeCell="J2" sqref="J2"/>
    </sheetView>
  </sheetViews>
  <sheetFormatPr defaultColWidth="9" defaultRowHeight="14"/>
  <cols>
    <col min="2" max="2" width="12.3359375" style="125" customWidth="1"/>
    <col min="3" max="3" width="16.5546875" customWidth="1"/>
    <col min="4" max="4" width="11" customWidth="1"/>
    <col min="5" max="5" width="12.3359375" customWidth="1"/>
    <col min="6" max="6" width="22.3359375" style="126" customWidth="1"/>
    <col min="7" max="7" width="11.109375" customWidth="1"/>
    <col min="9" max="9" width="10.3359375" customWidth="1"/>
    <col min="10" max="10" width="13.3359375" customWidth="1"/>
    <col min="11" max="11" width="12.3359375" customWidth="1"/>
    <col min="12" max="12" width="11" customWidth="1"/>
    <col min="15" max="15" width="5.5546875" customWidth="1"/>
    <col min="16" max="16" width="15.4453125" customWidth="1"/>
    <col min="17" max="17" width="23.109375" customWidth="1"/>
    <col min="18" max="18" width="11.6640625" customWidth="1"/>
    <col min="19" max="19" width="11" customWidth="1"/>
    <col min="20" max="20" width="11.3359375" customWidth="1"/>
    <col min="21" max="21" width="12.5546875" customWidth="1"/>
  </cols>
  <sheetData>
    <row r="1" spans="1:21">
      <c r="A1" t="s">
        <v>424</v>
      </c>
      <c r="B1" s="125" t="s">
        <v>0</v>
      </c>
      <c r="C1" t="s">
        <v>1</v>
      </c>
      <c r="D1" t="s">
        <v>556</v>
      </c>
      <c r="E1" t="s">
        <v>419</v>
      </c>
      <c r="F1" s="126" t="s">
        <v>2</v>
      </c>
      <c r="G1" t="s">
        <v>4</v>
      </c>
      <c r="H1" t="s">
        <v>557</v>
      </c>
      <c r="I1" t="s">
        <v>558</v>
      </c>
      <c r="J1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125">
        <v>44975.6758680556</v>
      </c>
      <c r="C2" t="s">
        <v>562</v>
      </c>
      <c r="D2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8">
        <v>630</v>
      </c>
      <c r="K2" s="128">
        <v>1160</v>
      </c>
      <c r="L2" t="s">
        <v>564</v>
      </c>
      <c r="O2">
        <v>1</v>
      </c>
      <c r="P2" s="34">
        <v>44975.6758680556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125">
        <v>44975.6758680556</v>
      </c>
      <c r="C3" t="s">
        <v>562</v>
      </c>
      <c r="D3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8">
        <v>532</v>
      </c>
      <c r="K3" s="128">
        <v>0</v>
      </c>
      <c r="L3" t="s">
        <v>565</v>
      </c>
      <c r="O3">
        <v>2</v>
      </c>
      <c r="P3" s="34">
        <v>44975.7736921296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125">
        <v>44975.7736921296</v>
      </c>
      <c r="C4" t="s">
        <v>566</v>
      </c>
      <c r="D4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8">
        <v>909.65</v>
      </c>
      <c r="K4" s="128">
        <v>2309</v>
      </c>
      <c r="L4" t="s">
        <v>564</v>
      </c>
      <c r="O4">
        <v>3</v>
      </c>
      <c r="P4" s="34">
        <v>44975.788900463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125">
        <v>44975.7736921296</v>
      </c>
      <c r="C5" t="s">
        <v>566</v>
      </c>
      <c r="D5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8">
        <v>699.65</v>
      </c>
      <c r="K5" s="128">
        <v>0</v>
      </c>
      <c r="L5" t="s">
        <v>565</v>
      </c>
      <c r="O5">
        <v>4</v>
      </c>
      <c r="P5" s="34">
        <v>44975.8031365741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125">
        <v>44975.7736921296</v>
      </c>
      <c r="C6" t="s">
        <v>566</v>
      </c>
      <c r="D6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8">
        <v>699.65</v>
      </c>
      <c r="K6" s="128">
        <v>0</v>
      </c>
      <c r="L6" t="s">
        <v>565</v>
      </c>
      <c r="O6">
        <v>5</v>
      </c>
      <c r="P6" s="34">
        <v>44975.8062731481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125">
        <v>44975.788900463</v>
      </c>
      <c r="C7" t="s">
        <v>568</v>
      </c>
      <c r="D7" t="s">
        <v>569</v>
      </c>
      <c r="F7" s="127" t="s">
        <v>341</v>
      </c>
      <c r="G7" s="128">
        <v>1570</v>
      </c>
      <c r="H7">
        <v>1.6</v>
      </c>
      <c r="I7">
        <v>50</v>
      </c>
      <c r="J7" s="128">
        <v>1256</v>
      </c>
      <c r="K7" s="128">
        <v>2516</v>
      </c>
      <c r="L7" t="s">
        <v>469</v>
      </c>
      <c r="O7">
        <v>6</v>
      </c>
      <c r="P7" s="34">
        <v>44975.8089699074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125">
        <v>44975.788912037</v>
      </c>
      <c r="C8" t="s">
        <v>568</v>
      </c>
      <c r="D8" t="s">
        <v>569</v>
      </c>
      <c r="F8" s="127" t="s">
        <v>342</v>
      </c>
      <c r="G8" s="128">
        <v>2100</v>
      </c>
      <c r="H8">
        <v>1.2</v>
      </c>
      <c r="I8">
        <v>50</v>
      </c>
      <c r="J8" s="128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125">
        <v>44975.8031365741</v>
      </c>
      <c r="C9" t="s">
        <v>570</v>
      </c>
      <c r="D9" t="s">
        <v>571</v>
      </c>
      <c r="F9" s="127">
        <v>8907686814322</v>
      </c>
      <c r="G9" s="128">
        <v>2499</v>
      </c>
      <c r="H9">
        <v>1</v>
      </c>
      <c r="I9">
        <v>67</v>
      </c>
      <c r="J9" s="128">
        <v>824.67</v>
      </c>
      <c r="K9" s="128">
        <v>825</v>
      </c>
      <c r="L9" t="s">
        <v>564</v>
      </c>
      <c r="O9">
        <v>8</v>
      </c>
      <c r="P9" s="34">
        <v>44977.6391087963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125">
        <v>44975.8062731481</v>
      </c>
      <c r="C10" t="s">
        <v>572</v>
      </c>
      <c r="D10" t="s">
        <v>573</v>
      </c>
      <c r="F10" s="127">
        <v>8907378925923</v>
      </c>
      <c r="G10" s="128">
        <v>1999</v>
      </c>
      <c r="H10">
        <v>1</v>
      </c>
      <c r="I10">
        <v>80</v>
      </c>
      <c r="J10" s="128">
        <v>399.8</v>
      </c>
      <c r="K10" s="128">
        <v>400</v>
      </c>
      <c r="L10" t="s">
        <v>469</v>
      </c>
      <c r="O10">
        <v>9</v>
      </c>
      <c r="P10" s="34">
        <v>44977.6493287037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125">
        <v>44975.8089699074</v>
      </c>
      <c r="C11" t="s">
        <v>574</v>
      </c>
      <c r="D11" t="s">
        <v>573</v>
      </c>
      <c r="F11" s="127">
        <v>8907797002533</v>
      </c>
      <c r="G11" s="128">
        <v>549</v>
      </c>
      <c r="H11">
        <v>1</v>
      </c>
      <c r="I11">
        <v>20</v>
      </c>
      <c r="J11" s="128">
        <v>439.2</v>
      </c>
      <c r="K11" s="128">
        <v>120</v>
      </c>
      <c r="L11" t="s">
        <v>564</v>
      </c>
      <c r="O11">
        <v>10</v>
      </c>
      <c r="P11" s="34">
        <v>44977.8289236111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125">
        <v>44975.8089699074</v>
      </c>
      <c r="C12" t="s">
        <v>574</v>
      </c>
      <c r="D12" t="s">
        <v>573</v>
      </c>
      <c r="F12" s="127">
        <v>8907686227641</v>
      </c>
      <c r="G12" s="128">
        <v>-399</v>
      </c>
      <c r="H12">
        <v>1</v>
      </c>
      <c r="I12">
        <v>20</v>
      </c>
      <c r="J12" s="128">
        <v>-319.2</v>
      </c>
      <c r="K12" s="128">
        <v>0</v>
      </c>
      <c r="L12" t="s">
        <v>565</v>
      </c>
      <c r="O12">
        <v>11</v>
      </c>
      <c r="P12" s="34">
        <v>44978.5218287037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125">
        <v>44977.5733680556</v>
      </c>
      <c r="C13" t="s">
        <v>575</v>
      </c>
      <c r="D13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8">
        <v>769.65</v>
      </c>
      <c r="K13" s="128">
        <v>2169</v>
      </c>
      <c r="L13" t="s">
        <v>469</v>
      </c>
      <c r="O13">
        <v>12</v>
      </c>
      <c r="P13" s="34">
        <v>44978.7194444444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125">
        <v>44977.5733796296</v>
      </c>
      <c r="C14" t="s">
        <v>575</v>
      </c>
      <c r="D14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8">
        <v>594.65</v>
      </c>
      <c r="K14" s="128">
        <v>0</v>
      </c>
      <c r="L14" t="s">
        <v>565</v>
      </c>
      <c r="O14">
        <v>13</v>
      </c>
      <c r="P14" s="34">
        <v>44978.8011921296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125">
        <v>44977.5733796296</v>
      </c>
      <c r="C15" t="s">
        <v>575</v>
      </c>
      <c r="D15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8">
        <v>804.65</v>
      </c>
      <c r="K15" s="128">
        <v>0</v>
      </c>
      <c r="L15" t="s">
        <v>565</v>
      </c>
      <c r="O15">
        <v>14</v>
      </c>
      <c r="P15" s="34">
        <v>44978.8279050926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125">
        <v>44977.6391087963</v>
      </c>
      <c r="C16" t="s">
        <v>577</v>
      </c>
      <c r="D16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8">
        <v>629.65</v>
      </c>
      <c r="K16" s="128">
        <v>310</v>
      </c>
      <c r="L16" t="s">
        <v>469</v>
      </c>
      <c r="O16">
        <v>15</v>
      </c>
      <c r="P16" s="34">
        <v>44979.7975810185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125">
        <v>44977.6391203704</v>
      </c>
      <c r="C17" t="s">
        <v>577</v>
      </c>
      <c r="D17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8">
        <v>449.65</v>
      </c>
      <c r="K17" s="128">
        <v>0</v>
      </c>
      <c r="L17" t="s">
        <v>565</v>
      </c>
      <c r="O17">
        <v>16</v>
      </c>
      <c r="P17" s="34">
        <v>44979.8175115741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125">
        <v>44977.6391203704</v>
      </c>
      <c r="C18" t="s">
        <v>577</v>
      </c>
      <c r="D18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8">
        <v>-769.65</v>
      </c>
      <c r="K18" s="128">
        <v>0</v>
      </c>
      <c r="L18" t="s">
        <v>565</v>
      </c>
      <c r="O18">
        <v>17</v>
      </c>
      <c r="P18" s="34">
        <v>44981.5138310185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125">
        <v>44977.6493287037</v>
      </c>
      <c r="C19" t="s">
        <v>578</v>
      </c>
      <c r="D19" t="s">
        <v>573</v>
      </c>
      <c r="F19" s="127" t="s">
        <v>44</v>
      </c>
      <c r="G19" s="128">
        <v>1390</v>
      </c>
      <c r="H19">
        <v>2</v>
      </c>
      <c r="I19">
        <v>50</v>
      </c>
      <c r="J19" s="128">
        <v>1390</v>
      </c>
      <c r="K19" s="128">
        <v>2780</v>
      </c>
      <c r="L19" t="s">
        <v>469</v>
      </c>
      <c r="O19">
        <v>18</v>
      </c>
      <c r="P19" s="34">
        <v>44981.5166203704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125">
        <v>44977.6493287037</v>
      </c>
      <c r="C20" t="s">
        <v>578</v>
      </c>
      <c r="D20" t="s">
        <v>573</v>
      </c>
      <c r="F20" s="127" t="s">
        <v>350</v>
      </c>
      <c r="G20" s="128">
        <v>1390</v>
      </c>
      <c r="H20">
        <v>2</v>
      </c>
      <c r="I20">
        <v>50</v>
      </c>
      <c r="J20" s="128">
        <v>1390</v>
      </c>
      <c r="K20" s="128">
        <v>0</v>
      </c>
      <c r="L20" t="s">
        <v>565</v>
      </c>
      <c r="O20">
        <v>19</v>
      </c>
      <c r="P20" s="34">
        <v>44981.5220833333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125">
        <v>44977.8289236111</v>
      </c>
      <c r="C21" t="s">
        <v>579</v>
      </c>
      <c r="D21" t="s">
        <v>580</v>
      </c>
      <c r="F21" s="127">
        <v>8907259517285</v>
      </c>
      <c r="G21" s="128">
        <v>1899</v>
      </c>
      <c r="H21">
        <v>1</v>
      </c>
      <c r="I21">
        <v>67</v>
      </c>
      <c r="J21" s="128">
        <v>626.67</v>
      </c>
      <c r="K21" s="128">
        <v>627</v>
      </c>
      <c r="L21" t="s">
        <v>469</v>
      </c>
      <c r="O21">
        <v>20</v>
      </c>
      <c r="P21" s="34">
        <v>44981.5386805556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125">
        <v>44978.5218287037</v>
      </c>
      <c r="C22" t="s">
        <v>581</v>
      </c>
      <c r="D22" t="s">
        <v>573</v>
      </c>
      <c r="F22" s="127">
        <v>8907036564648</v>
      </c>
      <c r="G22" s="128">
        <v>1399</v>
      </c>
      <c r="H22">
        <v>1</v>
      </c>
      <c r="I22">
        <v>65</v>
      </c>
      <c r="J22" s="128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125">
        <v>44978.5218402778</v>
      </c>
      <c r="C23" t="s">
        <v>581</v>
      </c>
      <c r="D23" t="s">
        <v>573</v>
      </c>
      <c r="F23" s="127">
        <v>8907686461380</v>
      </c>
      <c r="G23" s="128">
        <v>1499</v>
      </c>
      <c r="H23">
        <v>1</v>
      </c>
      <c r="I23">
        <v>65</v>
      </c>
      <c r="J23" s="128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125">
        <v>44978.7194444444</v>
      </c>
      <c r="C24" t="s">
        <v>594</v>
      </c>
      <c r="D24" t="s">
        <v>583</v>
      </c>
      <c r="F24" s="127">
        <v>8904290613709</v>
      </c>
      <c r="G24" s="128">
        <v>2999</v>
      </c>
      <c r="H24">
        <v>1</v>
      </c>
      <c r="I24">
        <v>65</v>
      </c>
      <c r="J24" s="128">
        <v>1049.65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125">
        <v>44978.7194444444</v>
      </c>
      <c r="C25" t="s">
        <v>594</v>
      </c>
      <c r="D25" t="s">
        <v>583</v>
      </c>
      <c r="F25" s="127">
        <v>8907378032713</v>
      </c>
      <c r="G25" s="128">
        <v>399</v>
      </c>
      <c r="H25">
        <v>1</v>
      </c>
      <c r="I25">
        <v>15</v>
      </c>
      <c r="J25" s="128">
        <v>339.15</v>
      </c>
      <c r="K25" s="128"/>
      <c r="O25">
        <v>24</v>
      </c>
      <c r="P25" s="34">
        <v>44980</v>
      </c>
      <c r="Q25" t="s">
        <v>51</v>
      </c>
      <c r="R25" t="s">
        <v>595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125">
        <v>44978.7194444444</v>
      </c>
      <c r="C26" t="s">
        <v>594</v>
      </c>
      <c r="D26" t="s">
        <v>583</v>
      </c>
      <c r="F26" s="127">
        <v>8907797002434</v>
      </c>
      <c r="G26" s="128">
        <v>269</v>
      </c>
      <c r="H26">
        <v>1</v>
      </c>
      <c r="I26">
        <v>15</v>
      </c>
      <c r="J26" s="128">
        <v>228.65</v>
      </c>
      <c r="K26" s="128"/>
      <c r="O26">
        <v>25</v>
      </c>
      <c r="P26" s="34">
        <v>44980</v>
      </c>
      <c r="Q26" t="s">
        <v>54</v>
      </c>
      <c r="R26" t="s">
        <v>596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125">
        <v>44978.8011921296</v>
      </c>
      <c r="C27" t="s">
        <v>585</v>
      </c>
      <c r="D27" t="s">
        <v>586</v>
      </c>
      <c r="F27" s="127" t="s">
        <v>355</v>
      </c>
      <c r="G27" s="128">
        <v>810</v>
      </c>
      <c r="H27">
        <v>1.5</v>
      </c>
      <c r="I27">
        <v>50</v>
      </c>
      <c r="J27" s="128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596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125">
        <v>44978.8011921296</v>
      </c>
      <c r="C28" t="s">
        <v>585</v>
      </c>
      <c r="D28" t="s">
        <v>586</v>
      </c>
      <c r="F28" s="127" t="s">
        <v>173</v>
      </c>
      <c r="G28" s="128">
        <v>950</v>
      </c>
      <c r="H28">
        <v>1.7</v>
      </c>
      <c r="I28">
        <v>50</v>
      </c>
      <c r="J28" s="128">
        <v>807.5</v>
      </c>
      <c r="K28" s="128">
        <v>0</v>
      </c>
      <c r="L28" t="s">
        <v>565</v>
      </c>
      <c r="O28">
        <v>28</v>
      </c>
      <c r="P28" s="34">
        <v>44981.6338773148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125">
        <v>44978.8011921296</v>
      </c>
      <c r="C29" t="s">
        <v>585</v>
      </c>
      <c r="D29" t="s">
        <v>586</v>
      </c>
      <c r="F29" s="127" t="s">
        <v>356</v>
      </c>
      <c r="G29" s="128">
        <v>1200</v>
      </c>
      <c r="H29">
        <v>1.6</v>
      </c>
      <c r="I29">
        <v>50</v>
      </c>
      <c r="J29" s="128">
        <v>960</v>
      </c>
      <c r="K29" s="128">
        <v>0</v>
      </c>
      <c r="L29" t="s">
        <v>565</v>
      </c>
      <c r="O29">
        <v>29</v>
      </c>
      <c r="P29" s="34">
        <v>44981.705474537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125">
        <v>44978.8011921296</v>
      </c>
      <c r="C30" t="s">
        <v>585</v>
      </c>
      <c r="D30" t="s">
        <v>586</v>
      </c>
      <c r="F30" s="127" t="s">
        <v>357</v>
      </c>
      <c r="G30" s="128">
        <v>890</v>
      </c>
      <c r="H30">
        <v>1.6</v>
      </c>
      <c r="I30">
        <v>50</v>
      </c>
      <c r="J30" s="128">
        <v>712</v>
      </c>
      <c r="K30" s="128">
        <v>0</v>
      </c>
      <c r="L30" t="s">
        <v>565</v>
      </c>
      <c r="O30">
        <v>30</v>
      </c>
      <c r="P30" s="34">
        <v>44981.7305671296</v>
      </c>
      <c r="Q30" t="s">
        <v>378</v>
      </c>
      <c r="R30" t="s">
        <v>596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125">
        <v>44978.8279050926</v>
      </c>
      <c r="C31" t="s">
        <v>587</v>
      </c>
      <c r="D31" t="s">
        <v>573</v>
      </c>
      <c r="F31" s="127" t="s">
        <v>359</v>
      </c>
      <c r="G31" s="128">
        <v>1340</v>
      </c>
      <c r="H31">
        <v>1.25</v>
      </c>
      <c r="I31">
        <v>50</v>
      </c>
      <c r="J31" s="128">
        <v>837.5</v>
      </c>
      <c r="K31" s="128">
        <v>1990</v>
      </c>
      <c r="L31" t="s">
        <v>564</v>
      </c>
      <c r="O31">
        <v>31</v>
      </c>
      <c r="P31" s="34">
        <v>44981.7351736111</v>
      </c>
      <c r="Q31" t="s">
        <v>23</v>
      </c>
      <c r="R31" t="s">
        <v>596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125">
        <v>44978.8279050926</v>
      </c>
      <c r="C32" t="s">
        <v>587</v>
      </c>
      <c r="D32" t="s">
        <v>573</v>
      </c>
      <c r="F32" s="127" t="s">
        <v>360</v>
      </c>
      <c r="G32" s="128">
        <v>1440</v>
      </c>
      <c r="H32">
        <v>1.6</v>
      </c>
      <c r="I32">
        <v>50</v>
      </c>
      <c r="J32" s="128">
        <v>1152</v>
      </c>
      <c r="K32" s="128">
        <v>0</v>
      </c>
      <c r="L32" t="s">
        <v>565</v>
      </c>
      <c r="O32">
        <v>32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125">
        <v>44979.7975925926</v>
      </c>
      <c r="C33" t="s">
        <v>14</v>
      </c>
      <c r="D33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8">
        <v>1110</v>
      </c>
      <c r="K33" s="128">
        <v>1766</v>
      </c>
      <c r="L33" t="s">
        <v>439</v>
      </c>
      <c r="O33">
        <v>33</v>
      </c>
      <c r="P33" s="34">
        <v>44981.8326388889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125">
        <v>44979.7976041667</v>
      </c>
      <c r="C34" t="s">
        <v>14</v>
      </c>
      <c r="D34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8">
        <v>656</v>
      </c>
      <c r="K34" s="128">
        <v>0</v>
      </c>
      <c r="L34" t="s">
        <v>565</v>
      </c>
      <c r="O34">
        <v>34</v>
      </c>
      <c r="P34" s="34">
        <v>44982.5206597222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125">
        <v>44979.8175115741</v>
      </c>
      <c r="C35" t="s">
        <v>17</v>
      </c>
      <c r="D35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8">
        <v>712</v>
      </c>
      <c r="K35" s="128">
        <v>1207</v>
      </c>
      <c r="L35" t="s">
        <v>584</v>
      </c>
      <c r="O35">
        <v>35</v>
      </c>
      <c r="P35" s="34">
        <v>44982.7959953704</v>
      </c>
      <c r="Q35" t="s">
        <v>380</v>
      </c>
      <c r="R35" t="s">
        <v>573</v>
      </c>
      <c r="T35" t="s">
        <v>597</v>
      </c>
      <c r="U35" s="128">
        <v>2046</v>
      </c>
    </row>
    <row r="36" spans="1:21">
      <c r="A36">
        <v>35</v>
      </c>
      <c r="B36" s="125">
        <v>44979.8175115741</v>
      </c>
      <c r="C36" t="s">
        <v>17</v>
      </c>
      <c r="D36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8">
        <v>495</v>
      </c>
      <c r="K36" s="128">
        <v>0</v>
      </c>
      <c r="L36" t="s">
        <v>565</v>
      </c>
      <c r="O36">
        <v>36</v>
      </c>
      <c r="P36" s="34">
        <v>44982.8087847222</v>
      </c>
      <c r="Q36" t="s">
        <v>29</v>
      </c>
      <c r="R36" t="s">
        <v>573</v>
      </c>
      <c r="T36" t="s">
        <v>597</v>
      </c>
      <c r="U36" s="128">
        <v>775</v>
      </c>
    </row>
    <row r="37" spans="1:21">
      <c r="A37">
        <v>36</v>
      </c>
      <c r="B37" s="125">
        <v>44981.5138310185</v>
      </c>
      <c r="C37" t="s">
        <v>363</v>
      </c>
      <c r="D37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8">
        <v>874.65</v>
      </c>
      <c r="K37" s="128">
        <v>2837</v>
      </c>
      <c r="L37" t="s">
        <v>469</v>
      </c>
      <c r="O37">
        <v>37</v>
      </c>
      <c r="P37" s="34">
        <v>44984.4665393519</v>
      </c>
      <c r="Q37" t="s">
        <v>381</v>
      </c>
      <c r="R37" t="s">
        <v>598</v>
      </c>
      <c r="U37" s="128">
        <v>1575</v>
      </c>
    </row>
    <row r="38" spans="1:21">
      <c r="A38">
        <v>37</v>
      </c>
      <c r="B38" s="125">
        <v>44981.5166319444</v>
      </c>
      <c r="C38" t="s">
        <v>363</v>
      </c>
      <c r="D38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8">
        <v>1962</v>
      </c>
      <c r="K38" s="128"/>
      <c r="O38">
        <v>38</v>
      </c>
      <c r="P38" s="34">
        <v>44984.5143171296</v>
      </c>
      <c r="Q38" t="s">
        <v>31</v>
      </c>
      <c r="R38" t="s">
        <v>598</v>
      </c>
      <c r="T38" t="s">
        <v>469</v>
      </c>
      <c r="U38" s="128">
        <v>1387</v>
      </c>
    </row>
    <row r="39" spans="1:21">
      <c r="A39">
        <v>38</v>
      </c>
      <c r="B39" s="125">
        <v>44981.5220833333</v>
      </c>
      <c r="C39" t="s">
        <v>20</v>
      </c>
      <c r="D39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8">
        <v>750</v>
      </c>
      <c r="K39" s="128">
        <v>1523</v>
      </c>
      <c r="L39" t="s">
        <v>564</v>
      </c>
      <c r="O39">
        <v>39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125">
        <v>44981.5220949074</v>
      </c>
      <c r="C40" t="s">
        <v>20</v>
      </c>
      <c r="D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8">
        <v>772.5</v>
      </c>
      <c r="K40" s="128">
        <v>0</v>
      </c>
      <c r="L40" t="s">
        <v>565</v>
      </c>
      <c r="O40">
        <v>40</v>
      </c>
      <c r="P40" s="34">
        <v>44984.5763888889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125">
        <v>44981.5386805556</v>
      </c>
      <c r="C41" t="s">
        <v>365</v>
      </c>
      <c r="D41" t="s">
        <v>573</v>
      </c>
      <c r="F41" s="127">
        <v>8907378948984</v>
      </c>
      <c r="G41" s="128">
        <v>2499</v>
      </c>
      <c r="H41">
        <v>1</v>
      </c>
      <c r="I41">
        <v>65</v>
      </c>
      <c r="J41" s="128">
        <v>874.65</v>
      </c>
      <c r="K41" s="128">
        <v>876</v>
      </c>
      <c r="L41" t="s">
        <v>469</v>
      </c>
      <c r="O41">
        <v>41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125">
        <v>44980</v>
      </c>
      <c r="C42" t="s">
        <v>42</v>
      </c>
      <c r="D42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8">
        <v>1260</v>
      </c>
      <c r="K42" s="128">
        <v>2233</v>
      </c>
      <c r="L42" t="s">
        <v>469</v>
      </c>
      <c r="O42">
        <v>42</v>
      </c>
      <c r="P42" s="34">
        <v>44984.7225347222</v>
      </c>
      <c r="Q42" t="s">
        <v>38</v>
      </c>
      <c r="R42" t="s">
        <v>599</v>
      </c>
      <c r="T42" t="s">
        <v>564</v>
      </c>
      <c r="U42" s="128">
        <v>1380</v>
      </c>
    </row>
    <row r="43" spans="1:21">
      <c r="A43">
        <v>42</v>
      </c>
      <c r="B43" s="125">
        <v>44980</v>
      </c>
      <c r="C43" t="s">
        <v>42</v>
      </c>
      <c r="D43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8">
        <v>973</v>
      </c>
      <c r="K43" s="128">
        <v>0</v>
      </c>
      <c r="L43" t="s">
        <v>565</v>
      </c>
      <c r="O43">
        <v>43</v>
      </c>
      <c r="P43" s="34">
        <v>44984.8152083333</v>
      </c>
      <c r="Q43" t="s">
        <v>384</v>
      </c>
      <c r="R43" t="s">
        <v>600</v>
      </c>
      <c r="T43" t="s">
        <v>564</v>
      </c>
      <c r="U43" s="128">
        <v>2939</v>
      </c>
    </row>
    <row r="44" spans="1:21">
      <c r="A44">
        <v>43</v>
      </c>
      <c r="B44" s="125">
        <v>44980</v>
      </c>
      <c r="C44" t="s">
        <v>366</v>
      </c>
      <c r="D44" t="s">
        <v>601</v>
      </c>
      <c r="F44" s="127">
        <v>8904290616267</v>
      </c>
      <c r="G44" s="128">
        <v>2299</v>
      </c>
      <c r="H44">
        <v>1</v>
      </c>
      <c r="I44">
        <v>70</v>
      </c>
      <c r="J44" s="128">
        <v>689.7</v>
      </c>
      <c r="K44" s="128">
        <v>690</v>
      </c>
      <c r="L44" t="s">
        <v>564</v>
      </c>
      <c r="O44">
        <v>44</v>
      </c>
      <c r="P44" s="34">
        <v>44984.8391782407</v>
      </c>
      <c r="Q44" t="s">
        <v>385</v>
      </c>
      <c r="R44" t="s">
        <v>602</v>
      </c>
      <c r="T44" t="s">
        <v>469</v>
      </c>
      <c r="U44" s="128">
        <v>1400</v>
      </c>
    </row>
    <row r="45" spans="1:21">
      <c r="A45">
        <v>44</v>
      </c>
      <c r="B45" s="125">
        <v>44980</v>
      </c>
      <c r="C45" t="s">
        <v>45</v>
      </c>
      <c r="D45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8">
        <v>779</v>
      </c>
      <c r="K45" s="128">
        <v>4677</v>
      </c>
      <c r="L45" t="s">
        <v>469</v>
      </c>
      <c r="O45">
        <v>45</v>
      </c>
      <c r="P45" s="34">
        <v>44985.4586226852</v>
      </c>
      <c r="Q45" t="s">
        <v>40</v>
      </c>
      <c r="R45" t="s">
        <v>603</v>
      </c>
      <c r="T45" t="s">
        <v>469</v>
      </c>
      <c r="U45" s="128">
        <v>1221</v>
      </c>
    </row>
    <row r="46" spans="1:21">
      <c r="A46">
        <v>45</v>
      </c>
      <c r="B46" s="125">
        <v>44980</v>
      </c>
      <c r="C46" t="s">
        <v>45</v>
      </c>
      <c r="D46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8">
        <v>468</v>
      </c>
      <c r="K46" s="128">
        <v>0</v>
      </c>
      <c r="L46" t="s">
        <v>565</v>
      </c>
      <c r="O46">
        <v>46</v>
      </c>
      <c r="P46" s="34">
        <v>44985.7118402778</v>
      </c>
      <c r="Q46" t="s">
        <v>386</v>
      </c>
      <c r="R46" t="s">
        <v>604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125">
        <v>44980</v>
      </c>
      <c r="C47" t="s">
        <v>45</v>
      </c>
      <c r="D47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8">
        <v>1586.5</v>
      </c>
      <c r="K47" s="128">
        <v>0</v>
      </c>
      <c r="L47" t="s">
        <v>565</v>
      </c>
      <c r="O47">
        <v>47</v>
      </c>
      <c r="P47" s="34">
        <v>44986.759837963</v>
      </c>
      <c r="Q47" t="s">
        <v>386</v>
      </c>
      <c r="R47" t="s">
        <v>605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125">
        <v>44980</v>
      </c>
      <c r="C48" t="s">
        <v>45</v>
      </c>
      <c r="D48" t="s">
        <v>593</v>
      </c>
      <c r="E48">
        <v>8709378973</v>
      </c>
      <c r="F48" s="127" t="s">
        <v>49</v>
      </c>
      <c r="G48" s="128">
        <v>780</v>
      </c>
      <c r="H48">
        <v>1.9</v>
      </c>
      <c r="I48">
        <v>50</v>
      </c>
      <c r="J48" s="128">
        <v>741</v>
      </c>
      <c r="K48" s="128">
        <v>0</v>
      </c>
      <c r="L48" t="s">
        <v>565</v>
      </c>
      <c r="O48">
        <v>48</v>
      </c>
      <c r="P48" s="34">
        <v>44986.7686458333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125">
        <v>44980</v>
      </c>
      <c r="C49" t="s">
        <v>45</v>
      </c>
      <c r="D49" t="s">
        <v>593</v>
      </c>
      <c r="E49">
        <v>8709378973</v>
      </c>
      <c r="F49" s="127" t="s">
        <v>50</v>
      </c>
      <c r="G49" s="128">
        <v>1160</v>
      </c>
      <c r="H49">
        <v>1.9</v>
      </c>
      <c r="I49">
        <v>50</v>
      </c>
      <c r="J49" s="128">
        <v>1102</v>
      </c>
      <c r="K49" s="128">
        <v>0</v>
      </c>
      <c r="L49" t="s">
        <v>565</v>
      </c>
      <c r="O49">
        <v>49</v>
      </c>
      <c r="P49" s="34">
        <v>44986.7929398148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125">
        <v>44980</v>
      </c>
      <c r="C50" t="s">
        <v>367</v>
      </c>
      <c r="D50" t="s">
        <v>573</v>
      </c>
      <c r="F50" s="127">
        <v>8907163977434</v>
      </c>
      <c r="G50" s="128">
        <v>289</v>
      </c>
      <c r="H50">
        <v>1</v>
      </c>
      <c r="I50">
        <v>50</v>
      </c>
      <c r="J50" s="128">
        <v>144.5</v>
      </c>
      <c r="K50" s="128">
        <v>145</v>
      </c>
      <c r="L50" t="s">
        <v>469</v>
      </c>
      <c r="O50">
        <v>50</v>
      </c>
      <c r="P50" s="34">
        <v>44986.8104398148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125">
        <v>44980</v>
      </c>
      <c r="C51" t="s">
        <v>51</v>
      </c>
      <c r="D51" t="s">
        <v>595</v>
      </c>
      <c r="E51">
        <v>9304462954</v>
      </c>
      <c r="F51" s="127" t="s">
        <v>52</v>
      </c>
      <c r="G51" s="128">
        <v>1290</v>
      </c>
      <c r="H51">
        <v>1.2</v>
      </c>
      <c r="I51">
        <v>50</v>
      </c>
      <c r="J51" s="128">
        <v>774</v>
      </c>
      <c r="K51" s="128">
        <v>1350</v>
      </c>
      <c r="L51" t="s">
        <v>469</v>
      </c>
      <c r="O51">
        <v>51</v>
      </c>
      <c r="P51" s="34">
        <v>44986.8119097222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125">
        <v>44980</v>
      </c>
      <c r="C52" t="s">
        <v>51</v>
      </c>
      <c r="D52" t="s">
        <v>595</v>
      </c>
      <c r="E52">
        <v>9304462954</v>
      </c>
      <c r="F52" s="127" t="s">
        <v>53</v>
      </c>
      <c r="G52" s="128">
        <v>960</v>
      </c>
      <c r="H52">
        <v>1.2</v>
      </c>
      <c r="I52">
        <v>50</v>
      </c>
      <c r="J52" s="128">
        <v>576</v>
      </c>
      <c r="K52" s="128">
        <v>0</v>
      </c>
      <c r="L52" t="s">
        <v>565</v>
      </c>
      <c r="O52">
        <v>52</v>
      </c>
      <c r="P52" s="34">
        <v>44987.6688310185</v>
      </c>
      <c r="Q52" t="s">
        <v>389</v>
      </c>
      <c r="R52" t="s">
        <v>606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125">
        <v>44980</v>
      </c>
      <c r="C53" t="s">
        <v>54</v>
      </c>
      <c r="D53" t="s">
        <v>596</v>
      </c>
      <c r="E53">
        <v>9123195089</v>
      </c>
      <c r="F53" s="127" t="s">
        <v>55</v>
      </c>
      <c r="G53" s="128">
        <v>1160</v>
      </c>
      <c r="H53">
        <v>2.4</v>
      </c>
      <c r="I53">
        <v>50</v>
      </c>
      <c r="J53" s="128">
        <v>1392</v>
      </c>
      <c r="K53" s="128">
        <v>11551</v>
      </c>
      <c r="L53" t="s">
        <v>469</v>
      </c>
      <c r="O53">
        <v>53</v>
      </c>
      <c r="P53" s="34">
        <v>44987.7996759259</v>
      </c>
      <c r="Q53" t="s">
        <v>390</v>
      </c>
      <c r="R53" t="s">
        <v>607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125">
        <v>44980</v>
      </c>
      <c r="C54" t="s">
        <v>54</v>
      </c>
      <c r="D54" t="s">
        <v>596</v>
      </c>
      <c r="E54">
        <v>9123195089</v>
      </c>
      <c r="F54" s="127" t="s">
        <v>56</v>
      </c>
      <c r="G54" s="128">
        <v>1290</v>
      </c>
      <c r="H54">
        <v>2.6</v>
      </c>
      <c r="I54">
        <v>50</v>
      </c>
      <c r="J54" s="128">
        <v>1677</v>
      </c>
      <c r="K54" s="128">
        <v>0</v>
      </c>
      <c r="L54" t="s">
        <v>565</v>
      </c>
      <c r="O54">
        <v>54</v>
      </c>
      <c r="P54" s="34">
        <v>44988.6586574074</v>
      </c>
      <c r="Q54" t="s">
        <v>70</v>
      </c>
      <c r="R54" t="s">
        <v>608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125">
        <v>44980</v>
      </c>
      <c r="C55" t="s">
        <v>54</v>
      </c>
      <c r="D55" t="s">
        <v>596</v>
      </c>
      <c r="E55">
        <v>9123195089</v>
      </c>
      <c r="F55" s="127" t="s">
        <v>57</v>
      </c>
      <c r="G55" s="128">
        <v>4590</v>
      </c>
      <c r="H55">
        <v>1.4</v>
      </c>
      <c r="I55">
        <v>50</v>
      </c>
      <c r="J55" s="128">
        <v>3213</v>
      </c>
      <c r="K55" s="128">
        <v>0</v>
      </c>
      <c r="L55" t="s">
        <v>565</v>
      </c>
      <c r="O55">
        <v>55</v>
      </c>
      <c r="P55" s="34">
        <v>44988.8051736111</v>
      </c>
      <c r="Q55" t="s">
        <v>72</v>
      </c>
      <c r="R55" t="s">
        <v>609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125">
        <v>44980</v>
      </c>
      <c r="C56" t="s">
        <v>54</v>
      </c>
      <c r="D56" t="s">
        <v>596</v>
      </c>
      <c r="E56">
        <v>9123195089</v>
      </c>
      <c r="F56" s="127" t="s">
        <v>58</v>
      </c>
      <c r="G56" s="128">
        <v>1390</v>
      </c>
      <c r="H56">
        <v>5</v>
      </c>
      <c r="I56">
        <v>50</v>
      </c>
      <c r="J56" s="128">
        <v>3475</v>
      </c>
      <c r="K56" s="128">
        <v>0</v>
      </c>
      <c r="L56" t="s">
        <v>565</v>
      </c>
      <c r="O56">
        <v>56</v>
      </c>
      <c r="P56" s="34">
        <v>44988.8217013889</v>
      </c>
      <c r="Q56" t="s">
        <v>75</v>
      </c>
      <c r="R56" t="s">
        <v>609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125">
        <v>44980</v>
      </c>
      <c r="C57" t="s">
        <v>54</v>
      </c>
      <c r="D57" t="s">
        <v>596</v>
      </c>
      <c r="E57">
        <v>9123195089</v>
      </c>
      <c r="F57" s="127" t="s">
        <v>368</v>
      </c>
      <c r="G57" s="128">
        <v>1720</v>
      </c>
      <c r="H57">
        <v>1.2</v>
      </c>
      <c r="I57">
        <v>50</v>
      </c>
      <c r="J57" s="128">
        <v>1032</v>
      </c>
      <c r="K57" s="128">
        <v>0</v>
      </c>
      <c r="L57" t="s">
        <v>565</v>
      </c>
      <c r="O57">
        <v>57</v>
      </c>
      <c r="P57" s="34">
        <v>44988.8358680556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125">
        <v>44980</v>
      </c>
      <c r="C58" t="s">
        <v>59</v>
      </c>
      <c r="D58" t="s">
        <v>596</v>
      </c>
      <c r="E58">
        <v>9123195089</v>
      </c>
      <c r="F58" s="127" t="s">
        <v>60</v>
      </c>
      <c r="G58" s="128">
        <v>1710</v>
      </c>
      <c r="H58">
        <v>1.6</v>
      </c>
      <c r="I58">
        <v>50</v>
      </c>
      <c r="J58" s="128">
        <v>1368</v>
      </c>
      <c r="K58" s="128">
        <v>14068</v>
      </c>
      <c r="L58" t="s">
        <v>469</v>
      </c>
      <c r="O58">
        <v>58</v>
      </c>
      <c r="P58" s="34">
        <v>44988.8386226852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125">
        <v>44980</v>
      </c>
      <c r="C59" t="s">
        <v>59</v>
      </c>
      <c r="D59" t="s">
        <v>596</v>
      </c>
      <c r="E59">
        <v>9123195089</v>
      </c>
      <c r="F59" s="127" t="s">
        <v>61</v>
      </c>
      <c r="G59" s="128">
        <v>1780</v>
      </c>
      <c r="H59">
        <v>1.2</v>
      </c>
      <c r="I59">
        <v>50</v>
      </c>
      <c r="J59" s="128">
        <v>1068</v>
      </c>
      <c r="K59" s="128">
        <v>0</v>
      </c>
      <c r="L59" t="s">
        <v>565</v>
      </c>
      <c r="O59">
        <v>59</v>
      </c>
      <c r="P59" s="34">
        <v>44989.4982291667</v>
      </c>
      <c r="Q59" t="s">
        <v>392</v>
      </c>
      <c r="R59" t="s">
        <v>610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125">
        <v>44980</v>
      </c>
      <c r="C60" t="s">
        <v>59</v>
      </c>
      <c r="D60" t="s">
        <v>596</v>
      </c>
      <c r="E60">
        <v>9123195089</v>
      </c>
      <c r="F60" s="127" t="s">
        <v>611</v>
      </c>
      <c r="G60" s="128">
        <v>770</v>
      </c>
      <c r="H60">
        <v>1.6</v>
      </c>
      <c r="I60">
        <v>50</v>
      </c>
      <c r="J60" s="128">
        <v>616</v>
      </c>
      <c r="K60" s="128">
        <v>0</v>
      </c>
      <c r="L60" t="s">
        <v>565</v>
      </c>
      <c r="O60">
        <v>60</v>
      </c>
      <c r="P60" s="34">
        <v>44989.507037037</v>
      </c>
      <c r="Q60" t="s">
        <v>77</v>
      </c>
      <c r="R60" t="s">
        <v>610</v>
      </c>
      <c r="S60">
        <v>9122150722</v>
      </c>
      <c r="T60" t="s">
        <v>564</v>
      </c>
      <c r="U60" s="128">
        <v>533</v>
      </c>
    </row>
    <row r="61" spans="1:21">
      <c r="A61">
        <v>73</v>
      </c>
      <c r="B61" s="125">
        <v>44981</v>
      </c>
      <c r="C61" t="s">
        <v>376</v>
      </c>
      <c r="F61" s="127">
        <v>8904290606749</v>
      </c>
      <c r="G61" s="128">
        <v>1899</v>
      </c>
      <c r="H61">
        <v>1</v>
      </c>
      <c r="I61">
        <v>65</v>
      </c>
      <c r="J61" s="128">
        <v>664.65</v>
      </c>
      <c r="K61" s="128">
        <v>1085</v>
      </c>
      <c r="L61" t="s">
        <v>564</v>
      </c>
      <c r="O61">
        <v>61</v>
      </c>
      <c r="P61" s="34">
        <v>44989.6349652778</v>
      </c>
      <c r="Q61" t="s">
        <v>393</v>
      </c>
      <c r="R61" t="s">
        <v>612</v>
      </c>
      <c r="S61">
        <v>9471186611</v>
      </c>
      <c r="T61" t="s">
        <v>469</v>
      </c>
      <c r="U61" s="128">
        <v>8288</v>
      </c>
    </row>
    <row r="62" spans="1:21">
      <c r="A62">
        <v>74</v>
      </c>
      <c r="B62" s="125">
        <v>44981.6338773148</v>
      </c>
      <c r="C62" t="s">
        <v>376</v>
      </c>
      <c r="D62" t="s">
        <v>573</v>
      </c>
      <c r="F62" s="127">
        <v>8907686774756</v>
      </c>
      <c r="G62" s="128">
        <v>1199</v>
      </c>
      <c r="H62">
        <v>1</v>
      </c>
      <c r="I62">
        <v>65</v>
      </c>
      <c r="J62" s="128">
        <v>419.65</v>
      </c>
      <c r="K62" s="128"/>
      <c r="O62">
        <v>62</v>
      </c>
      <c r="P62" s="34">
        <v>44989.6537384259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75</v>
      </c>
      <c r="B63" s="125">
        <v>44981.705474537</v>
      </c>
      <c r="C63" t="s">
        <v>377</v>
      </c>
      <c r="D63" t="s">
        <v>573</v>
      </c>
      <c r="F63" s="127">
        <v>8904290600914</v>
      </c>
      <c r="G63" s="128">
        <v>1999</v>
      </c>
      <c r="H63">
        <v>1</v>
      </c>
      <c r="I63">
        <v>65</v>
      </c>
      <c r="J63" s="128">
        <v>699.65</v>
      </c>
      <c r="K63" s="128">
        <v>700</v>
      </c>
      <c r="L63" t="s">
        <v>469</v>
      </c>
      <c r="O63">
        <v>63</v>
      </c>
      <c r="P63" s="34">
        <v>44989.6794444444</v>
      </c>
      <c r="Q63" t="s">
        <v>400</v>
      </c>
      <c r="R63" t="s">
        <v>613</v>
      </c>
      <c r="S63">
        <v>9931665456</v>
      </c>
      <c r="T63" t="s">
        <v>469</v>
      </c>
      <c r="U63" s="128">
        <v>360</v>
      </c>
    </row>
    <row r="64" spans="1:21">
      <c r="A64">
        <v>76</v>
      </c>
      <c r="B64" s="125">
        <v>44981.7305671296</v>
      </c>
      <c r="C64" t="s">
        <v>378</v>
      </c>
      <c r="D64" t="s">
        <v>596</v>
      </c>
      <c r="E64">
        <v>9123195089</v>
      </c>
      <c r="F64" s="127">
        <v>8907378982520</v>
      </c>
      <c r="G64" s="128">
        <v>449</v>
      </c>
      <c r="H64">
        <v>1</v>
      </c>
      <c r="I64">
        <v>50</v>
      </c>
      <c r="J64" s="128">
        <v>224.5</v>
      </c>
      <c r="K64" s="128">
        <v>449</v>
      </c>
      <c r="L64" t="s">
        <v>469</v>
      </c>
      <c r="O64">
        <v>64</v>
      </c>
      <c r="P64" s="34">
        <v>44989.7028240741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77</v>
      </c>
      <c r="B65" s="125">
        <v>44981.7351736111</v>
      </c>
      <c r="C65" t="s">
        <v>23</v>
      </c>
      <c r="D65" t="s">
        <v>596</v>
      </c>
      <c r="E65">
        <v>9123195089</v>
      </c>
      <c r="F65" s="127" t="s">
        <v>24</v>
      </c>
      <c r="G65" s="128">
        <v>1050</v>
      </c>
      <c r="H65">
        <v>1.9</v>
      </c>
      <c r="I65">
        <v>50</v>
      </c>
      <c r="J65" s="128">
        <v>997.5</v>
      </c>
      <c r="K65" s="128">
        <v>998</v>
      </c>
      <c r="L65" t="s">
        <v>564</v>
      </c>
      <c r="O65">
        <v>65</v>
      </c>
      <c r="P65" s="34">
        <v>44989.7616435185</v>
      </c>
      <c r="Q65" t="s">
        <v>81</v>
      </c>
      <c r="R65" t="s">
        <v>614</v>
      </c>
      <c r="S65">
        <v>9801888496</v>
      </c>
      <c r="T65" t="s">
        <v>564</v>
      </c>
      <c r="U65" s="128">
        <v>17402</v>
      </c>
    </row>
    <row r="66" spans="1:21">
      <c r="A66">
        <v>78</v>
      </c>
      <c r="B66" s="125">
        <v>44981.7657175926</v>
      </c>
      <c r="C66" t="s">
        <v>25</v>
      </c>
      <c r="D66" t="s">
        <v>573</v>
      </c>
      <c r="F66" s="127" t="s">
        <v>26</v>
      </c>
      <c r="G66" s="128">
        <v>800</v>
      </c>
      <c r="H66">
        <v>1.15</v>
      </c>
      <c r="I66">
        <v>53</v>
      </c>
      <c r="J66" s="128">
        <v>432.4</v>
      </c>
      <c r="K66" s="128">
        <v>432</v>
      </c>
      <c r="L66" t="s">
        <v>469</v>
      </c>
      <c r="O66">
        <v>66</v>
      </c>
      <c r="P66" s="34">
        <v>44989.7666666667</v>
      </c>
      <c r="Q66" t="s">
        <v>401</v>
      </c>
      <c r="R66" t="s">
        <v>604</v>
      </c>
      <c r="T66" t="s">
        <v>564</v>
      </c>
      <c r="U66" s="128">
        <v>926</v>
      </c>
    </row>
    <row r="67" spans="1:21">
      <c r="A67">
        <v>79</v>
      </c>
      <c r="B67" s="125">
        <v>44981.8326388889</v>
      </c>
      <c r="C67" t="s">
        <v>27</v>
      </c>
      <c r="D67" t="s">
        <v>573</v>
      </c>
      <c r="F67" s="127" t="s">
        <v>28</v>
      </c>
      <c r="G67" s="128">
        <v>2340</v>
      </c>
      <c r="H67">
        <v>0.8</v>
      </c>
      <c r="I67">
        <v>50</v>
      </c>
      <c r="J67" s="128">
        <v>936</v>
      </c>
      <c r="K67" s="128">
        <v>936</v>
      </c>
      <c r="L67" t="s">
        <v>469</v>
      </c>
      <c r="O67">
        <v>67</v>
      </c>
      <c r="P67" s="34">
        <v>44989.7727546296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80</v>
      </c>
      <c r="B68" s="125">
        <v>44982.5206597222</v>
      </c>
      <c r="C68" t="s">
        <v>379</v>
      </c>
      <c r="D68" t="s">
        <v>571</v>
      </c>
      <c r="E68">
        <v>7004151659</v>
      </c>
      <c r="F68" s="127">
        <v>8907687169537</v>
      </c>
      <c r="G68" s="128">
        <v>1399</v>
      </c>
      <c r="H68">
        <v>1</v>
      </c>
      <c r="I68">
        <v>65</v>
      </c>
      <c r="J68" s="128">
        <v>489.65</v>
      </c>
      <c r="K68" s="128">
        <v>490</v>
      </c>
      <c r="L68" t="s">
        <v>469</v>
      </c>
      <c r="O68">
        <v>68</v>
      </c>
      <c r="P68" s="34">
        <v>44989.7790856482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81</v>
      </c>
      <c r="B69" s="125">
        <v>44982.7959953704</v>
      </c>
      <c r="C69" t="s">
        <v>380</v>
      </c>
      <c r="F69" s="127">
        <v>8907378981387</v>
      </c>
      <c r="G69" s="128">
        <v>699</v>
      </c>
      <c r="H69">
        <v>1</v>
      </c>
      <c r="I69">
        <v>65</v>
      </c>
      <c r="J69" s="128">
        <v>244.65</v>
      </c>
      <c r="K69" s="128">
        <v>2046</v>
      </c>
      <c r="L69" t="s">
        <v>615</v>
      </c>
      <c r="O69">
        <v>69</v>
      </c>
      <c r="P69" s="34">
        <v>44989.800625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82</v>
      </c>
      <c r="B70" s="125">
        <v>44982.7959953704</v>
      </c>
      <c r="C70" t="s">
        <v>380</v>
      </c>
      <c r="F70" s="127">
        <v>8907686786483</v>
      </c>
      <c r="G70" s="128">
        <v>1499</v>
      </c>
      <c r="H70">
        <v>1</v>
      </c>
      <c r="I70">
        <v>65</v>
      </c>
      <c r="J70" s="128">
        <v>524.65</v>
      </c>
      <c r="K70" s="128"/>
      <c r="O70">
        <v>70</v>
      </c>
      <c r="P70" s="34">
        <v>44989.8067013889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83</v>
      </c>
      <c r="B71" s="125">
        <v>44982.7959953704</v>
      </c>
      <c r="C71" t="s">
        <v>380</v>
      </c>
      <c r="F71" s="127">
        <v>890768613150</v>
      </c>
      <c r="G71" s="128">
        <v>949</v>
      </c>
      <c r="H71">
        <v>1</v>
      </c>
      <c r="I71">
        <v>65</v>
      </c>
      <c r="J71" s="128">
        <v>332.15</v>
      </c>
      <c r="K71" s="128"/>
      <c r="O71">
        <v>71</v>
      </c>
      <c r="P71" s="34">
        <v>44989.8247569444</v>
      </c>
      <c r="Q71" t="s">
        <v>88</v>
      </c>
      <c r="R71" t="s">
        <v>616</v>
      </c>
      <c r="T71" t="s">
        <v>469</v>
      </c>
      <c r="U71" s="128">
        <v>5100</v>
      </c>
    </row>
    <row r="72" spans="1:21">
      <c r="A72">
        <v>84</v>
      </c>
      <c r="B72" s="125">
        <v>44982.7959953704</v>
      </c>
      <c r="C72" t="s">
        <v>380</v>
      </c>
      <c r="F72" s="127">
        <v>8907686293875</v>
      </c>
      <c r="G72" s="128">
        <v>899</v>
      </c>
      <c r="H72">
        <v>1</v>
      </c>
      <c r="I72">
        <v>65</v>
      </c>
      <c r="J72" s="128">
        <v>314.65</v>
      </c>
      <c r="K72" s="128"/>
      <c r="O72">
        <v>72</v>
      </c>
      <c r="P72" s="34">
        <v>44991.7083564815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85</v>
      </c>
      <c r="B73" s="125">
        <v>44982.7959953704</v>
      </c>
      <c r="C73" t="s">
        <v>380</v>
      </c>
      <c r="D73" t="s">
        <v>573</v>
      </c>
      <c r="F73" s="127">
        <v>8907538213761</v>
      </c>
      <c r="G73" s="128">
        <v>1799</v>
      </c>
      <c r="H73">
        <v>1</v>
      </c>
      <c r="I73">
        <v>65</v>
      </c>
      <c r="J73" s="128">
        <v>629.65</v>
      </c>
      <c r="K73" s="128"/>
      <c r="O73">
        <v>73</v>
      </c>
      <c r="P73" s="34">
        <v>44991.8463541667</v>
      </c>
      <c r="Q73" t="s">
        <v>617</v>
      </c>
      <c r="R73" t="s">
        <v>573</v>
      </c>
      <c r="T73" t="s">
        <v>469</v>
      </c>
      <c r="U73" s="128">
        <v>630</v>
      </c>
    </row>
    <row r="74" spans="1:21">
      <c r="A74">
        <v>86</v>
      </c>
      <c r="B74" s="125">
        <v>44982.8087847222</v>
      </c>
      <c r="C74" t="s">
        <v>29</v>
      </c>
      <c r="D74" t="s">
        <v>573</v>
      </c>
      <c r="F74" s="127" t="s">
        <v>30</v>
      </c>
      <c r="G74" s="128">
        <v>1240</v>
      </c>
      <c r="H74">
        <v>1.25</v>
      </c>
      <c r="I74">
        <v>50</v>
      </c>
      <c r="J74" s="128">
        <v>775</v>
      </c>
      <c r="K74" s="128">
        <v>775</v>
      </c>
      <c r="L74" t="s">
        <v>469</v>
      </c>
      <c r="O74">
        <v>74</v>
      </c>
      <c r="P74" s="34">
        <v>44992.5552662037</v>
      </c>
      <c r="Q74" t="s">
        <v>618</v>
      </c>
      <c r="R74" t="s">
        <v>573</v>
      </c>
      <c r="T74" t="s">
        <v>469</v>
      </c>
      <c r="U74" s="128">
        <v>2710</v>
      </c>
    </row>
    <row r="75" spans="1:21">
      <c r="A75">
        <v>87</v>
      </c>
      <c r="B75" s="125">
        <v>44984.4665393519</v>
      </c>
      <c r="C75" t="s">
        <v>381</v>
      </c>
      <c r="D75" t="s">
        <v>598</v>
      </c>
      <c r="F75" s="127">
        <v>8904290618926</v>
      </c>
      <c r="G75" s="128">
        <v>2499</v>
      </c>
      <c r="H75">
        <v>1</v>
      </c>
      <c r="I75">
        <v>65</v>
      </c>
      <c r="J75" s="128">
        <v>874.65</v>
      </c>
      <c r="K75" s="128">
        <v>1575</v>
      </c>
      <c r="L75" t="s">
        <v>564</v>
      </c>
      <c r="O75">
        <v>75</v>
      </c>
      <c r="P75" s="34">
        <v>44992.7195486111</v>
      </c>
      <c r="Q75" t="s">
        <v>619</v>
      </c>
      <c r="R75" t="s">
        <v>573</v>
      </c>
      <c r="T75" t="s">
        <v>469</v>
      </c>
      <c r="U75" s="128">
        <v>4480</v>
      </c>
    </row>
    <row r="76" spans="1:21">
      <c r="A76">
        <v>88</v>
      </c>
      <c r="B76" s="125">
        <v>44984.4665393519</v>
      </c>
      <c r="C76" t="s">
        <v>381</v>
      </c>
      <c r="D76" t="s">
        <v>598</v>
      </c>
      <c r="F76" s="127">
        <v>8904290618766</v>
      </c>
      <c r="G76" s="128">
        <v>1999</v>
      </c>
      <c r="H76">
        <v>1</v>
      </c>
      <c r="I76">
        <v>65</v>
      </c>
      <c r="J76" s="128">
        <v>699.65</v>
      </c>
      <c r="K76" s="128"/>
      <c r="O76">
        <v>76</v>
      </c>
      <c r="P76" s="34">
        <v>44995.6751041667</v>
      </c>
      <c r="Q76" t="s">
        <v>620</v>
      </c>
      <c r="R76" t="s">
        <v>573</v>
      </c>
      <c r="T76" t="s">
        <v>469</v>
      </c>
      <c r="U76" s="128">
        <v>-4480</v>
      </c>
    </row>
    <row r="77" spans="1:21">
      <c r="A77">
        <v>89</v>
      </c>
      <c r="B77" s="125">
        <v>44984.5143171296</v>
      </c>
      <c r="C77" t="s">
        <v>31</v>
      </c>
      <c r="D77" t="s">
        <v>598</v>
      </c>
      <c r="F77" s="127" t="s">
        <v>32</v>
      </c>
      <c r="G77" s="128">
        <v>1150</v>
      </c>
      <c r="H77">
        <v>1.7</v>
      </c>
      <c r="I77">
        <v>50</v>
      </c>
      <c r="J77" s="128">
        <v>977.5</v>
      </c>
      <c r="K77" s="128">
        <v>1387</v>
      </c>
      <c r="L77" t="s">
        <v>469</v>
      </c>
      <c r="O77">
        <v>77</v>
      </c>
      <c r="P77" s="34">
        <v>44995.6896180556</v>
      </c>
      <c r="Q77" t="s">
        <v>621</v>
      </c>
      <c r="R77" t="s">
        <v>622</v>
      </c>
      <c r="S77">
        <v>9386601284</v>
      </c>
      <c r="T77" t="s">
        <v>469</v>
      </c>
      <c r="U77" s="128">
        <v>1730</v>
      </c>
    </row>
    <row r="78" spans="1:21">
      <c r="A78">
        <v>90</v>
      </c>
      <c r="B78" s="125">
        <v>44984.5143287037</v>
      </c>
      <c r="C78" t="s">
        <v>31</v>
      </c>
      <c r="D78" t="s">
        <v>598</v>
      </c>
      <c r="F78" s="127" t="s">
        <v>33</v>
      </c>
      <c r="G78" s="128">
        <v>630</v>
      </c>
      <c r="H78">
        <v>1.3</v>
      </c>
      <c r="I78">
        <v>50</v>
      </c>
      <c r="J78" s="128">
        <v>409.5</v>
      </c>
      <c r="K78" s="128">
        <v>0</v>
      </c>
      <c r="L78" t="s">
        <v>565</v>
      </c>
      <c r="O78">
        <v>78</v>
      </c>
      <c r="P78" s="34">
        <v>44995.7652662037</v>
      </c>
      <c r="Q78" t="s">
        <v>623</v>
      </c>
      <c r="R78" t="s">
        <v>573</v>
      </c>
      <c r="T78" t="s">
        <v>469</v>
      </c>
      <c r="U78" s="128">
        <v>5775</v>
      </c>
    </row>
    <row r="79" spans="1:21">
      <c r="A79">
        <v>91</v>
      </c>
      <c r="B79" s="125">
        <v>44984.5210069444</v>
      </c>
      <c r="C79" t="s">
        <v>34</v>
      </c>
      <c r="D79" t="s">
        <v>573</v>
      </c>
      <c r="F79" s="127" t="s">
        <v>16</v>
      </c>
      <c r="G79" s="128">
        <v>820</v>
      </c>
      <c r="H79">
        <v>1.6</v>
      </c>
      <c r="I79">
        <v>50</v>
      </c>
      <c r="J79" s="128">
        <v>656</v>
      </c>
      <c r="K79" s="128">
        <v>7339</v>
      </c>
      <c r="L79" t="s">
        <v>469</v>
      </c>
      <c r="O79">
        <v>79</v>
      </c>
      <c r="P79" s="34">
        <v>44995.8298032407</v>
      </c>
      <c r="Q79" t="s">
        <v>624</v>
      </c>
      <c r="R79" t="s">
        <v>573</v>
      </c>
      <c r="T79" t="s">
        <v>458</v>
      </c>
      <c r="U79" s="128">
        <v>920</v>
      </c>
    </row>
    <row r="80" spans="1:21">
      <c r="A80">
        <v>92</v>
      </c>
      <c r="B80" s="125">
        <v>44984.5210069444</v>
      </c>
      <c r="C80" t="s">
        <v>34</v>
      </c>
      <c r="D80" t="s">
        <v>573</v>
      </c>
      <c r="F80" s="127" t="s">
        <v>35</v>
      </c>
      <c r="G80" s="128">
        <v>1310</v>
      </c>
      <c r="H80">
        <v>1.6</v>
      </c>
      <c r="I80">
        <v>50</v>
      </c>
      <c r="J80" s="128">
        <v>1048</v>
      </c>
      <c r="K80" s="128">
        <v>0</v>
      </c>
      <c r="L80" t="s">
        <v>565</v>
      </c>
      <c r="O80">
        <v>80</v>
      </c>
      <c r="P80" s="34">
        <v>44995.8689467593</v>
      </c>
      <c r="Q80" t="s">
        <v>625</v>
      </c>
      <c r="R80" t="s">
        <v>573</v>
      </c>
      <c r="T80" t="s">
        <v>469</v>
      </c>
      <c r="U80" s="128">
        <v>2425</v>
      </c>
    </row>
    <row r="81" spans="1:21">
      <c r="A81">
        <v>93</v>
      </c>
      <c r="B81" s="125">
        <v>44984.5210069444</v>
      </c>
      <c r="C81" t="s">
        <v>34</v>
      </c>
      <c r="D81" t="s">
        <v>573</v>
      </c>
      <c r="F81" s="127" t="s">
        <v>36</v>
      </c>
      <c r="G81" s="128">
        <v>4850</v>
      </c>
      <c r="H81">
        <v>1.9</v>
      </c>
      <c r="I81">
        <v>50</v>
      </c>
      <c r="J81" s="128">
        <v>4607.5</v>
      </c>
      <c r="K81" s="128">
        <v>0</v>
      </c>
      <c r="L81" t="s">
        <v>565</v>
      </c>
      <c r="O81">
        <v>81</v>
      </c>
      <c r="P81" s="34">
        <v>44995.8706018518</v>
      </c>
      <c r="Q81" t="s">
        <v>626</v>
      </c>
      <c r="R81" t="s">
        <v>627</v>
      </c>
      <c r="S81">
        <v>8789483432</v>
      </c>
      <c r="T81" t="s">
        <v>454</v>
      </c>
      <c r="U81" s="128">
        <v>4065</v>
      </c>
    </row>
    <row r="82" spans="1:21">
      <c r="A82">
        <v>94</v>
      </c>
      <c r="B82" s="125">
        <v>44984.5210185185</v>
      </c>
      <c r="C82" t="s">
        <v>34</v>
      </c>
      <c r="D82" t="s">
        <v>573</v>
      </c>
      <c r="F82" s="127" t="s">
        <v>37</v>
      </c>
      <c r="G82" s="128">
        <v>1580</v>
      </c>
      <c r="H82">
        <v>1.3</v>
      </c>
      <c r="I82">
        <v>50</v>
      </c>
      <c r="J82" s="128">
        <v>1027</v>
      </c>
      <c r="K82" s="128">
        <v>0</v>
      </c>
      <c r="L82" t="s">
        <v>565</v>
      </c>
      <c r="O82">
        <v>82</v>
      </c>
      <c r="P82" s="34">
        <v>44996.6223032407</v>
      </c>
      <c r="Q82" t="s">
        <v>628</v>
      </c>
      <c r="R82" t="s">
        <v>573</v>
      </c>
      <c r="T82" t="s">
        <v>454</v>
      </c>
      <c r="U82" s="128">
        <v>3934</v>
      </c>
    </row>
    <row r="83" spans="1:21">
      <c r="A83">
        <v>95</v>
      </c>
      <c r="B83" s="125">
        <v>44984.5763888889</v>
      </c>
      <c r="C83" t="s">
        <v>382</v>
      </c>
      <c r="D83" t="s">
        <v>573</v>
      </c>
      <c r="F83" s="127">
        <v>8907290618926</v>
      </c>
      <c r="G83" s="128">
        <v>-2499</v>
      </c>
      <c r="H83">
        <v>1</v>
      </c>
      <c r="I83">
        <v>65</v>
      </c>
      <c r="J83" s="128">
        <v>-874.65</v>
      </c>
      <c r="K83" s="128">
        <v>-1575</v>
      </c>
      <c r="L83" t="s">
        <v>469</v>
      </c>
      <c r="O83">
        <v>83</v>
      </c>
      <c r="P83" s="34">
        <v>44996.642037037</v>
      </c>
      <c r="Q83" t="s">
        <v>629</v>
      </c>
      <c r="R83" t="s">
        <v>573</v>
      </c>
      <c r="T83" t="s">
        <v>469</v>
      </c>
      <c r="U83" s="128">
        <v>990</v>
      </c>
    </row>
    <row r="84" spans="1:21">
      <c r="A84">
        <v>96</v>
      </c>
      <c r="B84" s="125">
        <v>44984.5778240741</v>
      </c>
      <c r="C84" t="s">
        <v>383</v>
      </c>
      <c r="D84" t="s">
        <v>573</v>
      </c>
      <c r="F84" s="127">
        <v>510000000486</v>
      </c>
      <c r="G84" s="128">
        <v>1999</v>
      </c>
      <c r="H84">
        <v>1</v>
      </c>
      <c r="I84">
        <v>65</v>
      </c>
      <c r="J84" s="128">
        <v>699.65</v>
      </c>
      <c r="K84" s="128">
        <v>1680</v>
      </c>
      <c r="L84" t="s">
        <v>469</v>
      </c>
      <c r="O84">
        <v>84</v>
      </c>
      <c r="P84" s="34">
        <v>44996.6712152778</v>
      </c>
      <c r="Q84" t="s">
        <v>630</v>
      </c>
      <c r="R84" t="s">
        <v>573</v>
      </c>
      <c r="T84" t="s">
        <v>469</v>
      </c>
      <c r="U84" s="128">
        <v>-4900</v>
      </c>
    </row>
    <row r="85" spans="1:21">
      <c r="A85">
        <v>97</v>
      </c>
      <c r="B85" s="125">
        <v>44984.7225347222</v>
      </c>
      <c r="C85" t="s">
        <v>38</v>
      </c>
      <c r="D85" t="s">
        <v>631</v>
      </c>
      <c r="F85" s="127" t="s">
        <v>39</v>
      </c>
      <c r="G85" s="128">
        <v>1780</v>
      </c>
      <c r="H85">
        <v>1.55</v>
      </c>
      <c r="I85">
        <v>50</v>
      </c>
      <c r="J85" s="128">
        <v>1379.5</v>
      </c>
      <c r="K85" s="128">
        <v>1380</v>
      </c>
      <c r="L85" t="s">
        <v>564</v>
      </c>
      <c r="O85">
        <v>85</v>
      </c>
      <c r="P85" s="34">
        <v>44996.7234143519</v>
      </c>
      <c r="Q85" t="s">
        <v>632</v>
      </c>
      <c r="R85" t="s">
        <v>633</v>
      </c>
      <c r="S85">
        <v>9973767777</v>
      </c>
      <c r="T85" t="s">
        <v>469</v>
      </c>
      <c r="U85" s="128">
        <v>1710</v>
      </c>
    </row>
    <row r="86" spans="1:21">
      <c r="A86">
        <v>98</v>
      </c>
      <c r="B86" s="125">
        <v>44984.7225347222</v>
      </c>
      <c r="C86" t="s">
        <v>384</v>
      </c>
      <c r="D86" t="s">
        <v>600</v>
      </c>
      <c r="F86" s="127">
        <v>8904290614522</v>
      </c>
      <c r="G86" s="128">
        <v>2799</v>
      </c>
      <c r="H86">
        <v>1</v>
      </c>
      <c r="I86">
        <v>65</v>
      </c>
      <c r="J86" s="128">
        <v>2799</v>
      </c>
      <c r="K86" s="128">
        <v>2939</v>
      </c>
      <c r="L86" t="s">
        <v>564</v>
      </c>
      <c r="O86">
        <v>86</v>
      </c>
      <c r="P86" s="34">
        <v>44996.7337731481</v>
      </c>
      <c r="Q86" t="s">
        <v>634</v>
      </c>
      <c r="R86" t="s">
        <v>573</v>
      </c>
      <c r="T86" t="s">
        <v>469</v>
      </c>
      <c r="U86" s="128">
        <v>875</v>
      </c>
    </row>
    <row r="87" spans="1:21">
      <c r="A87">
        <v>99</v>
      </c>
      <c r="B87" s="125">
        <v>44984.7225347222</v>
      </c>
      <c r="C87" t="s">
        <v>384</v>
      </c>
      <c r="D87" t="s">
        <v>600</v>
      </c>
      <c r="F87" s="127">
        <v>8907538619747</v>
      </c>
      <c r="G87" s="128">
        <v>1799</v>
      </c>
      <c r="H87">
        <v>1</v>
      </c>
      <c r="I87">
        <v>65</v>
      </c>
      <c r="J87" s="128">
        <v>1799</v>
      </c>
      <c r="K87" s="128"/>
      <c r="O87">
        <v>87</v>
      </c>
      <c r="P87" s="34">
        <v>44996.7662615741</v>
      </c>
      <c r="Q87" t="s">
        <v>635</v>
      </c>
      <c r="R87" t="s">
        <v>636</v>
      </c>
      <c r="T87" t="s">
        <v>469</v>
      </c>
      <c r="U87" s="128">
        <v>2600</v>
      </c>
    </row>
    <row r="88" spans="1:21">
      <c r="A88">
        <v>100</v>
      </c>
      <c r="B88" s="125">
        <v>44984.7225347222</v>
      </c>
      <c r="C88" t="s">
        <v>384</v>
      </c>
      <c r="D88" t="s">
        <v>600</v>
      </c>
      <c r="F88" s="127">
        <v>8907378962072</v>
      </c>
      <c r="G88" s="128">
        <v>1999</v>
      </c>
      <c r="H88">
        <v>1</v>
      </c>
      <c r="I88">
        <v>65</v>
      </c>
      <c r="J88" s="128">
        <v>1999</v>
      </c>
      <c r="K88" s="128"/>
      <c r="O88">
        <v>88</v>
      </c>
      <c r="P88" s="34">
        <v>44996.8444328704</v>
      </c>
      <c r="Q88" t="s">
        <v>637</v>
      </c>
      <c r="R88" t="s">
        <v>573</v>
      </c>
      <c r="T88" t="s">
        <v>469</v>
      </c>
      <c r="U88" s="128">
        <v>8082</v>
      </c>
    </row>
    <row r="89" spans="1:21">
      <c r="A89">
        <v>101</v>
      </c>
      <c r="B89" s="125">
        <v>44984.7225347222</v>
      </c>
      <c r="C89" t="s">
        <v>384</v>
      </c>
      <c r="D89" t="s">
        <v>600</v>
      </c>
      <c r="F89" s="127">
        <v>8907538620309</v>
      </c>
      <c r="G89" s="128">
        <v>1799</v>
      </c>
      <c r="H89">
        <v>1</v>
      </c>
      <c r="I89">
        <v>65</v>
      </c>
      <c r="J89" s="128">
        <v>1799</v>
      </c>
      <c r="K89" s="128"/>
      <c r="O89">
        <v>89</v>
      </c>
      <c r="P89" s="34">
        <v>44997.5577430556</v>
      </c>
      <c r="Q89" t="s">
        <v>638</v>
      </c>
      <c r="R89" t="s">
        <v>573</v>
      </c>
      <c r="T89" t="s">
        <v>469</v>
      </c>
      <c r="U89" s="128">
        <v>3943</v>
      </c>
    </row>
    <row r="90" spans="1:21">
      <c r="A90">
        <v>102</v>
      </c>
      <c r="B90" s="125">
        <v>44984.7225347222</v>
      </c>
      <c r="C90" t="s">
        <v>385</v>
      </c>
      <c r="D90" t="s">
        <v>602</v>
      </c>
      <c r="F90" s="127">
        <v>8907686950426</v>
      </c>
      <c r="G90" s="128">
        <v>2199</v>
      </c>
      <c r="H90">
        <v>1</v>
      </c>
      <c r="I90">
        <v>65</v>
      </c>
      <c r="J90" s="128">
        <v>769.65</v>
      </c>
      <c r="K90" s="128">
        <v>1400</v>
      </c>
      <c r="L90" t="s">
        <v>469</v>
      </c>
      <c r="O90">
        <v>90</v>
      </c>
      <c r="P90" s="34">
        <v>44999.5070717593</v>
      </c>
      <c r="Q90" t="s">
        <v>639</v>
      </c>
      <c r="R90" t="s">
        <v>573</v>
      </c>
      <c r="T90" t="s">
        <v>469</v>
      </c>
      <c r="U90" s="128">
        <v>2566</v>
      </c>
    </row>
    <row r="91" spans="1:21">
      <c r="A91">
        <v>103</v>
      </c>
      <c r="B91" s="125">
        <v>44984.8391782407</v>
      </c>
      <c r="C91" t="s">
        <v>385</v>
      </c>
      <c r="D91" t="s">
        <v>602</v>
      </c>
      <c r="F91" s="127">
        <v>8907259947846</v>
      </c>
      <c r="G91" s="128">
        <v>1799</v>
      </c>
      <c r="H91">
        <v>1</v>
      </c>
      <c r="I91">
        <v>65</v>
      </c>
      <c r="J91" s="128">
        <v>629.65</v>
      </c>
      <c r="K91" s="128"/>
      <c r="O91">
        <v>91</v>
      </c>
      <c r="P91" s="34">
        <v>44999.6743055556</v>
      </c>
      <c r="Q91" t="s">
        <v>640</v>
      </c>
      <c r="R91" t="s">
        <v>573</v>
      </c>
      <c r="T91" t="s">
        <v>469</v>
      </c>
      <c r="U91" s="128">
        <v>832</v>
      </c>
    </row>
    <row r="92" spans="1:21">
      <c r="A92">
        <v>104</v>
      </c>
      <c r="B92" s="125">
        <v>44985.4586226852</v>
      </c>
      <c r="C92" t="s">
        <v>40</v>
      </c>
      <c r="D92" t="s">
        <v>603</v>
      </c>
      <c r="F92" s="127" t="s">
        <v>41</v>
      </c>
      <c r="G92" s="128">
        <v>1110</v>
      </c>
      <c r="H92">
        <v>2.2</v>
      </c>
      <c r="I92">
        <v>50</v>
      </c>
      <c r="J92" s="128">
        <v>1221</v>
      </c>
      <c r="K92" s="128">
        <v>1221</v>
      </c>
      <c r="L92" t="s">
        <v>469</v>
      </c>
      <c r="O92">
        <v>92</v>
      </c>
      <c r="P92" s="34">
        <v>44999.810474537</v>
      </c>
      <c r="Q92" t="s">
        <v>641</v>
      </c>
      <c r="R92" t="s">
        <v>642</v>
      </c>
      <c r="T92" t="s">
        <v>458</v>
      </c>
      <c r="U92" s="128">
        <v>3551</v>
      </c>
    </row>
    <row r="93" spans="1:21">
      <c r="A93">
        <v>105</v>
      </c>
      <c r="B93" s="125">
        <v>44985.7118402778</v>
      </c>
      <c r="C93" t="s">
        <v>386</v>
      </c>
      <c r="D93" t="s">
        <v>604</v>
      </c>
      <c r="E93">
        <v>9939822801</v>
      </c>
      <c r="F93" s="127">
        <v>8907538732774</v>
      </c>
      <c r="G93" s="128">
        <v>2499</v>
      </c>
      <c r="H93">
        <v>1</v>
      </c>
      <c r="I93">
        <v>65</v>
      </c>
      <c r="J93" s="128">
        <v>874.65</v>
      </c>
      <c r="K93" s="128">
        <v>3444</v>
      </c>
      <c r="L93" t="s">
        <v>469</v>
      </c>
      <c r="O93">
        <v>93</v>
      </c>
      <c r="P93" s="34">
        <v>45000.4931944444</v>
      </c>
      <c r="Q93" t="s">
        <v>643</v>
      </c>
      <c r="R93" t="s">
        <v>573</v>
      </c>
      <c r="T93" t="s">
        <v>458</v>
      </c>
      <c r="U93" s="128">
        <v>2029</v>
      </c>
    </row>
    <row r="94" spans="1:21">
      <c r="A94">
        <v>106</v>
      </c>
      <c r="B94" s="125">
        <v>44985.7118402778</v>
      </c>
      <c r="C94" t="s">
        <v>386</v>
      </c>
      <c r="D94" t="s">
        <v>604</v>
      </c>
      <c r="E94">
        <v>9939822801</v>
      </c>
      <c r="F94" s="127">
        <v>8907686438603</v>
      </c>
      <c r="G94" s="128">
        <v>2499</v>
      </c>
      <c r="H94">
        <v>1</v>
      </c>
      <c r="I94">
        <v>65</v>
      </c>
      <c r="J94" s="128">
        <v>874.65</v>
      </c>
      <c r="K94" s="128"/>
      <c r="O94">
        <v>94</v>
      </c>
      <c r="P94" s="34">
        <v>45000.813587963</v>
      </c>
      <c r="Q94" t="s">
        <v>644</v>
      </c>
      <c r="R94" t="s">
        <v>573</v>
      </c>
      <c r="T94" t="s">
        <v>469</v>
      </c>
      <c r="U94" s="128">
        <v>4079</v>
      </c>
    </row>
    <row r="95" spans="1:21">
      <c r="A95">
        <v>107</v>
      </c>
      <c r="B95" s="125">
        <v>44985</v>
      </c>
      <c r="C95" t="s">
        <v>386</v>
      </c>
      <c r="D95" t="s">
        <v>604</v>
      </c>
      <c r="E95">
        <v>9939822801</v>
      </c>
      <c r="F95" s="127">
        <v>8907259937687</v>
      </c>
      <c r="G95" s="128">
        <v>2499</v>
      </c>
      <c r="H95">
        <v>1</v>
      </c>
      <c r="I95">
        <v>65</v>
      </c>
      <c r="J95" s="128">
        <v>769.65</v>
      </c>
      <c r="K95" s="128"/>
      <c r="O95">
        <v>95</v>
      </c>
      <c r="P95" s="34">
        <v>45000.8168287037</v>
      </c>
      <c r="Q95" t="s">
        <v>645</v>
      </c>
      <c r="R95" t="s">
        <v>573</v>
      </c>
      <c r="T95" t="s">
        <v>469</v>
      </c>
      <c r="U95" s="128">
        <v>665</v>
      </c>
    </row>
    <row r="96" spans="1:21">
      <c r="A96">
        <v>108</v>
      </c>
      <c r="B96" s="125">
        <v>44985</v>
      </c>
      <c r="C96" t="s">
        <v>62</v>
      </c>
      <c r="D96" t="s">
        <v>604</v>
      </c>
      <c r="E96">
        <v>9939822801</v>
      </c>
      <c r="F96" s="127">
        <v>8907797002465</v>
      </c>
      <c r="G96" s="128">
        <v>289</v>
      </c>
      <c r="H96">
        <v>4</v>
      </c>
      <c r="I96">
        <v>20</v>
      </c>
      <c r="J96" s="128">
        <v>924.8</v>
      </c>
      <c r="K96" s="128"/>
      <c r="O96">
        <v>96</v>
      </c>
      <c r="P96" s="34">
        <v>45000.8398842593</v>
      </c>
      <c r="Q96" t="s">
        <v>646</v>
      </c>
      <c r="R96" t="s">
        <v>573</v>
      </c>
      <c r="T96" t="s">
        <v>458</v>
      </c>
      <c r="U96" s="128">
        <v>750</v>
      </c>
    </row>
    <row r="97" spans="1:21">
      <c r="A97">
        <v>109</v>
      </c>
      <c r="B97" s="125">
        <v>44986.759837963</v>
      </c>
      <c r="C97" t="s">
        <v>62</v>
      </c>
      <c r="D97" t="s">
        <v>605</v>
      </c>
      <c r="E97">
        <v>9366984995</v>
      </c>
      <c r="F97" s="127" t="s">
        <v>63</v>
      </c>
      <c r="G97" s="128">
        <v>2431</v>
      </c>
      <c r="H97">
        <v>3.25</v>
      </c>
      <c r="I97">
        <v>50</v>
      </c>
      <c r="J97" s="128">
        <v>3950.38</v>
      </c>
      <c r="K97" s="128">
        <v>3950</v>
      </c>
      <c r="L97" t="s">
        <v>469</v>
      </c>
      <c r="O97">
        <v>97</v>
      </c>
      <c r="P97" s="34">
        <v>45000.8565509259</v>
      </c>
      <c r="Q97" t="s">
        <v>647</v>
      </c>
      <c r="R97" t="s">
        <v>573</v>
      </c>
      <c r="T97" t="s">
        <v>469</v>
      </c>
      <c r="U97" s="128">
        <v>1495</v>
      </c>
    </row>
    <row r="98" spans="1:21">
      <c r="A98">
        <v>110</v>
      </c>
      <c r="B98" s="125">
        <v>44986.7686458333</v>
      </c>
      <c r="C98" t="s">
        <v>387</v>
      </c>
      <c r="D98" t="s">
        <v>573</v>
      </c>
      <c r="F98" s="127">
        <v>8907686349923</v>
      </c>
      <c r="G98" s="128">
        <v>449</v>
      </c>
      <c r="H98">
        <v>1</v>
      </c>
      <c r="I98">
        <v>50</v>
      </c>
      <c r="J98" s="128">
        <v>224.5</v>
      </c>
      <c r="K98" s="128">
        <v>449</v>
      </c>
      <c r="L98" t="s">
        <v>469</v>
      </c>
      <c r="O98">
        <v>98</v>
      </c>
      <c r="P98" s="34">
        <v>45001.5439467593</v>
      </c>
      <c r="Q98" t="s">
        <v>648</v>
      </c>
      <c r="R98" t="s">
        <v>649</v>
      </c>
      <c r="T98" t="s">
        <v>469</v>
      </c>
      <c r="U98" s="128">
        <v>5600</v>
      </c>
    </row>
    <row r="99" spans="1:21">
      <c r="A99">
        <v>111</v>
      </c>
      <c r="B99" s="125">
        <v>44986.7929398148</v>
      </c>
      <c r="C99" t="s">
        <v>64</v>
      </c>
      <c r="D99" t="s">
        <v>573</v>
      </c>
      <c r="F99" s="127" t="s">
        <v>65</v>
      </c>
      <c r="G99" s="128">
        <v>1460</v>
      </c>
      <c r="H99">
        <v>1.6</v>
      </c>
      <c r="I99">
        <v>50</v>
      </c>
      <c r="J99" s="128">
        <v>1168</v>
      </c>
      <c r="K99" s="128">
        <v>2336</v>
      </c>
      <c r="L99" t="s">
        <v>469</v>
      </c>
      <c r="O99">
        <v>99</v>
      </c>
      <c r="P99" s="34">
        <v>45001.7117013889</v>
      </c>
      <c r="Q99" t="s">
        <v>650</v>
      </c>
      <c r="R99" t="s">
        <v>573</v>
      </c>
      <c r="T99" t="s">
        <v>469</v>
      </c>
      <c r="U99" s="128">
        <v>2691</v>
      </c>
    </row>
    <row r="100" spans="1:21">
      <c r="A100">
        <v>112</v>
      </c>
      <c r="B100" s="125">
        <v>44986.7929398148</v>
      </c>
      <c r="C100" t="s">
        <v>64</v>
      </c>
      <c r="D100" t="s">
        <v>573</v>
      </c>
      <c r="F100" s="127" t="s">
        <v>66</v>
      </c>
      <c r="G100" s="128">
        <v>1460</v>
      </c>
      <c r="H100">
        <v>1.6</v>
      </c>
      <c r="I100">
        <v>50</v>
      </c>
      <c r="J100" s="128">
        <v>1168</v>
      </c>
      <c r="K100" s="128">
        <v>0</v>
      </c>
      <c r="L100" t="s">
        <v>565</v>
      </c>
      <c r="O100">
        <v>100</v>
      </c>
      <c r="P100" s="34">
        <v>45001.7995601852</v>
      </c>
      <c r="Q100" t="s">
        <v>651</v>
      </c>
      <c r="R100" t="s">
        <v>652</v>
      </c>
      <c r="S100">
        <v>9905138083</v>
      </c>
      <c r="T100" t="s">
        <v>469</v>
      </c>
      <c r="U100" s="128">
        <v>6323</v>
      </c>
    </row>
    <row r="101" spans="1:21">
      <c r="A101">
        <v>113</v>
      </c>
      <c r="B101" s="125">
        <v>44986.8104398148</v>
      </c>
      <c r="C101" t="s">
        <v>67</v>
      </c>
      <c r="D101" t="s">
        <v>573</v>
      </c>
      <c r="F101" s="127" t="s">
        <v>68</v>
      </c>
      <c r="G101" s="128">
        <v>2370</v>
      </c>
      <c r="H101">
        <v>1.2</v>
      </c>
      <c r="I101">
        <v>50</v>
      </c>
      <c r="J101" s="128">
        <v>1422</v>
      </c>
      <c r="K101" s="128">
        <v>3565</v>
      </c>
      <c r="L101" t="s">
        <v>564</v>
      </c>
      <c r="O101">
        <v>101</v>
      </c>
      <c r="P101" s="34">
        <v>45001.8101157407</v>
      </c>
      <c r="Q101" t="s">
        <v>653</v>
      </c>
      <c r="R101" t="s">
        <v>573</v>
      </c>
      <c r="T101" t="s">
        <v>469</v>
      </c>
      <c r="U101" s="128">
        <v>805</v>
      </c>
    </row>
    <row r="102" spans="1:21">
      <c r="A102">
        <v>114</v>
      </c>
      <c r="B102" s="125">
        <v>44986.8104513889</v>
      </c>
      <c r="C102" t="s">
        <v>67</v>
      </c>
      <c r="D102" t="s">
        <v>573</v>
      </c>
      <c r="F102" s="127" t="s">
        <v>65</v>
      </c>
      <c r="G102" s="128">
        <v>1460</v>
      </c>
      <c r="H102">
        <v>1.4</v>
      </c>
      <c r="I102">
        <v>50</v>
      </c>
      <c r="J102" s="128">
        <v>1022</v>
      </c>
      <c r="K102" s="128">
        <v>0</v>
      </c>
      <c r="L102" t="s">
        <v>565</v>
      </c>
      <c r="O102">
        <v>102</v>
      </c>
      <c r="P102" s="34">
        <v>45001.829849537</v>
      </c>
      <c r="Q102" t="s">
        <v>654</v>
      </c>
      <c r="R102" t="s">
        <v>573</v>
      </c>
      <c r="T102" t="s">
        <v>469</v>
      </c>
      <c r="U102" s="128">
        <v>1300</v>
      </c>
    </row>
    <row r="103" spans="1:21">
      <c r="A103">
        <v>115</v>
      </c>
      <c r="B103" s="125">
        <v>44986.8104513889</v>
      </c>
      <c r="C103" t="s">
        <v>67</v>
      </c>
      <c r="D103" t="s">
        <v>573</v>
      </c>
      <c r="F103" s="127" t="s">
        <v>69</v>
      </c>
      <c r="G103" s="128">
        <v>1660</v>
      </c>
      <c r="H103">
        <v>1.35</v>
      </c>
      <c r="I103">
        <v>50</v>
      </c>
      <c r="J103" s="128">
        <v>1120.5</v>
      </c>
      <c r="K103" s="128">
        <v>0</v>
      </c>
      <c r="L103" t="s">
        <v>565</v>
      </c>
      <c r="O103">
        <v>103</v>
      </c>
      <c r="P103" s="34">
        <v>45002.4969675926</v>
      </c>
      <c r="Q103" t="s">
        <v>655</v>
      </c>
      <c r="R103" t="s">
        <v>627</v>
      </c>
      <c r="S103">
        <v>8789483432</v>
      </c>
      <c r="T103" t="s">
        <v>469</v>
      </c>
      <c r="U103" s="128">
        <v>2655</v>
      </c>
    </row>
    <row r="104" spans="1:21">
      <c r="A104">
        <v>116</v>
      </c>
      <c r="B104" s="125">
        <v>44986.8119097222</v>
      </c>
      <c r="C104" t="s">
        <v>388</v>
      </c>
      <c r="D104" t="s">
        <v>573</v>
      </c>
      <c r="F104" s="127">
        <v>8907036564587</v>
      </c>
      <c r="G104" s="128">
        <v>1399</v>
      </c>
      <c r="H104">
        <v>1</v>
      </c>
      <c r="I104">
        <v>65</v>
      </c>
      <c r="J104" s="128">
        <v>489.65</v>
      </c>
      <c r="K104" s="128">
        <v>490</v>
      </c>
      <c r="L104" t="s">
        <v>469</v>
      </c>
      <c r="O104">
        <v>104</v>
      </c>
      <c r="P104" s="34">
        <v>45002.6809606481</v>
      </c>
      <c r="Q104" t="s">
        <v>656</v>
      </c>
      <c r="R104" t="s">
        <v>657</v>
      </c>
      <c r="T104" t="s">
        <v>469</v>
      </c>
      <c r="U104" s="128">
        <v>700</v>
      </c>
    </row>
    <row r="105" spans="1:21">
      <c r="A105">
        <v>117</v>
      </c>
      <c r="B105" s="125">
        <v>44987.6688310185</v>
      </c>
      <c r="C105" t="s">
        <v>389</v>
      </c>
      <c r="D105" t="s">
        <v>606</v>
      </c>
      <c r="E105">
        <v>7480938383</v>
      </c>
      <c r="F105" s="127">
        <v>8907259517230</v>
      </c>
      <c r="G105" s="128">
        <v>1899</v>
      </c>
      <c r="H105">
        <v>1</v>
      </c>
      <c r="I105">
        <v>65</v>
      </c>
      <c r="J105" s="128">
        <v>664.65</v>
      </c>
      <c r="K105" s="128">
        <v>665</v>
      </c>
      <c r="L105" t="s">
        <v>564</v>
      </c>
      <c r="O105">
        <v>105</v>
      </c>
      <c r="P105" s="34">
        <v>45002.7776736111</v>
      </c>
      <c r="Q105" t="s">
        <v>658</v>
      </c>
      <c r="R105" t="s">
        <v>573</v>
      </c>
      <c r="T105" t="s">
        <v>469</v>
      </c>
      <c r="U105" s="128">
        <v>490</v>
      </c>
    </row>
    <row r="106" spans="1:21">
      <c r="A106">
        <v>118</v>
      </c>
      <c r="B106" s="125">
        <v>44987.7996759259</v>
      </c>
      <c r="C106" t="s">
        <v>390</v>
      </c>
      <c r="D106" t="s">
        <v>607</v>
      </c>
      <c r="E106">
        <v>83404455415</v>
      </c>
      <c r="F106" s="127">
        <v>8907686417134</v>
      </c>
      <c r="G106" s="128">
        <v>2499</v>
      </c>
      <c r="H106">
        <v>1</v>
      </c>
      <c r="I106">
        <v>65</v>
      </c>
      <c r="J106" s="128">
        <v>874.65</v>
      </c>
      <c r="K106" s="128">
        <v>1680</v>
      </c>
      <c r="L106" t="s">
        <v>469</v>
      </c>
      <c r="O106">
        <v>106</v>
      </c>
      <c r="P106" s="34">
        <v>45002.7868402778</v>
      </c>
      <c r="Q106" t="s">
        <v>659</v>
      </c>
      <c r="R106" t="s">
        <v>573</v>
      </c>
      <c r="T106" t="s">
        <v>458</v>
      </c>
      <c r="U106" s="128">
        <v>1119</v>
      </c>
    </row>
    <row r="107" spans="1:21">
      <c r="A107">
        <v>119</v>
      </c>
      <c r="B107" s="125">
        <v>44987</v>
      </c>
      <c r="C107" t="s">
        <v>390</v>
      </c>
      <c r="D107" t="s">
        <v>660</v>
      </c>
      <c r="E107">
        <v>83404455415</v>
      </c>
      <c r="F107" s="127">
        <v>8904290615956</v>
      </c>
      <c r="G107" s="128">
        <v>2299</v>
      </c>
      <c r="H107">
        <v>1</v>
      </c>
      <c r="I107">
        <v>65</v>
      </c>
      <c r="J107" s="128">
        <v>804.65</v>
      </c>
      <c r="K107" s="128"/>
      <c r="O107">
        <v>107</v>
      </c>
      <c r="P107" s="34">
        <v>45002.8381944444</v>
      </c>
      <c r="Q107" t="s">
        <v>661</v>
      </c>
      <c r="R107" t="s">
        <v>573</v>
      </c>
      <c r="T107" t="s">
        <v>469</v>
      </c>
      <c r="U107" s="128">
        <v>700</v>
      </c>
    </row>
    <row r="108" spans="1:21">
      <c r="A108">
        <v>120</v>
      </c>
      <c r="B108" s="125">
        <v>44988.6586574074</v>
      </c>
      <c r="C108" t="s">
        <v>70</v>
      </c>
      <c r="D108" t="s">
        <v>608</v>
      </c>
      <c r="E108">
        <v>9888554544</v>
      </c>
      <c r="F108" s="127" t="s">
        <v>71</v>
      </c>
      <c r="G108" s="128">
        <v>1546</v>
      </c>
      <c r="H108">
        <v>1.3</v>
      </c>
      <c r="I108">
        <v>50</v>
      </c>
      <c r="J108" s="128">
        <v>1004.9</v>
      </c>
      <c r="K108" s="128">
        <v>1005</v>
      </c>
      <c r="L108" t="s">
        <v>469</v>
      </c>
      <c r="O108">
        <v>108</v>
      </c>
      <c r="P108" s="34">
        <v>45003.6276157407</v>
      </c>
      <c r="Q108" t="s">
        <v>662</v>
      </c>
      <c r="R108" t="s">
        <v>663</v>
      </c>
      <c r="S108">
        <v>8709645071</v>
      </c>
      <c r="T108" t="s">
        <v>458</v>
      </c>
      <c r="U108" s="128">
        <v>2943</v>
      </c>
    </row>
    <row r="109" spans="1:21">
      <c r="A109">
        <v>121</v>
      </c>
      <c r="B109" s="125">
        <v>44988.8051736111</v>
      </c>
      <c r="C109" t="s">
        <v>72</v>
      </c>
      <c r="D109" t="s">
        <v>609</v>
      </c>
      <c r="E109">
        <v>8002511453</v>
      </c>
      <c r="F109" s="127" t="s">
        <v>73</v>
      </c>
      <c r="G109" s="128">
        <v>7280</v>
      </c>
      <c r="H109">
        <v>2.25</v>
      </c>
      <c r="I109">
        <v>50</v>
      </c>
      <c r="J109" s="128">
        <v>8190</v>
      </c>
      <c r="K109" s="128">
        <v>16380</v>
      </c>
      <c r="L109" t="s">
        <v>469</v>
      </c>
      <c r="O109">
        <v>109</v>
      </c>
      <c r="P109" s="34">
        <v>45003.8194907407</v>
      </c>
      <c r="Q109" t="s">
        <v>664</v>
      </c>
      <c r="R109" t="s">
        <v>573</v>
      </c>
      <c r="T109" t="s">
        <v>469</v>
      </c>
      <c r="U109" s="128">
        <v>721</v>
      </c>
    </row>
    <row r="110" spans="1:21">
      <c r="A110">
        <v>122</v>
      </c>
      <c r="B110" s="125">
        <v>44988.8051851852</v>
      </c>
      <c r="C110" t="s">
        <v>72</v>
      </c>
      <c r="D110" t="s">
        <v>609</v>
      </c>
      <c r="E110">
        <v>8002511453</v>
      </c>
      <c r="F110" s="127" t="s">
        <v>74</v>
      </c>
      <c r="G110" s="128">
        <v>7280</v>
      </c>
      <c r="H110">
        <v>2.25</v>
      </c>
      <c r="I110">
        <v>50</v>
      </c>
      <c r="J110" s="128">
        <v>8190</v>
      </c>
      <c r="K110" s="128">
        <v>0</v>
      </c>
      <c r="L110" t="s">
        <v>565</v>
      </c>
      <c r="O110">
        <v>110</v>
      </c>
      <c r="P110" s="34">
        <v>45005.5936342593</v>
      </c>
      <c r="Q110" t="s">
        <v>665</v>
      </c>
      <c r="R110" t="s">
        <v>573</v>
      </c>
      <c r="T110" t="s">
        <v>458</v>
      </c>
      <c r="U110" s="128">
        <v>4696</v>
      </c>
    </row>
    <row r="111" spans="1:21">
      <c r="A111">
        <v>123</v>
      </c>
      <c r="B111" s="125">
        <v>44988.8217013889</v>
      </c>
      <c r="C111" t="s">
        <v>75</v>
      </c>
      <c r="D111" t="s">
        <v>609</v>
      </c>
      <c r="E111">
        <v>8002511453</v>
      </c>
      <c r="F111" s="127" t="s">
        <v>65</v>
      </c>
      <c r="G111" s="128">
        <v>1460</v>
      </c>
      <c r="H111">
        <v>1.8</v>
      </c>
      <c r="I111">
        <v>50</v>
      </c>
      <c r="J111" s="128">
        <v>1314</v>
      </c>
      <c r="K111" s="128">
        <v>1314</v>
      </c>
      <c r="L111" t="s">
        <v>469</v>
      </c>
      <c r="O111">
        <v>111</v>
      </c>
      <c r="P111" s="34">
        <v>45006.7208912037</v>
      </c>
      <c r="Q111" t="s">
        <v>666</v>
      </c>
      <c r="R111" t="s">
        <v>573</v>
      </c>
      <c r="T111" t="s">
        <v>458</v>
      </c>
      <c r="U111" s="128">
        <v>3252</v>
      </c>
    </row>
    <row r="112" spans="1:21">
      <c r="A112">
        <v>124</v>
      </c>
      <c r="B112" s="125">
        <v>44988.8358680556</v>
      </c>
      <c r="C112" t="s">
        <v>391</v>
      </c>
      <c r="D112" t="s">
        <v>573</v>
      </c>
      <c r="F112" s="127">
        <v>8907538571670</v>
      </c>
      <c r="G112" s="128">
        <v>1999</v>
      </c>
      <c r="H112">
        <v>1</v>
      </c>
      <c r="I112">
        <v>65</v>
      </c>
      <c r="J112" s="128">
        <v>699.65</v>
      </c>
      <c r="K112" s="128">
        <v>700</v>
      </c>
      <c r="L112" t="s">
        <v>564</v>
      </c>
      <c r="O112">
        <v>112</v>
      </c>
      <c r="P112" s="34">
        <v>45006.7347337963</v>
      </c>
      <c r="Q112" t="s">
        <v>667</v>
      </c>
      <c r="R112" t="s">
        <v>573</v>
      </c>
      <c r="T112" t="s">
        <v>458</v>
      </c>
      <c r="U112" s="128">
        <v>1709</v>
      </c>
    </row>
    <row r="113" spans="1:21">
      <c r="A113">
        <v>125</v>
      </c>
      <c r="B113" s="125">
        <v>44988.8386226852</v>
      </c>
      <c r="C113" t="s">
        <v>76</v>
      </c>
      <c r="D113" t="s">
        <v>573</v>
      </c>
      <c r="F113" s="127" t="s">
        <v>41</v>
      </c>
      <c r="G113" s="128">
        <v>1110</v>
      </c>
      <c r="H113">
        <v>1.6</v>
      </c>
      <c r="I113">
        <v>50</v>
      </c>
      <c r="J113" s="128">
        <v>888</v>
      </c>
      <c r="K113" s="128">
        <v>888</v>
      </c>
      <c r="L113" t="s">
        <v>564</v>
      </c>
      <c r="O113">
        <v>113</v>
      </c>
      <c r="P113" s="34">
        <v>45006.8209953704</v>
      </c>
      <c r="Q113" t="s">
        <v>668</v>
      </c>
      <c r="R113" t="s">
        <v>573</v>
      </c>
      <c r="T113" t="s">
        <v>458</v>
      </c>
      <c r="U113" s="128">
        <v>800</v>
      </c>
    </row>
    <row r="114" spans="1:21">
      <c r="A114">
        <v>126</v>
      </c>
      <c r="B114" s="125">
        <v>44989.4982291667</v>
      </c>
      <c r="C114" t="s">
        <v>392</v>
      </c>
      <c r="D114" t="s">
        <v>610</v>
      </c>
      <c r="E114">
        <v>9122150722</v>
      </c>
      <c r="F114" s="127">
        <v>8907686313252</v>
      </c>
      <c r="G114" s="128">
        <v>1499</v>
      </c>
      <c r="H114">
        <v>1</v>
      </c>
      <c r="I114">
        <v>65</v>
      </c>
      <c r="J114" s="128">
        <v>524.65</v>
      </c>
      <c r="K114" s="128">
        <v>525</v>
      </c>
      <c r="L114" t="s">
        <v>469</v>
      </c>
      <c r="O114">
        <v>114</v>
      </c>
      <c r="P114" s="34">
        <v>45007.5503009259</v>
      </c>
      <c r="Q114" t="s">
        <v>669</v>
      </c>
      <c r="R114" t="s">
        <v>573</v>
      </c>
      <c r="T114" t="s">
        <v>458</v>
      </c>
      <c r="U114" s="128">
        <v>480</v>
      </c>
    </row>
    <row r="115" spans="1:21">
      <c r="A115">
        <v>127</v>
      </c>
      <c r="B115" s="125">
        <v>44989.507037037</v>
      </c>
      <c r="C115" t="s">
        <v>77</v>
      </c>
      <c r="D115" t="s">
        <v>610</v>
      </c>
      <c r="E115">
        <v>9122150722</v>
      </c>
      <c r="F115" s="127" t="s">
        <v>78</v>
      </c>
      <c r="G115" s="128">
        <v>820</v>
      </c>
      <c r="H115">
        <v>1.3</v>
      </c>
      <c r="I115">
        <v>50</v>
      </c>
      <c r="J115" s="128">
        <v>533</v>
      </c>
      <c r="K115" s="128">
        <v>533</v>
      </c>
      <c r="L115" t="s">
        <v>564</v>
      </c>
      <c r="O115">
        <v>115</v>
      </c>
      <c r="P115" s="34">
        <v>45007.6274768518</v>
      </c>
      <c r="Q115" t="s">
        <v>670</v>
      </c>
      <c r="R115" t="s">
        <v>671</v>
      </c>
      <c r="S115">
        <v>9110093659</v>
      </c>
      <c r="T115" t="s">
        <v>458</v>
      </c>
      <c r="U115" s="128">
        <v>2970</v>
      </c>
    </row>
    <row r="116" spans="1:21">
      <c r="A116">
        <v>128</v>
      </c>
      <c r="B116" s="125">
        <v>44989.6349652778</v>
      </c>
      <c r="C116" t="s">
        <v>393</v>
      </c>
      <c r="D116" t="s">
        <v>612</v>
      </c>
      <c r="E116">
        <v>9471186611</v>
      </c>
      <c r="F116" s="127">
        <v>8907538653017</v>
      </c>
      <c r="G116" s="128">
        <v>2299</v>
      </c>
      <c r="H116">
        <v>1</v>
      </c>
      <c r="I116">
        <v>65</v>
      </c>
      <c r="J116" s="128">
        <v>804.65</v>
      </c>
      <c r="K116" s="128">
        <v>8288</v>
      </c>
      <c r="L116" t="s">
        <v>469</v>
      </c>
      <c r="O116">
        <v>116</v>
      </c>
      <c r="P116" s="34">
        <v>45007.8253703704</v>
      </c>
      <c r="Q116" t="s">
        <v>672</v>
      </c>
      <c r="R116" t="s">
        <v>573</v>
      </c>
      <c r="T116" t="s">
        <v>458</v>
      </c>
      <c r="U116" s="128">
        <v>1048</v>
      </c>
    </row>
    <row r="117" spans="1:21">
      <c r="A117">
        <v>129</v>
      </c>
      <c r="B117" s="125">
        <v>44989</v>
      </c>
      <c r="C117" t="s">
        <v>393</v>
      </c>
      <c r="D117" t="s">
        <v>612</v>
      </c>
      <c r="E117">
        <v>9471186611</v>
      </c>
      <c r="F117" s="127" t="s">
        <v>673</v>
      </c>
      <c r="G117" s="128">
        <v>1370</v>
      </c>
      <c r="H117">
        <v>1.7</v>
      </c>
      <c r="I117">
        <v>55</v>
      </c>
      <c r="J117" s="128">
        <v>1048.05</v>
      </c>
      <c r="K117" s="128"/>
      <c r="O117">
        <v>117</v>
      </c>
      <c r="P117" s="34">
        <v>45007.8388657407</v>
      </c>
      <c r="Q117" t="s">
        <v>674</v>
      </c>
      <c r="R117" t="s">
        <v>573</v>
      </c>
      <c r="T117" t="s">
        <v>458</v>
      </c>
      <c r="U117" s="128">
        <v>4392</v>
      </c>
    </row>
    <row r="118" spans="1:21">
      <c r="A118">
        <v>130</v>
      </c>
      <c r="B118" s="125">
        <v>44989</v>
      </c>
      <c r="C118" t="s">
        <v>393</v>
      </c>
      <c r="D118" t="s">
        <v>612</v>
      </c>
      <c r="E118">
        <v>9471186611</v>
      </c>
      <c r="F118" s="127" t="s">
        <v>396</v>
      </c>
      <c r="G118" s="128">
        <v>1110</v>
      </c>
      <c r="H118">
        <v>2.2</v>
      </c>
      <c r="I118">
        <v>55</v>
      </c>
      <c r="J118" s="128">
        <v>1098.9</v>
      </c>
      <c r="K118" s="128"/>
      <c r="O118">
        <v>118</v>
      </c>
      <c r="P118" s="34">
        <v>45008.8159837963</v>
      </c>
      <c r="Q118" t="s">
        <v>675</v>
      </c>
      <c r="R118" t="s">
        <v>573</v>
      </c>
      <c r="T118" t="s">
        <v>469</v>
      </c>
      <c r="U118" s="128">
        <v>2274</v>
      </c>
    </row>
    <row r="119" spans="1:21">
      <c r="A119">
        <v>131</v>
      </c>
      <c r="B119" s="125">
        <v>44989</v>
      </c>
      <c r="C119" t="s">
        <v>393</v>
      </c>
      <c r="D119" t="s">
        <v>612</v>
      </c>
      <c r="E119">
        <v>9471186611</v>
      </c>
      <c r="F119" s="127" t="s">
        <v>394</v>
      </c>
      <c r="G119" s="128">
        <v>2040</v>
      </c>
      <c r="H119">
        <v>1.75</v>
      </c>
      <c r="I119">
        <v>55</v>
      </c>
      <c r="J119" s="128">
        <v>1606.5</v>
      </c>
      <c r="K119" s="128"/>
      <c r="O119">
        <v>119</v>
      </c>
      <c r="P119" s="34">
        <v>45008.8277662037</v>
      </c>
      <c r="Q119" t="s">
        <v>676</v>
      </c>
      <c r="R119" t="s">
        <v>677</v>
      </c>
      <c r="S119">
        <v>9431587540</v>
      </c>
      <c r="T119" t="s">
        <v>469</v>
      </c>
      <c r="U119" s="128">
        <v>2210</v>
      </c>
    </row>
    <row r="120" spans="1:21">
      <c r="A120">
        <v>132</v>
      </c>
      <c r="B120" s="125">
        <v>44989</v>
      </c>
      <c r="C120" t="s">
        <v>393</v>
      </c>
      <c r="D120" t="s">
        <v>612</v>
      </c>
      <c r="E120">
        <v>9471186611</v>
      </c>
      <c r="F120" s="127" t="s">
        <v>397</v>
      </c>
      <c r="G120" s="128">
        <v>4260</v>
      </c>
      <c r="H120">
        <v>1.2</v>
      </c>
      <c r="I120">
        <v>55</v>
      </c>
      <c r="J120" s="128">
        <v>2300.4</v>
      </c>
      <c r="K120" s="128"/>
      <c r="O120">
        <v>120</v>
      </c>
      <c r="P120" s="34">
        <v>45010.5488310185</v>
      </c>
      <c r="Q120" t="s">
        <v>678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133</v>
      </c>
      <c r="B121" s="125">
        <v>44989</v>
      </c>
      <c r="C121" t="s">
        <v>393</v>
      </c>
      <c r="D121" t="s">
        <v>612</v>
      </c>
      <c r="E121">
        <v>9471186611</v>
      </c>
      <c r="F121" s="127">
        <v>8907036565331</v>
      </c>
      <c r="G121" s="128">
        <v>1399</v>
      </c>
      <c r="H121">
        <v>1</v>
      </c>
      <c r="I121">
        <v>65</v>
      </c>
      <c r="J121" s="128">
        <v>489.65</v>
      </c>
      <c r="K121" s="128"/>
      <c r="O121">
        <v>121</v>
      </c>
      <c r="P121" s="34">
        <v>45019.5628356481</v>
      </c>
      <c r="Q121" t="s">
        <v>679</v>
      </c>
      <c r="R121" t="s">
        <v>680</v>
      </c>
      <c r="T121" t="s">
        <v>469</v>
      </c>
      <c r="U121" s="128">
        <v>1197</v>
      </c>
    </row>
    <row r="122" spans="1:21">
      <c r="A122">
        <v>134</v>
      </c>
      <c r="B122" s="125">
        <v>44989</v>
      </c>
      <c r="C122" t="s">
        <v>393</v>
      </c>
      <c r="D122" t="s">
        <v>612</v>
      </c>
      <c r="E122">
        <v>9471186611</v>
      </c>
      <c r="F122" s="127" t="s">
        <v>398</v>
      </c>
      <c r="G122" s="128">
        <v>1740</v>
      </c>
      <c r="H122">
        <v>1.2</v>
      </c>
      <c r="I122">
        <v>55</v>
      </c>
      <c r="J122" s="128">
        <v>939.6</v>
      </c>
      <c r="K122" s="128"/>
      <c r="O122">
        <v>122</v>
      </c>
      <c r="P122" s="34">
        <v>45019.5658101852</v>
      </c>
      <c r="Q122" t="s">
        <v>681</v>
      </c>
      <c r="R122" t="s">
        <v>573</v>
      </c>
      <c r="T122" t="s">
        <v>469</v>
      </c>
      <c r="U122" s="128">
        <v>1158</v>
      </c>
    </row>
    <row r="123" spans="1:21">
      <c r="A123">
        <v>135</v>
      </c>
      <c r="B123" s="125">
        <v>44989.65375</v>
      </c>
      <c r="C123" t="s">
        <v>399</v>
      </c>
      <c r="D123" t="s">
        <v>573</v>
      </c>
      <c r="F123" s="127">
        <v>8907259480749</v>
      </c>
      <c r="G123" s="128">
        <v>1999</v>
      </c>
      <c r="H123">
        <v>1</v>
      </c>
      <c r="I123">
        <v>65</v>
      </c>
      <c r="J123" s="128">
        <v>699.65</v>
      </c>
      <c r="K123" s="128">
        <v>1873</v>
      </c>
      <c r="L123" t="s">
        <v>564</v>
      </c>
      <c r="O123">
        <v>123</v>
      </c>
      <c r="P123" s="34">
        <v>45019.6151967593</v>
      </c>
      <c r="Q123" t="s">
        <v>682</v>
      </c>
      <c r="R123" t="s">
        <v>573</v>
      </c>
      <c r="T123" t="s">
        <v>469</v>
      </c>
      <c r="U123" s="128">
        <v>468</v>
      </c>
    </row>
    <row r="124" spans="1:21">
      <c r="A124">
        <v>136</v>
      </c>
      <c r="B124" s="125">
        <v>44989</v>
      </c>
      <c r="C124" t="s">
        <v>399</v>
      </c>
      <c r="F124" s="127" t="s">
        <v>80</v>
      </c>
      <c r="G124" s="128">
        <v>1380</v>
      </c>
      <c r="H124">
        <v>1.7</v>
      </c>
      <c r="I124">
        <v>50</v>
      </c>
      <c r="J124" s="128">
        <v>1173</v>
      </c>
      <c r="K124" s="128"/>
      <c r="O124">
        <v>124</v>
      </c>
      <c r="P124" s="34">
        <v>45021.5497685185</v>
      </c>
      <c r="Q124" t="s">
        <v>683</v>
      </c>
      <c r="R124" t="s">
        <v>573</v>
      </c>
      <c r="T124" t="s">
        <v>469</v>
      </c>
      <c r="U124" s="128">
        <v>2690</v>
      </c>
    </row>
    <row r="125" spans="1:21">
      <c r="A125">
        <v>137</v>
      </c>
      <c r="B125" s="125">
        <v>44989.6794444444</v>
      </c>
      <c r="C125" t="s">
        <v>400</v>
      </c>
      <c r="D125" t="s">
        <v>613</v>
      </c>
      <c r="E125">
        <v>9931665456</v>
      </c>
      <c r="F125" s="127">
        <v>8907538619747</v>
      </c>
      <c r="G125" s="128">
        <v>1799</v>
      </c>
      <c r="H125">
        <v>1</v>
      </c>
      <c r="I125">
        <v>80</v>
      </c>
      <c r="J125" s="128">
        <v>359.8</v>
      </c>
      <c r="K125" s="128">
        <v>360</v>
      </c>
      <c r="L125" t="s">
        <v>469</v>
      </c>
      <c r="O125">
        <v>125</v>
      </c>
      <c r="P125" s="34">
        <v>45021.8233333333</v>
      </c>
      <c r="Q125" t="s">
        <v>684</v>
      </c>
      <c r="R125" t="s">
        <v>573</v>
      </c>
      <c r="T125" t="s">
        <v>469</v>
      </c>
      <c r="U125" s="128">
        <v>833</v>
      </c>
    </row>
    <row r="126" spans="1:21">
      <c r="A126">
        <v>138</v>
      </c>
      <c r="B126" s="125">
        <v>44989.7028356481</v>
      </c>
      <c r="C126" t="s">
        <v>79</v>
      </c>
      <c r="D126" t="s">
        <v>573</v>
      </c>
      <c r="F126" s="127" t="s">
        <v>80</v>
      </c>
      <c r="G126" s="128">
        <v>1380</v>
      </c>
      <c r="H126">
        <v>1.7</v>
      </c>
      <c r="I126">
        <v>50</v>
      </c>
      <c r="J126" s="128">
        <v>1173</v>
      </c>
      <c r="K126" s="128">
        <v>1173</v>
      </c>
      <c r="L126" t="s">
        <v>469</v>
      </c>
      <c r="O126">
        <v>126</v>
      </c>
      <c r="P126" s="34">
        <v>45021.840462963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139</v>
      </c>
      <c r="B127" s="125">
        <v>44989.7616435185</v>
      </c>
      <c r="C127" t="s">
        <v>81</v>
      </c>
      <c r="D127" t="s">
        <v>614</v>
      </c>
      <c r="E127">
        <v>9801888496</v>
      </c>
      <c r="F127" s="127" t="s">
        <v>82</v>
      </c>
      <c r="G127" s="128">
        <v>11365</v>
      </c>
      <c r="H127">
        <v>2</v>
      </c>
      <c r="I127">
        <v>57</v>
      </c>
      <c r="J127" s="128">
        <v>9773.9</v>
      </c>
      <c r="K127" s="128">
        <v>17402</v>
      </c>
      <c r="L127" t="s">
        <v>564</v>
      </c>
      <c r="Q127">
        <f>SUBTOTAL(103,InvoiceSummaryTable[InvoiceNo])</f>
        <v>125</v>
      </c>
      <c r="U127" s="128">
        <f>SUBTOTAL(109,InvoiceSummaryTable[BillAmount])</f>
        <v>278934</v>
      </c>
    </row>
    <row r="128" spans="1:12">
      <c r="A128">
        <v>140</v>
      </c>
      <c r="B128" s="125">
        <v>44989.7616435185</v>
      </c>
      <c r="C128" t="s">
        <v>81</v>
      </c>
      <c r="D128" t="s">
        <v>614</v>
      </c>
      <c r="E128">
        <v>9801888496</v>
      </c>
      <c r="F128" s="127" t="s">
        <v>83</v>
      </c>
      <c r="G128" s="128">
        <v>5458.46</v>
      </c>
      <c r="H128">
        <v>3.25</v>
      </c>
      <c r="I128">
        <v>57</v>
      </c>
      <c r="J128" s="128">
        <v>7628.2</v>
      </c>
      <c r="K128" s="128">
        <v>0</v>
      </c>
      <c r="L128" t="s">
        <v>565</v>
      </c>
    </row>
    <row r="129" spans="1:12">
      <c r="A129">
        <v>141</v>
      </c>
      <c r="B129" s="125">
        <v>44989.7666666667</v>
      </c>
      <c r="C129" t="s">
        <v>401</v>
      </c>
      <c r="D129" t="s">
        <v>604</v>
      </c>
      <c r="F129" s="127">
        <v>8907686145945</v>
      </c>
      <c r="G129" s="128">
        <v>1449</v>
      </c>
      <c r="H129">
        <v>1</v>
      </c>
      <c r="I129">
        <v>65</v>
      </c>
      <c r="J129" s="128">
        <v>507.15</v>
      </c>
      <c r="K129" s="128">
        <v>926</v>
      </c>
      <c r="L129" t="s">
        <v>469</v>
      </c>
    </row>
    <row r="130" spans="1:12">
      <c r="A130">
        <v>142</v>
      </c>
      <c r="B130" s="125">
        <v>44989.7727546296</v>
      </c>
      <c r="C130" t="s">
        <v>402</v>
      </c>
      <c r="D130" t="s">
        <v>573</v>
      </c>
      <c r="F130" s="127">
        <v>8907378980922</v>
      </c>
      <c r="G130" s="128">
        <v>449</v>
      </c>
      <c r="H130">
        <v>1</v>
      </c>
      <c r="I130">
        <v>50</v>
      </c>
      <c r="J130" s="128">
        <v>224.5</v>
      </c>
      <c r="K130" s="128">
        <v>449</v>
      </c>
      <c r="L130" t="s">
        <v>564</v>
      </c>
    </row>
    <row r="131" spans="1:11">
      <c r="A131">
        <v>143</v>
      </c>
      <c r="B131" s="125">
        <v>44989</v>
      </c>
      <c r="C131" t="s">
        <v>402</v>
      </c>
      <c r="F131" s="127">
        <v>8907686779089</v>
      </c>
      <c r="G131" s="128">
        <v>449</v>
      </c>
      <c r="H131">
        <v>1</v>
      </c>
      <c r="I131">
        <v>50</v>
      </c>
      <c r="J131" s="128">
        <v>224.5</v>
      </c>
      <c r="K131" s="128"/>
    </row>
    <row r="132" spans="1:12">
      <c r="A132">
        <v>144</v>
      </c>
      <c r="B132" s="125">
        <v>44989.7790856482</v>
      </c>
      <c r="C132" t="s">
        <v>84</v>
      </c>
      <c r="D132" t="s">
        <v>573</v>
      </c>
      <c r="F132" s="127" t="s">
        <v>85</v>
      </c>
      <c r="G132" s="128">
        <v>650</v>
      </c>
      <c r="H132">
        <v>1.1</v>
      </c>
      <c r="I132">
        <v>50</v>
      </c>
      <c r="J132" s="128">
        <v>357.5</v>
      </c>
      <c r="K132" s="128">
        <v>358</v>
      </c>
      <c r="L132" t="s">
        <v>564</v>
      </c>
    </row>
    <row r="133" spans="1:12">
      <c r="A133">
        <v>145</v>
      </c>
      <c r="B133" s="125">
        <v>44989.800625</v>
      </c>
      <c r="C133" t="s">
        <v>86</v>
      </c>
      <c r="D133" t="s">
        <v>571</v>
      </c>
      <c r="F133" s="127" t="s">
        <v>87</v>
      </c>
      <c r="G133" s="128">
        <v>780</v>
      </c>
      <c r="H133">
        <v>1.2</v>
      </c>
      <c r="I133">
        <v>50</v>
      </c>
      <c r="J133" s="128">
        <v>468</v>
      </c>
      <c r="K133" s="128">
        <v>1158</v>
      </c>
      <c r="L133" t="s">
        <v>469</v>
      </c>
    </row>
    <row r="134" spans="1:12">
      <c r="A134">
        <v>146</v>
      </c>
      <c r="B134" s="125">
        <v>44989.800625</v>
      </c>
      <c r="C134" t="s">
        <v>86</v>
      </c>
      <c r="D134" t="s">
        <v>571</v>
      </c>
      <c r="F134" s="127">
        <v>8907259275659</v>
      </c>
      <c r="G134" s="128">
        <v>2299</v>
      </c>
      <c r="H134">
        <v>1</v>
      </c>
      <c r="I134">
        <v>70</v>
      </c>
      <c r="J134" s="128">
        <v>689.7</v>
      </c>
      <c r="K134" s="128">
        <v>0</v>
      </c>
      <c r="L134" t="s">
        <v>565</v>
      </c>
    </row>
    <row r="135" spans="1:12">
      <c r="A135">
        <v>147</v>
      </c>
      <c r="B135" s="125">
        <v>44989.8067013889</v>
      </c>
      <c r="C135" t="s">
        <v>403</v>
      </c>
      <c r="D135" t="s">
        <v>573</v>
      </c>
      <c r="F135" s="127">
        <v>8904290625696</v>
      </c>
      <c r="G135" s="128">
        <v>2199</v>
      </c>
      <c r="H135">
        <v>1</v>
      </c>
      <c r="I135">
        <v>65</v>
      </c>
      <c r="J135" s="128">
        <v>769.65</v>
      </c>
      <c r="K135" s="128">
        <v>770</v>
      </c>
      <c r="L135" t="s">
        <v>469</v>
      </c>
    </row>
    <row r="136" spans="1:12">
      <c r="A136">
        <v>148</v>
      </c>
      <c r="B136" s="125">
        <v>44989.8247569444</v>
      </c>
      <c r="C136" t="s">
        <v>88</v>
      </c>
      <c r="D136" t="s">
        <v>616</v>
      </c>
      <c r="F136" s="127" t="s">
        <v>89</v>
      </c>
      <c r="G136" s="128">
        <v>2475</v>
      </c>
      <c r="H136">
        <v>1.75</v>
      </c>
      <c r="I136">
        <v>50</v>
      </c>
      <c r="J136" s="128">
        <v>2165.63</v>
      </c>
      <c r="K136" s="128">
        <v>5100</v>
      </c>
      <c r="L136" t="s">
        <v>469</v>
      </c>
    </row>
    <row r="137" spans="1:12">
      <c r="A137">
        <v>149</v>
      </c>
      <c r="B137" s="125">
        <v>44989.8247569444</v>
      </c>
      <c r="C137" t="s">
        <v>88</v>
      </c>
      <c r="D137" t="s">
        <v>616</v>
      </c>
      <c r="F137" s="127" t="s">
        <v>90</v>
      </c>
      <c r="G137" s="128">
        <v>2560</v>
      </c>
      <c r="H137">
        <v>1.2</v>
      </c>
      <c r="I137">
        <v>50</v>
      </c>
      <c r="J137" s="128">
        <v>1536</v>
      </c>
      <c r="K137" s="128">
        <v>0</v>
      </c>
      <c r="L137" t="s">
        <v>565</v>
      </c>
    </row>
    <row r="138" spans="1:12">
      <c r="A138">
        <v>150</v>
      </c>
      <c r="B138" s="125">
        <v>44989.8247685185</v>
      </c>
      <c r="C138" t="s">
        <v>88</v>
      </c>
      <c r="D138" t="s">
        <v>616</v>
      </c>
      <c r="F138" s="127" t="s">
        <v>404</v>
      </c>
      <c r="G138" s="128">
        <v>1660</v>
      </c>
      <c r="H138">
        <v>1.7</v>
      </c>
      <c r="I138">
        <v>50</v>
      </c>
      <c r="J138" s="128">
        <v>1411</v>
      </c>
      <c r="K138" s="128">
        <v>0</v>
      </c>
      <c r="L138" t="s">
        <v>565</v>
      </c>
    </row>
    <row r="139" spans="1:12">
      <c r="A139">
        <v>151</v>
      </c>
      <c r="B139" s="125">
        <v>44991.7083564815</v>
      </c>
      <c r="C139" t="s">
        <v>91</v>
      </c>
      <c r="D139" t="s">
        <v>573</v>
      </c>
      <c r="F139" s="127" t="s">
        <v>92</v>
      </c>
      <c r="G139" s="128">
        <v>1610</v>
      </c>
      <c r="H139">
        <v>1.2</v>
      </c>
      <c r="I139">
        <v>50</v>
      </c>
      <c r="J139" s="128">
        <v>966</v>
      </c>
      <c r="K139" s="128">
        <v>1491</v>
      </c>
      <c r="L139" t="s">
        <v>469</v>
      </c>
    </row>
    <row r="140" spans="1:12">
      <c r="A140">
        <v>152</v>
      </c>
      <c r="B140" s="125">
        <v>44991.7083564815</v>
      </c>
      <c r="C140" t="s">
        <v>91</v>
      </c>
      <c r="D140" t="s">
        <v>573</v>
      </c>
      <c r="F140" s="127">
        <v>8907378998804</v>
      </c>
      <c r="G140" s="128">
        <v>1499</v>
      </c>
      <c r="H140">
        <v>1</v>
      </c>
      <c r="I140">
        <v>65</v>
      </c>
      <c r="J140" s="128">
        <v>524.65</v>
      </c>
      <c r="K140" s="128">
        <v>0</v>
      </c>
      <c r="L140" t="s">
        <v>565</v>
      </c>
    </row>
    <row r="141" spans="1:12">
      <c r="A141">
        <v>153</v>
      </c>
      <c r="B141" s="125">
        <v>44991.8463541667</v>
      </c>
      <c r="C141" t="s">
        <v>617</v>
      </c>
      <c r="D141" t="s">
        <v>573</v>
      </c>
      <c r="F141" s="127">
        <v>8904290623708</v>
      </c>
      <c r="G141" s="128">
        <v>1799</v>
      </c>
      <c r="H141">
        <v>1</v>
      </c>
      <c r="I141">
        <v>65</v>
      </c>
      <c r="J141" s="128">
        <v>629.65</v>
      </c>
      <c r="K141" s="128">
        <v>630</v>
      </c>
      <c r="L141" t="s">
        <v>469</v>
      </c>
    </row>
    <row r="142" spans="1:12">
      <c r="A142">
        <v>154</v>
      </c>
      <c r="B142" s="125">
        <v>44992</v>
      </c>
      <c r="C142" t="s">
        <v>685</v>
      </c>
      <c r="F142" s="127">
        <v>8904290616533</v>
      </c>
      <c r="G142" s="128">
        <v>2199</v>
      </c>
      <c r="H142">
        <v>1</v>
      </c>
      <c r="I142">
        <v>65</v>
      </c>
      <c r="J142" s="128">
        <v>770</v>
      </c>
      <c r="K142" s="128">
        <v>770</v>
      </c>
      <c r="L142" t="s">
        <v>469</v>
      </c>
    </row>
    <row r="143" spans="1:12">
      <c r="A143">
        <v>155</v>
      </c>
      <c r="B143" s="125">
        <v>44992.5552662037</v>
      </c>
      <c r="C143" t="s">
        <v>618</v>
      </c>
      <c r="D143" t="s">
        <v>573</v>
      </c>
      <c r="F143" s="127">
        <v>8907686694252</v>
      </c>
      <c r="G143" s="128">
        <v>719</v>
      </c>
      <c r="H143">
        <v>1</v>
      </c>
      <c r="I143">
        <v>20</v>
      </c>
      <c r="J143" s="128">
        <v>575.2</v>
      </c>
      <c r="K143" s="128">
        <v>2710</v>
      </c>
      <c r="L143" t="s">
        <v>469</v>
      </c>
    </row>
    <row r="144" spans="1:11">
      <c r="A144">
        <v>156</v>
      </c>
      <c r="B144" s="125">
        <v>44992</v>
      </c>
      <c r="C144" t="s">
        <v>618</v>
      </c>
      <c r="F144" s="127">
        <v>8907686392783</v>
      </c>
      <c r="G144" s="129">
        <v>2399</v>
      </c>
      <c r="H144">
        <v>1</v>
      </c>
      <c r="I144">
        <v>65</v>
      </c>
      <c r="J144" s="128">
        <v>839.65</v>
      </c>
      <c r="K144" s="128"/>
    </row>
    <row r="145" spans="1:11">
      <c r="A145">
        <v>157</v>
      </c>
      <c r="B145" s="125">
        <v>44992</v>
      </c>
      <c r="C145" t="s">
        <v>618</v>
      </c>
      <c r="F145" s="127">
        <v>8907259517223</v>
      </c>
      <c r="G145" s="129">
        <v>1899</v>
      </c>
      <c r="H145">
        <v>1</v>
      </c>
      <c r="I145">
        <v>65</v>
      </c>
      <c r="J145" s="128">
        <v>664.65</v>
      </c>
      <c r="K145" s="128"/>
    </row>
    <row r="146" spans="1:11">
      <c r="A146">
        <v>158</v>
      </c>
      <c r="B146" s="125">
        <v>44992</v>
      </c>
      <c r="C146" t="s">
        <v>618</v>
      </c>
      <c r="F146" s="127">
        <v>8907259836027</v>
      </c>
      <c r="G146" s="129">
        <v>1799</v>
      </c>
      <c r="H146">
        <v>1</v>
      </c>
      <c r="I146">
        <v>65</v>
      </c>
      <c r="J146" s="128">
        <v>629.65</v>
      </c>
      <c r="K146" s="128"/>
    </row>
    <row r="147" spans="1:12">
      <c r="A147">
        <v>159</v>
      </c>
      <c r="B147" s="125">
        <v>44992.7195486111</v>
      </c>
      <c r="C147" t="s">
        <v>619</v>
      </c>
      <c r="D147" t="s">
        <v>573</v>
      </c>
      <c r="F147" s="127">
        <v>8907538852830</v>
      </c>
      <c r="G147" s="130">
        <v>13999</v>
      </c>
      <c r="H147">
        <v>1</v>
      </c>
      <c r="I147">
        <v>68</v>
      </c>
      <c r="J147" s="128">
        <v>4479.68</v>
      </c>
      <c r="K147" s="128">
        <v>4480</v>
      </c>
      <c r="L147" t="s">
        <v>469</v>
      </c>
    </row>
    <row r="148" spans="1:12">
      <c r="A148">
        <v>160</v>
      </c>
      <c r="B148" s="125">
        <v>44995.6751041667</v>
      </c>
      <c r="C148" t="s">
        <v>620</v>
      </c>
      <c r="D148" t="s">
        <v>573</v>
      </c>
      <c r="F148" s="127">
        <v>8907538852830</v>
      </c>
      <c r="G148" s="130">
        <v>-13999</v>
      </c>
      <c r="H148">
        <v>1</v>
      </c>
      <c r="I148">
        <v>68</v>
      </c>
      <c r="J148" s="128">
        <v>-4479.68</v>
      </c>
      <c r="K148" s="128">
        <v>-4480</v>
      </c>
      <c r="L148" t="s">
        <v>469</v>
      </c>
    </row>
    <row r="149" spans="1:12">
      <c r="A149">
        <v>161</v>
      </c>
      <c r="B149" s="125">
        <v>44995.6896180556</v>
      </c>
      <c r="C149" t="s">
        <v>621</v>
      </c>
      <c r="D149" t="s">
        <v>622</v>
      </c>
      <c r="E149">
        <v>9386601284</v>
      </c>
      <c r="F149" s="127" t="s">
        <v>686</v>
      </c>
      <c r="G149" s="130">
        <v>355.95</v>
      </c>
      <c r="H149">
        <v>1.6</v>
      </c>
      <c r="I149">
        <v>0</v>
      </c>
      <c r="J149" s="128">
        <v>569.52</v>
      </c>
      <c r="K149" s="128">
        <v>1730</v>
      </c>
      <c r="L149" t="s">
        <v>469</v>
      </c>
    </row>
    <row r="150" spans="1:12">
      <c r="A150">
        <v>162</v>
      </c>
      <c r="B150" s="125">
        <v>44995.6896180556</v>
      </c>
      <c r="C150" t="s">
        <v>621</v>
      </c>
      <c r="D150" t="s">
        <v>622</v>
      </c>
      <c r="E150">
        <v>9386601284</v>
      </c>
      <c r="F150" s="127" t="s">
        <v>687</v>
      </c>
      <c r="G150" s="130">
        <v>254.31</v>
      </c>
      <c r="H150">
        <v>1.6</v>
      </c>
      <c r="I150">
        <v>0</v>
      </c>
      <c r="J150" s="128">
        <v>406.9</v>
      </c>
      <c r="K150" s="128">
        <v>0</v>
      </c>
      <c r="L150" t="s">
        <v>565</v>
      </c>
    </row>
    <row r="151" spans="1:12">
      <c r="A151">
        <v>163</v>
      </c>
      <c r="B151" s="125">
        <v>44995.6896180556</v>
      </c>
      <c r="C151" t="s">
        <v>621</v>
      </c>
      <c r="D151" t="s">
        <v>622</v>
      </c>
      <c r="E151">
        <v>9386601284</v>
      </c>
      <c r="F151" s="127" t="s">
        <v>688</v>
      </c>
      <c r="G151" s="130">
        <v>313.95</v>
      </c>
      <c r="H151">
        <v>2.4</v>
      </c>
      <c r="I151">
        <v>0</v>
      </c>
      <c r="J151" s="128">
        <v>753.48</v>
      </c>
      <c r="K151" s="128">
        <v>0</v>
      </c>
      <c r="L151" t="s">
        <v>565</v>
      </c>
    </row>
    <row r="152" spans="1:12">
      <c r="A152">
        <v>164</v>
      </c>
      <c r="B152" s="125">
        <v>44995.7652662037</v>
      </c>
      <c r="C152" t="s">
        <v>623</v>
      </c>
      <c r="D152" t="s">
        <v>573</v>
      </c>
      <c r="F152" s="127">
        <v>8907538801876</v>
      </c>
      <c r="G152" s="130">
        <v>2499</v>
      </c>
      <c r="H152">
        <v>1</v>
      </c>
      <c r="I152">
        <v>65</v>
      </c>
      <c r="J152" s="128">
        <v>874.65</v>
      </c>
      <c r="K152" s="128">
        <v>5775</v>
      </c>
      <c r="L152" t="s">
        <v>469</v>
      </c>
    </row>
    <row r="153" spans="1:12">
      <c r="A153">
        <v>165</v>
      </c>
      <c r="B153" s="125">
        <v>44995.8298032407</v>
      </c>
      <c r="C153" t="s">
        <v>624</v>
      </c>
      <c r="D153" t="s">
        <v>573</v>
      </c>
      <c r="F153" s="127" t="s">
        <v>101</v>
      </c>
      <c r="G153" s="130">
        <v>1150</v>
      </c>
      <c r="H153">
        <v>1.6</v>
      </c>
      <c r="I153">
        <v>50</v>
      </c>
      <c r="J153" s="128">
        <v>920</v>
      </c>
      <c r="K153" s="128">
        <v>920</v>
      </c>
      <c r="L153" t="s">
        <v>458</v>
      </c>
    </row>
    <row r="154" spans="1:12">
      <c r="A154">
        <v>166</v>
      </c>
      <c r="B154" s="125">
        <v>44995.8689467593</v>
      </c>
      <c r="C154" t="s">
        <v>625</v>
      </c>
      <c r="D154" t="s">
        <v>573</v>
      </c>
      <c r="F154" s="127" t="s">
        <v>689</v>
      </c>
      <c r="G154" s="130">
        <v>1750</v>
      </c>
      <c r="H154">
        <v>1.25</v>
      </c>
      <c r="I154">
        <v>50</v>
      </c>
      <c r="J154" s="128">
        <v>1093.75</v>
      </c>
      <c r="K154" s="128">
        <v>2425</v>
      </c>
      <c r="L154" t="s">
        <v>469</v>
      </c>
    </row>
    <row r="155" spans="1:12">
      <c r="A155">
        <v>167</v>
      </c>
      <c r="B155" s="125">
        <v>44995.8689583333</v>
      </c>
      <c r="C155" t="s">
        <v>625</v>
      </c>
      <c r="D155" t="s">
        <v>573</v>
      </c>
      <c r="F155" s="127" t="s">
        <v>690</v>
      </c>
      <c r="G155" s="130">
        <v>970</v>
      </c>
      <c r="H155">
        <v>1.25</v>
      </c>
      <c r="I155">
        <v>50</v>
      </c>
      <c r="J155" s="128">
        <v>606.25</v>
      </c>
      <c r="K155" s="128">
        <v>0</v>
      </c>
      <c r="L155" t="s">
        <v>565</v>
      </c>
    </row>
    <row r="156" spans="1:12">
      <c r="A156">
        <v>168</v>
      </c>
      <c r="B156" s="125">
        <v>44995.8689583333</v>
      </c>
      <c r="C156" t="s">
        <v>625</v>
      </c>
      <c r="D156" t="s">
        <v>573</v>
      </c>
      <c r="F156" s="127" t="s">
        <v>55</v>
      </c>
      <c r="G156" s="130">
        <v>1160</v>
      </c>
      <c r="H156">
        <v>1.25</v>
      </c>
      <c r="I156">
        <v>50</v>
      </c>
      <c r="J156" s="128">
        <v>725</v>
      </c>
      <c r="K156" s="128">
        <v>0</v>
      </c>
      <c r="L156" t="s">
        <v>565</v>
      </c>
    </row>
    <row r="157" spans="1:12">
      <c r="A157">
        <v>169</v>
      </c>
      <c r="B157" s="125">
        <v>44995.8706018518</v>
      </c>
      <c r="C157" t="s">
        <v>626</v>
      </c>
      <c r="D157" t="s">
        <v>627</v>
      </c>
      <c r="E157">
        <v>8789483432</v>
      </c>
      <c r="F157" s="127" t="s">
        <v>691</v>
      </c>
      <c r="G157" s="130">
        <v>1490</v>
      </c>
      <c r="H157">
        <v>1.1</v>
      </c>
      <c r="I157">
        <v>50</v>
      </c>
      <c r="J157" s="128">
        <v>819.5</v>
      </c>
      <c r="K157" s="128">
        <v>4065</v>
      </c>
      <c r="L157" t="s">
        <v>454</v>
      </c>
    </row>
    <row r="158" spans="1:12">
      <c r="A158">
        <v>170</v>
      </c>
      <c r="B158" s="125">
        <v>44995.8706134259</v>
      </c>
      <c r="C158" t="s">
        <v>626</v>
      </c>
      <c r="D158" t="s">
        <v>627</v>
      </c>
      <c r="E158">
        <v>8789483432</v>
      </c>
      <c r="F158" s="127" t="s">
        <v>692</v>
      </c>
      <c r="G158" s="130">
        <v>5900</v>
      </c>
      <c r="H158">
        <v>1.1</v>
      </c>
      <c r="I158">
        <v>50</v>
      </c>
      <c r="J158" s="128">
        <v>3245</v>
      </c>
      <c r="K158" s="128">
        <v>0</v>
      </c>
      <c r="L158" t="s">
        <v>565</v>
      </c>
    </row>
    <row r="159" spans="1:12">
      <c r="A159">
        <v>171</v>
      </c>
      <c r="B159" s="125">
        <v>44996.6223032407</v>
      </c>
      <c r="C159" t="s">
        <v>628</v>
      </c>
      <c r="D159" t="s">
        <v>573</v>
      </c>
      <c r="F159" s="127" t="s">
        <v>693</v>
      </c>
      <c r="G159" s="130">
        <v>1290</v>
      </c>
      <c r="H159">
        <v>1.2</v>
      </c>
      <c r="I159">
        <v>50</v>
      </c>
      <c r="J159" s="128">
        <v>774</v>
      </c>
      <c r="K159" s="128">
        <v>3934</v>
      </c>
      <c r="L159" t="s">
        <v>454</v>
      </c>
    </row>
    <row r="160" spans="1:12">
      <c r="A160">
        <v>172</v>
      </c>
      <c r="B160" s="125">
        <v>44996.6223148148</v>
      </c>
      <c r="C160" t="s">
        <v>628</v>
      </c>
      <c r="D160" t="s">
        <v>573</v>
      </c>
      <c r="F160" s="127" t="s">
        <v>111</v>
      </c>
      <c r="G160" s="130">
        <v>1790</v>
      </c>
      <c r="H160">
        <v>1.6</v>
      </c>
      <c r="I160">
        <v>50</v>
      </c>
      <c r="J160" s="128">
        <v>1432</v>
      </c>
      <c r="K160" s="128">
        <v>0</v>
      </c>
      <c r="L160" t="s">
        <v>565</v>
      </c>
    </row>
    <row r="161" spans="1:12">
      <c r="A161">
        <v>173</v>
      </c>
      <c r="B161" s="125">
        <v>44996.6223148148</v>
      </c>
      <c r="C161" t="s">
        <v>628</v>
      </c>
      <c r="D161" t="s">
        <v>573</v>
      </c>
      <c r="F161" s="127" t="s">
        <v>694</v>
      </c>
      <c r="G161" s="130">
        <v>1240</v>
      </c>
      <c r="H161">
        <v>1.2</v>
      </c>
      <c r="I161">
        <v>50</v>
      </c>
      <c r="J161" s="128">
        <v>744</v>
      </c>
      <c r="K161" s="128">
        <v>0</v>
      </c>
      <c r="L161" t="s">
        <v>565</v>
      </c>
    </row>
    <row r="162" spans="1:12">
      <c r="A162">
        <v>174</v>
      </c>
      <c r="B162" s="125">
        <v>44996.6223148148</v>
      </c>
      <c r="C162" t="s">
        <v>628</v>
      </c>
      <c r="D162" t="s">
        <v>573</v>
      </c>
      <c r="F162" s="127" t="s">
        <v>695</v>
      </c>
      <c r="G162" s="130">
        <v>1230</v>
      </c>
      <c r="H162">
        <v>1.6</v>
      </c>
      <c r="I162">
        <v>50</v>
      </c>
      <c r="J162" s="128">
        <v>984</v>
      </c>
      <c r="K162" s="128">
        <v>0</v>
      </c>
      <c r="L162" t="s">
        <v>565</v>
      </c>
    </row>
    <row r="163" spans="1:12">
      <c r="A163">
        <v>175</v>
      </c>
      <c r="B163" s="125">
        <v>44996.642037037</v>
      </c>
      <c r="C163" t="s">
        <v>629</v>
      </c>
      <c r="D163" t="s">
        <v>573</v>
      </c>
      <c r="F163" s="127" t="s">
        <v>19</v>
      </c>
      <c r="G163" s="130">
        <v>825</v>
      </c>
      <c r="H163">
        <v>2.4</v>
      </c>
      <c r="I163">
        <v>50</v>
      </c>
      <c r="J163" s="128">
        <v>990</v>
      </c>
      <c r="K163" s="128">
        <v>990</v>
      </c>
      <c r="L163" t="s">
        <v>469</v>
      </c>
    </row>
    <row r="164" spans="1:12">
      <c r="A164">
        <v>176</v>
      </c>
      <c r="B164" s="125">
        <v>44996.6712152778</v>
      </c>
      <c r="C164" t="s">
        <v>630</v>
      </c>
      <c r="D164" t="s">
        <v>573</v>
      </c>
      <c r="F164" s="127">
        <v>8907538852816</v>
      </c>
      <c r="G164" s="130">
        <v>-13999</v>
      </c>
      <c r="H164">
        <v>1</v>
      </c>
      <c r="I164">
        <v>65</v>
      </c>
      <c r="J164" s="128">
        <v>-4899.65</v>
      </c>
      <c r="K164" s="128">
        <v>-4900</v>
      </c>
      <c r="L164" t="s">
        <v>469</v>
      </c>
    </row>
    <row r="165" spans="1:12">
      <c r="A165">
        <v>177</v>
      </c>
      <c r="B165" s="125">
        <v>44996.7234143519</v>
      </c>
      <c r="C165" t="s">
        <v>632</v>
      </c>
      <c r="D165" t="s">
        <v>633</v>
      </c>
      <c r="E165">
        <v>9973767777</v>
      </c>
      <c r="F165" s="127">
        <v>8907378384218</v>
      </c>
      <c r="G165" s="130">
        <v>2999</v>
      </c>
      <c r="H165">
        <v>1</v>
      </c>
      <c r="I165">
        <v>70</v>
      </c>
      <c r="J165" s="128">
        <v>899.7</v>
      </c>
      <c r="K165" s="128">
        <v>1710</v>
      </c>
      <c r="L165" t="s">
        <v>469</v>
      </c>
    </row>
    <row r="166" spans="1:11">
      <c r="A166">
        <v>178</v>
      </c>
      <c r="B166" s="125">
        <v>44996.7234143519</v>
      </c>
      <c r="C166" t="s">
        <v>632</v>
      </c>
      <c r="D166" t="s">
        <v>633</v>
      </c>
      <c r="E166">
        <v>9973767777</v>
      </c>
      <c r="F166" s="127">
        <v>8907538822857</v>
      </c>
      <c r="G166" s="128">
        <v>2699</v>
      </c>
      <c r="H166">
        <v>1</v>
      </c>
      <c r="I166">
        <v>70</v>
      </c>
      <c r="J166" s="128">
        <v>809.7</v>
      </c>
      <c r="K166" s="128"/>
    </row>
    <row r="167" spans="1:12">
      <c r="A167">
        <v>179</v>
      </c>
      <c r="B167" s="125">
        <v>44996.7337731481</v>
      </c>
      <c r="C167" t="s">
        <v>634</v>
      </c>
      <c r="D167" t="s">
        <v>573</v>
      </c>
      <c r="F167" s="127">
        <v>8907538818959</v>
      </c>
      <c r="G167" s="128">
        <v>2499</v>
      </c>
      <c r="H167">
        <v>1</v>
      </c>
      <c r="I167">
        <v>65</v>
      </c>
      <c r="J167" s="128">
        <v>874.65</v>
      </c>
      <c r="K167" s="128">
        <v>875</v>
      </c>
      <c r="L167" t="s">
        <v>469</v>
      </c>
    </row>
    <row r="168" spans="1:12">
      <c r="A168">
        <v>180</v>
      </c>
      <c r="B168" s="125">
        <v>44996.7662615741</v>
      </c>
      <c r="C168" t="s">
        <v>635</v>
      </c>
      <c r="D168" t="s">
        <v>636</v>
      </c>
      <c r="F168" s="127" t="s">
        <v>65</v>
      </c>
      <c r="G168" s="128">
        <v>1460</v>
      </c>
      <c r="H168">
        <v>4</v>
      </c>
      <c r="I168">
        <v>55.5</v>
      </c>
      <c r="J168" s="128">
        <v>2598.8</v>
      </c>
      <c r="K168" s="128">
        <v>2600</v>
      </c>
      <c r="L168" t="s">
        <v>469</v>
      </c>
    </row>
    <row r="169" spans="1:12">
      <c r="A169">
        <v>181</v>
      </c>
      <c r="B169" s="125">
        <v>44996.8444328704</v>
      </c>
      <c r="C169" t="s">
        <v>637</v>
      </c>
      <c r="D169" t="s">
        <v>573</v>
      </c>
      <c r="F169" s="127" t="s">
        <v>109</v>
      </c>
      <c r="G169" s="128">
        <v>1830</v>
      </c>
      <c r="H169">
        <v>1.2</v>
      </c>
      <c r="I169">
        <v>50</v>
      </c>
      <c r="J169" s="128">
        <v>1098</v>
      </c>
      <c r="K169" s="128">
        <v>8082</v>
      </c>
      <c r="L169" t="s">
        <v>469</v>
      </c>
    </row>
    <row r="170" spans="1:12">
      <c r="A170">
        <v>182</v>
      </c>
      <c r="B170" s="125">
        <v>44996.8444328704</v>
      </c>
      <c r="C170" t="s">
        <v>637</v>
      </c>
      <c r="D170" t="s">
        <v>573</v>
      </c>
      <c r="F170" s="127" t="s">
        <v>696</v>
      </c>
      <c r="G170" s="128">
        <v>1480</v>
      </c>
      <c r="H170">
        <v>1.2</v>
      </c>
      <c r="I170">
        <v>50</v>
      </c>
      <c r="J170" s="128">
        <v>888</v>
      </c>
      <c r="K170" s="128">
        <v>0</v>
      </c>
      <c r="L170" t="s">
        <v>565</v>
      </c>
    </row>
    <row r="171" spans="1:12">
      <c r="A171">
        <v>183</v>
      </c>
      <c r="B171" s="125">
        <v>44996.8444444444</v>
      </c>
      <c r="C171" t="s">
        <v>637</v>
      </c>
      <c r="D171" t="s">
        <v>573</v>
      </c>
      <c r="F171" s="127" t="s">
        <v>692</v>
      </c>
      <c r="G171" s="128">
        <v>5900</v>
      </c>
      <c r="H171">
        <v>1.2</v>
      </c>
      <c r="I171">
        <v>50</v>
      </c>
      <c r="J171" s="128">
        <v>3540</v>
      </c>
      <c r="K171" s="128">
        <v>0</v>
      </c>
      <c r="L171" t="s">
        <v>565</v>
      </c>
    </row>
    <row r="172" spans="1:12">
      <c r="A172">
        <v>184</v>
      </c>
      <c r="B172" s="125">
        <v>44996.8444444444</v>
      </c>
      <c r="C172" t="s">
        <v>637</v>
      </c>
      <c r="D172" t="s">
        <v>573</v>
      </c>
      <c r="F172" s="127" t="s">
        <v>397</v>
      </c>
      <c r="G172" s="128">
        <v>4260</v>
      </c>
      <c r="H172">
        <v>1.2</v>
      </c>
      <c r="I172">
        <v>50</v>
      </c>
      <c r="J172" s="128">
        <v>2556</v>
      </c>
      <c r="K172" s="128">
        <v>0</v>
      </c>
      <c r="L172" t="s">
        <v>565</v>
      </c>
    </row>
    <row r="173" spans="1:12">
      <c r="A173">
        <v>185</v>
      </c>
      <c r="B173" s="125">
        <v>44997.5577430556</v>
      </c>
      <c r="C173" t="s">
        <v>638</v>
      </c>
      <c r="D173" t="s">
        <v>573</v>
      </c>
      <c r="F173" s="127" t="s">
        <v>697</v>
      </c>
      <c r="G173" s="128">
        <v>1090</v>
      </c>
      <c r="H173">
        <v>1.2</v>
      </c>
      <c r="I173">
        <v>50</v>
      </c>
      <c r="J173" s="128">
        <v>654</v>
      </c>
      <c r="K173" s="128">
        <v>3943</v>
      </c>
      <c r="L173" t="s">
        <v>469</v>
      </c>
    </row>
    <row r="174" spans="1:12">
      <c r="A174">
        <v>186</v>
      </c>
      <c r="B174" s="125">
        <v>44997.5577546296</v>
      </c>
      <c r="C174" t="s">
        <v>638</v>
      </c>
      <c r="D174" t="s">
        <v>573</v>
      </c>
      <c r="F174" s="127">
        <v>8907378960863</v>
      </c>
      <c r="G174" s="128">
        <v>2099</v>
      </c>
      <c r="H174">
        <v>1</v>
      </c>
      <c r="I174">
        <v>65</v>
      </c>
      <c r="J174" s="128">
        <v>734.65</v>
      </c>
      <c r="K174" s="128">
        <v>0</v>
      </c>
      <c r="L174" t="s">
        <v>565</v>
      </c>
    </row>
    <row r="175" spans="1:11">
      <c r="A175">
        <v>187</v>
      </c>
      <c r="B175" s="125">
        <v>44997</v>
      </c>
      <c r="C175" t="s">
        <v>638</v>
      </c>
      <c r="F175" s="127">
        <v>8907686949376</v>
      </c>
      <c r="G175" s="128">
        <v>2699</v>
      </c>
      <c r="H175">
        <v>1</v>
      </c>
      <c r="I175">
        <v>65</v>
      </c>
      <c r="J175" s="128">
        <v>944.65</v>
      </c>
      <c r="K175" s="128"/>
    </row>
    <row r="176" spans="1:11">
      <c r="A176">
        <v>188</v>
      </c>
      <c r="B176" s="125">
        <v>44997</v>
      </c>
      <c r="C176" t="s">
        <v>638</v>
      </c>
      <c r="F176" s="127">
        <v>8904290625627</v>
      </c>
      <c r="G176" s="128">
        <v>2799</v>
      </c>
      <c r="H176">
        <v>1</v>
      </c>
      <c r="I176">
        <v>65</v>
      </c>
      <c r="J176" s="128">
        <v>979.65</v>
      </c>
      <c r="K176" s="128"/>
    </row>
    <row r="177" spans="1:11">
      <c r="A177">
        <v>189</v>
      </c>
      <c r="B177" s="125">
        <v>44997</v>
      </c>
      <c r="C177" t="s">
        <v>638</v>
      </c>
      <c r="F177" s="127">
        <v>8907538620323</v>
      </c>
      <c r="G177" s="128">
        <v>1799</v>
      </c>
      <c r="H177">
        <v>1</v>
      </c>
      <c r="I177">
        <v>65</v>
      </c>
      <c r="J177" s="128">
        <v>629.65</v>
      </c>
      <c r="K177" s="128"/>
    </row>
    <row r="178" spans="1:12">
      <c r="A178">
        <v>190</v>
      </c>
      <c r="B178" s="125">
        <v>44999.5070717593</v>
      </c>
      <c r="C178" t="s">
        <v>639</v>
      </c>
      <c r="D178" t="s">
        <v>573</v>
      </c>
      <c r="F178" s="127" t="s">
        <v>686</v>
      </c>
      <c r="G178" s="128">
        <v>990</v>
      </c>
      <c r="H178">
        <v>1.6</v>
      </c>
      <c r="I178">
        <v>50</v>
      </c>
      <c r="J178" s="128">
        <v>792</v>
      </c>
      <c r="K178" s="128">
        <v>2566</v>
      </c>
      <c r="L178" t="s">
        <v>469</v>
      </c>
    </row>
    <row r="179" spans="1:12">
      <c r="A179">
        <v>191</v>
      </c>
      <c r="B179" s="125">
        <v>44999.5070833333</v>
      </c>
      <c r="C179" t="s">
        <v>639</v>
      </c>
      <c r="D179" t="s">
        <v>573</v>
      </c>
      <c r="F179" s="127" t="s">
        <v>698</v>
      </c>
      <c r="G179" s="128">
        <v>1680</v>
      </c>
      <c r="H179">
        <v>1.4</v>
      </c>
      <c r="I179">
        <v>50</v>
      </c>
      <c r="J179" s="128">
        <v>1176</v>
      </c>
      <c r="K179" s="128">
        <v>0</v>
      </c>
      <c r="L179" t="s">
        <v>565</v>
      </c>
    </row>
    <row r="180" spans="1:12">
      <c r="A180">
        <v>192</v>
      </c>
      <c r="B180" s="125">
        <v>44999.5070833333</v>
      </c>
      <c r="C180" t="s">
        <v>639</v>
      </c>
      <c r="D180" t="s">
        <v>573</v>
      </c>
      <c r="F180" s="127" t="s">
        <v>699</v>
      </c>
      <c r="G180" s="128">
        <v>920</v>
      </c>
      <c r="H180">
        <v>1.3</v>
      </c>
      <c r="I180">
        <v>50</v>
      </c>
      <c r="J180" s="128">
        <v>598</v>
      </c>
      <c r="K180" s="128">
        <v>0</v>
      </c>
      <c r="L180" t="s">
        <v>565</v>
      </c>
    </row>
    <row r="181" spans="1:12">
      <c r="A181">
        <v>193</v>
      </c>
      <c r="B181" s="125">
        <v>44999.6743055556</v>
      </c>
      <c r="C181" t="s">
        <v>640</v>
      </c>
      <c r="D181" t="s">
        <v>573</v>
      </c>
      <c r="F181" s="127" t="s">
        <v>700</v>
      </c>
      <c r="G181" s="128">
        <v>1040</v>
      </c>
      <c r="H181">
        <v>1.6</v>
      </c>
      <c r="I181">
        <v>50</v>
      </c>
      <c r="J181" s="128">
        <v>832</v>
      </c>
      <c r="K181" s="128">
        <v>832</v>
      </c>
      <c r="L181" t="s">
        <v>469</v>
      </c>
    </row>
    <row r="182" spans="1:12">
      <c r="A182">
        <v>194</v>
      </c>
      <c r="B182" s="125">
        <v>44999.8104861111</v>
      </c>
      <c r="C182" t="s">
        <v>641</v>
      </c>
      <c r="D182" t="s">
        <v>642</v>
      </c>
      <c r="F182" s="127" t="s">
        <v>307</v>
      </c>
      <c r="G182" s="128">
        <v>1030</v>
      </c>
      <c r="H182">
        <v>1.7</v>
      </c>
      <c r="I182">
        <v>50</v>
      </c>
      <c r="J182" s="128">
        <v>875.5</v>
      </c>
      <c r="K182" s="128">
        <v>3551</v>
      </c>
      <c r="L182" t="s">
        <v>458</v>
      </c>
    </row>
    <row r="183" spans="1:12">
      <c r="A183">
        <v>195</v>
      </c>
      <c r="B183" s="125">
        <v>44999.8104861111</v>
      </c>
      <c r="C183" t="s">
        <v>641</v>
      </c>
      <c r="D183" t="s">
        <v>642</v>
      </c>
      <c r="F183" s="127" t="s">
        <v>357</v>
      </c>
      <c r="G183" s="128">
        <v>890</v>
      </c>
      <c r="H183">
        <v>1.7</v>
      </c>
      <c r="I183">
        <v>50</v>
      </c>
      <c r="J183" s="128">
        <v>756.5</v>
      </c>
      <c r="K183" s="128">
        <v>0</v>
      </c>
      <c r="L183" t="s">
        <v>565</v>
      </c>
    </row>
    <row r="184" spans="1:12">
      <c r="A184">
        <v>196</v>
      </c>
      <c r="B184" s="125">
        <v>44999.8104861111</v>
      </c>
      <c r="C184" t="s">
        <v>641</v>
      </c>
      <c r="D184" t="s">
        <v>642</v>
      </c>
      <c r="F184" s="127">
        <v>8907036564617</v>
      </c>
      <c r="G184" s="128">
        <v>1399</v>
      </c>
      <c r="H184">
        <v>1</v>
      </c>
      <c r="I184">
        <v>70</v>
      </c>
      <c r="J184" s="128">
        <v>419.7</v>
      </c>
      <c r="K184" s="128">
        <v>0</v>
      </c>
      <c r="L184" t="s">
        <v>565</v>
      </c>
    </row>
    <row r="185" spans="1:11">
      <c r="A185">
        <v>197</v>
      </c>
      <c r="B185" s="125">
        <v>44999</v>
      </c>
      <c r="C185" t="s">
        <v>641</v>
      </c>
      <c r="D185" t="s">
        <v>642</v>
      </c>
      <c r="F185" s="127">
        <v>8907036565775</v>
      </c>
      <c r="G185" s="128">
        <v>1399</v>
      </c>
      <c r="H185">
        <v>1</v>
      </c>
      <c r="I185">
        <v>70</v>
      </c>
      <c r="J185" s="128">
        <v>419.7</v>
      </c>
      <c r="K185" s="128"/>
    </row>
    <row r="186" spans="1:11">
      <c r="A186">
        <v>198</v>
      </c>
      <c r="B186" s="125">
        <v>44999</v>
      </c>
      <c r="C186" t="s">
        <v>641</v>
      </c>
      <c r="D186" t="s">
        <v>642</v>
      </c>
      <c r="F186" s="127">
        <v>8907686312910</v>
      </c>
      <c r="G186" s="128">
        <v>1499</v>
      </c>
      <c r="H186">
        <v>1</v>
      </c>
      <c r="I186">
        <v>70</v>
      </c>
      <c r="J186" s="128">
        <v>449.7</v>
      </c>
      <c r="K186" s="128"/>
    </row>
    <row r="187" spans="1:11">
      <c r="A187">
        <v>199</v>
      </c>
      <c r="B187" s="125">
        <v>44999</v>
      </c>
      <c r="C187" t="s">
        <v>641</v>
      </c>
      <c r="D187" t="s">
        <v>642</v>
      </c>
      <c r="F187" s="127">
        <v>8907378960863</v>
      </c>
      <c r="G187" s="128">
        <v>2099</v>
      </c>
      <c r="H187">
        <v>1</v>
      </c>
      <c r="I187">
        <v>70</v>
      </c>
      <c r="J187" s="128">
        <v>629.7</v>
      </c>
      <c r="K187" s="128"/>
    </row>
    <row r="188" spans="1:12">
      <c r="A188">
        <v>200</v>
      </c>
      <c r="B188" s="125">
        <v>45000.4932060185</v>
      </c>
      <c r="C188" t="s">
        <v>643</v>
      </c>
      <c r="D188" t="s">
        <v>573</v>
      </c>
      <c r="F188" s="127">
        <v>8904290618759</v>
      </c>
      <c r="G188" s="128">
        <v>1999</v>
      </c>
      <c r="H188">
        <v>1</v>
      </c>
      <c r="I188">
        <v>65</v>
      </c>
      <c r="J188" s="128">
        <v>699.65</v>
      </c>
      <c r="K188" s="128">
        <v>2029</v>
      </c>
      <c r="L188" t="s">
        <v>458</v>
      </c>
    </row>
    <row r="189" spans="1:11">
      <c r="A189">
        <v>201</v>
      </c>
      <c r="B189" s="125">
        <v>45000</v>
      </c>
      <c r="C189" t="s">
        <v>643</v>
      </c>
      <c r="F189" s="127">
        <v>8904290606657</v>
      </c>
      <c r="G189" s="128">
        <v>1899</v>
      </c>
      <c r="H189">
        <v>1</v>
      </c>
      <c r="I189">
        <v>65</v>
      </c>
      <c r="J189" s="128">
        <v>664.65</v>
      </c>
      <c r="K189" s="128"/>
    </row>
    <row r="190" spans="1:11">
      <c r="A190">
        <v>202</v>
      </c>
      <c r="B190" s="125">
        <v>45000</v>
      </c>
      <c r="C190" t="s">
        <v>643</v>
      </c>
      <c r="F190" s="127">
        <v>8904290606756</v>
      </c>
      <c r="G190" s="128">
        <v>1899</v>
      </c>
      <c r="H190">
        <v>1</v>
      </c>
      <c r="I190">
        <v>65</v>
      </c>
      <c r="J190" s="128">
        <v>664.65</v>
      </c>
      <c r="K190" s="128"/>
    </row>
    <row r="191" spans="1:12">
      <c r="A191">
        <v>203</v>
      </c>
      <c r="B191" s="125">
        <v>45000.813587963</v>
      </c>
      <c r="C191" t="s">
        <v>644</v>
      </c>
      <c r="D191" t="s">
        <v>573</v>
      </c>
      <c r="F191" s="127" t="s">
        <v>701</v>
      </c>
      <c r="G191" s="128">
        <v>2266</v>
      </c>
      <c r="H191">
        <v>3.6</v>
      </c>
      <c r="I191">
        <v>50</v>
      </c>
      <c r="J191" s="128">
        <v>4078.8</v>
      </c>
      <c r="K191" s="128">
        <v>4079</v>
      </c>
      <c r="L191" t="s">
        <v>469</v>
      </c>
    </row>
    <row r="192" spans="1:12">
      <c r="A192">
        <v>204</v>
      </c>
      <c r="B192" s="125">
        <v>45000.8168287037</v>
      </c>
      <c r="C192" t="s">
        <v>645</v>
      </c>
      <c r="D192" t="s">
        <v>573</v>
      </c>
      <c r="F192" s="127">
        <v>8907686420806</v>
      </c>
      <c r="G192" s="128">
        <v>1899</v>
      </c>
      <c r="H192">
        <v>1</v>
      </c>
      <c r="I192">
        <v>65</v>
      </c>
      <c r="J192" s="128">
        <v>664.65</v>
      </c>
      <c r="K192" s="128">
        <v>665</v>
      </c>
      <c r="L192" t="s">
        <v>469</v>
      </c>
    </row>
    <row r="193" spans="1:12">
      <c r="A193">
        <v>205</v>
      </c>
      <c r="B193" s="125">
        <v>45000.8398842593</v>
      </c>
      <c r="C193" t="s">
        <v>646</v>
      </c>
      <c r="D193" t="s">
        <v>573</v>
      </c>
      <c r="F193" s="127" t="s">
        <v>702</v>
      </c>
      <c r="G193" s="128">
        <v>1250</v>
      </c>
      <c r="H193">
        <v>1.2</v>
      </c>
      <c r="I193">
        <v>50</v>
      </c>
      <c r="J193" s="128">
        <v>750</v>
      </c>
      <c r="K193" s="128">
        <v>750</v>
      </c>
      <c r="L193" t="s">
        <v>458</v>
      </c>
    </row>
    <row r="194" spans="1:12">
      <c r="A194">
        <v>206</v>
      </c>
      <c r="B194" s="125">
        <v>45000.8565509259</v>
      </c>
      <c r="C194" t="s">
        <v>647</v>
      </c>
      <c r="D194" t="s">
        <v>573</v>
      </c>
      <c r="F194" s="127" t="s">
        <v>688</v>
      </c>
      <c r="G194" s="128">
        <v>830</v>
      </c>
      <c r="H194">
        <v>1.3</v>
      </c>
      <c r="I194">
        <v>50</v>
      </c>
      <c r="J194" s="128">
        <v>539.5</v>
      </c>
      <c r="K194" s="128">
        <v>1495</v>
      </c>
      <c r="L194" t="s">
        <v>469</v>
      </c>
    </row>
    <row r="195" spans="1:12">
      <c r="A195">
        <v>207</v>
      </c>
      <c r="B195" s="125">
        <v>45000.8565509259</v>
      </c>
      <c r="C195" t="s">
        <v>647</v>
      </c>
      <c r="D195" t="s">
        <v>573</v>
      </c>
      <c r="F195" s="127" t="s">
        <v>703</v>
      </c>
      <c r="G195" s="128">
        <v>1470</v>
      </c>
      <c r="H195">
        <v>1.3</v>
      </c>
      <c r="I195">
        <v>50</v>
      </c>
      <c r="J195" s="128">
        <v>955.5</v>
      </c>
      <c r="K195" s="128">
        <v>0</v>
      </c>
      <c r="L195" t="s">
        <v>565</v>
      </c>
    </row>
    <row r="196" spans="1:12">
      <c r="A196">
        <v>208</v>
      </c>
      <c r="B196" s="125">
        <v>45001.5439467593</v>
      </c>
      <c r="C196" t="s">
        <v>648</v>
      </c>
      <c r="D196" t="s">
        <v>649</v>
      </c>
      <c r="F196" s="127" t="s">
        <v>704</v>
      </c>
      <c r="G196" s="128">
        <v>720</v>
      </c>
      <c r="H196">
        <v>2</v>
      </c>
      <c r="I196">
        <v>50</v>
      </c>
      <c r="J196" s="128">
        <v>720</v>
      </c>
      <c r="K196" s="128">
        <v>5600</v>
      </c>
      <c r="L196" t="s">
        <v>469</v>
      </c>
    </row>
    <row r="197" spans="1:12">
      <c r="A197">
        <v>209</v>
      </c>
      <c r="B197" s="125">
        <v>45001.5439467593</v>
      </c>
      <c r="C197" t="s">
        <v>648</v>
      </c>
      <c r="D197" t="s">
        <v>649</v>
      </c>
      <c r="F197" s="127" t="s">
        <v>705</v>
      </c>
      <c r="G197" s="128">
        <v>810</v>
      </c>
      <c r="H197">
        <v>1.6</v>
      </c>
      <c r="I197">
        <v>50</v>
      </c>
      <c r="J197" s="128">
        <v>648</v>
      </c>
      <c r="K197" s="128">
        <v>0</v>
      </c>
      <c r="L197" t="s">
        <v>565</v>
      </c>
    </row>
    <row r="198" spans="1:12">
      <c r="A198">
        <v>210</v>
      </c>
      <c r="B198" s="125">
        <v>45001.5439583333</v>
      </c>
      <c r="C198" t="s">
        <v>648</v>
      </c>
      <c r="D198" t="s">
        <v>649</v>
      </c>
      <c r="F198" s="127" t="s">
        <v>706</v>
      </c>
      <c r="G198" s="128">
        <v>1200</v>
      </c>
      <c r="H198">
        <v>1.4</v>
      </c>
      <c r="I198">
        <v>50</v>
      </c>
      <c r="J198" s="128">
        <v>840</v>
      </c>
      <c r="K198" s="128">
        <v>0</v>
      </c>
      <c r="L198" t="s">
        <v>565</v>
      </c>
    </row>
    <row r="199" spans="1:12">
      <c r="A199">
        <v>211</v>
      </c>
      <c r="B199" s="125">
        <v>45001.5439583333</v>
      </c>
      <c r="C199" t="s">
        <v>648</v>
      </c>
      <c r="D199" t="s">
        <v>649</v>
      </c>
      <c r="F199" s="127" t="s">
        <v>707</v>
      </c>
      <c r="G199" s="128">
        <v>1420</v>
      </c>
      <c r="H199">
        <v>1.35</v>
      </c>
      <c r="I199">
        <v>50</v>
      </c>
      <c r="J199" s="128">
        <v>958.5</v>
      </c>
      <c r="K199" s="128">
        <v>0</v>
      </c>
      <c r="L199" t="s">
        <v>565</v>
      </c>
    </row>
    <row r="200" spans="1:12">
      <c r="A200">
        <v>212</v>
      </c>
      <c r="B200" s="125">
        <v>45001.5439699074</v>
      </c>
      <c r="C200" t="s">
        <v>648</v>
      </c>
      <c r="D200" t="s">
        <v>649</v>
      </c>
      <c r="F200" s="127" t="s">
        <v>708</v>
      </c>
      <c r="G200" s="128">
        <v>810</v>
      </c>
      <c r="H200">
        <v>1.4</v>
      </c>
      <c r="I200">
        <v>50</v>
      </c>
      <c r="J200" s="128">
        <v>567</v>
      </c>
      <c r="K200" s="128">
        <v>0</v>
      </c>
      <c r="L200" t="s">
        <v>565</v>
      </c>
    </row>
    <row r="201" spans="1:12">
      <c r="A201">
        <v>213</v>
      </c>
      <c r="B201" s="125">
        <v>45001.5439699074</v>
      </c>
      <c r="C201" t="s">
        <v>648</v>
      </c>
      <c r="D201" t="s">
        <v>649</v>
      </c>
      <c r="F201" s="127" t="s">
        <v>65</v>
      </c>
      <c r="G201" s="128">
        <v>1460</v>
      </c>
      <c r="H201">
        <v>1.4</v>
      </c>
      <c r="I201">
        <v>50</v>
      </c>
      <c r="J201" s="128">
        <v>1022</v>
      </c>
      <c r="K201" s="128">
        <v>0</v>
      </c>
      <c r="L201" t="s">
        <v>565</v>
      </c>
    </row>
    <row r="202" spans="1:12">
      <c r="A202">
        <v>214</v>
      </c>
      <c r="B202" s="125">
        <v>45001.5439699074</v>
      </c>
      <c r="C202" t="s">
        <v>648</v>
      </c>
      <c r="D202" t="s">
        <v>649</v>
      </c>
      <c r="F202" s="127" t="s">
        <v>709</v>
      </c>
      <c r="G202" s="128">
        <v>1220</v>
      </c>
      <c r="H202">
        <v>1.4</v>
      </c>
      <c r="I202">
        <v>50</v>
      </c>
      <c r="J202" s="128">
        <v>854</v>
      </c>
      <c r="K202" s="128">
        <v>0</v>
      </c>
      <c r="L202" t="s">
        <v>565</v>
      </c>
    </row>
    <row r="203" spans="1:12">
      <c r="A203">
        <v>215</v>
      </c>
      <c r="B203" s="125">
        <v>45001.7117013889</v>
      </c>
      <c r="C203" t="s">
        <v>650</v>
      </c>
      <c r="D203" t="s">
        <v>573</v>
      </c>
      <c r="F203" s="127" t="s">
        <v>710</v>
      </c>
      <c r="G203" s="128">
        <v>1465</v>
      </c>
      <c r="H203">
        <v>1.2</v>
      </c>
      <c r="I203">
        <v>50</v>
      </c>
      <c r="J203" s="128">
        <v>879</v>
      </c>
      <c r="K203" s="128">
        <v>2691</v>
      </c>
      <c r="L203" t="s">
        <v>469</v>
      </c>
    </row>
    <row r="204" spans="1:12">
      <c r="A204">
        <v>216</v>
      </c>
      <c r="B204" s="125">
        <v>45001.711712963</v>
      </c>
      <c r="C204" t="s">
        <v>650</v>
      </c>
      <c r="D204" t="s">
        <v>573</v>
      </c>
      <c r="F204" s="127" t="s">
        <v>164</v>
      </c>
      <c r="G204" s="128">
        <v>1440</v>
      </c>
      <c r="H204">
        <v>1.6</v>
      </c>
      <c r="I204">
        <v>50</v>
      </c>
      <c r="J204" s="128">
        <v>1152</v>
      </c>
      <c r="K204" s="128">
        <v>0</v>
      </c>
      <c r="L204" t="s">
        <v>565</v>
      </c>
    </row>
    <row r="205" spans="1:12">
      <c r="A205">
        <v>217</v>
      </c>
      <c r="B205" s="125">
        <v>45001.711712963</v>
      </c>
      <c r="C205" t="s">
        <v>650</v>
      </c>
      <c r="D205" t="s">
        <v>573</v>
      </c>
      <c r="F205" s="127">
        <v>8904290609092</v>
      </c>
      <c r="G205" s="128">
        <v>2199</v>
      </c>
      <c r="H205">
        <v>1</v>
      </c>
      <c r="I205">
        <v>70</v>
      </c>
      <c r="J205" s="128">
        <v>659.7</v>
      </c>
      <c r="K205" s="128">
        <v>0</v>
      </c>
      <c r="L205" t="s">
        <v>565</v>
      </c>
    </row>
    <row r="206" spans="1:12">
      <c r="A206">
        <v>218</v>
      </c>
      <c r="B206" s="125">
        <v>45001.7995601852</v>
      </c>
      <c r="C206" t="s">
        <v>651</v>
      </c>
      <c r="D206" t="s">
        <v>652</v>
      </c>
      <c r="E206">
        <v>9905138083</v>
      </c>
      <c r="F206" s="127" t="s">
        <v>711</v>
      </c>
      <c r="G206" s="128">
        <v>1940</v>
      </c>
      <c r="H206">
        <v>1.6</v>
      </c>
      <c r="I206">
        <v>50</v>
      </c>
      <c r="J206" s="128">
        <v>1552</v>
      </c>
      <c r="K206" s="128">
        <v>6323</v>
      </c>
      <c r="L206" t="s">
        <v>712</v>
      </c>
    </row>
    <row r="207" spans="1:12">
      <c r="A207">
        <v>219</v>
      </c>
      <c r="B207" s="125">
        <v>45001.7995601852</v>
      </c>
      <c r="C207" t="s">
        <v>651</v>
      </c>
      <c r="D207" t="s">
        <v>652</v>
      </c>
      <c r="E207">
        <v>9905138083</v>
      </c>
      <c r="F207" s="127" t="s">
        <v>713</v>
      </c>
      <c r="G207" s="128">
        <v>3550</v>
      </c>
      <c r="H207">
        <v>1.2</v>
      </c>
      <c r="I207">
        <v>50</v>
      </c>
      <c r="J207" s="128">
        <v>2130</v>
      </c>
      <c r="K207" s="128">
        <v>0</v>
      </c>
      <c r="L207" t="s">
        <v>565</v>
      </c>
    </row>
    <row r="208" spans="1:12">
      <c r="A208">
        <v>220</v>
      </c>
      <c r="B208" s="125">
        <v>45001.7995601852</v>
      </c>
      <c r="C208" t="s">
        <v>651</v>
      </c>
      <c r="D208" t="s">
        <v>652</v>
      </c>
      <c r="E208">
        <v>9905138083</v>
      </c>
      <c r="F208" s="127">
        <v>8907686131436</v>
      </c>
      <c r="G208" s="128">
        <v>949</v>
      </c>
      <c r="H208">
        <v>1</v>
      </c>
      <c r="I208">
        <v>65</v>
      </c>
      <c r="J208" s="128">
        <v>332.15</v>
      </c>
      <c r="K208" s="128">
        <v>0</v>
      </c>
      <c r="L208" t="s">
        <v>565</v>
      </c>
    </row>
    <row r="209" spans="1:11">
      <c r="A209">
        <v>221</v>
      </c>
      <c r="B209" s="125">
        <v>45001</v>
      </c>
      <c r="C209" t="s">
        <v>651</v>
      </c>
      <c r="D209" t="s">
        <v>652</v>
      </c>
      <c r="E209">
        <v>9905138083</v>
      </c>
      <c r="F209" s="127">
        <v>8907538566751</v>
      </c>
      <c r="G209" s="129">
        <v>899</v>
      </c>
      <c r="H209">
        <v>1</v>
      </c>
      <c r="I209">
        <v>65</v>
      </c>
      <c r="J209" s="128">
        <v>314.65</v>
      </c>
      <c r="K209" s="128">
        <v>0</v>
      </c>
    </row>
    <row r="210" spans="1:11">
      <c r="A210">
        <v>222</v>
      </c>
      <c r="B210" s="125">
        <v>45001</v>
      </c>
      <c r="C210" t="s">
        <v>651</v>
      </c>
      <c r="D210" t="s">
        <v>652</v>
      </c>
      <c r="E210">
        <v>9905138083</v>
      </c>
      <c r="F210" s="127">
        <v>8907686139456</v>
      </c>
      <c r="G210" s="129">
        <v>899</v>
      </c>
      <c r="H210">
        <v>1</v>
      </c>
      <c r="I210">
        <v>65</v>
      </c>
      <c r="J210" s="128">
        <v>314.65</v>
      </c>
      <c r="K210" s="128">
        <v>0</v>
      </c>
    </row>
    <row r="211" spans="1:11">
      <c r="A211">
        <v>223</v>
      </c>
      <c r="B211" s="125">
        <v>45001</v>
      </c>
      <c r="C211" t="s">
        <v>651</v>
      </c>
      <c r="D211" t="s">
        <v>652</v>
      </c>
      <c r="E211">
        <v>9905138083</v>
      </c>
      <c r="F211" s="127">
        <v>8907686448916</v>
      </c>
      <c r="G211" s="129">
        <v>2299</v>
      </c>
      <c r="H211">
        <v>1</v>
      </c>
      <c r="I211">
        <v>65</v>
      </c>
      <c r="J211" s="128">
        <v>804.65</v>
      </c>
      <c r="K211" s="128">
        <v>0</v>
      </c>
    </row>
    <row r="212" spans="1:11">
      <c r="A212">
        <v>224</v>
      </c>
      <c r="B212" s="125">
        <v>45001</v>
      </c>
      <c r="C212" t="s">
        <v>651</v>
      </c>
      <c r="D212" t="s">
        <v>652</v>
      </c>
      <c r="E212">
        <v>9905138083</v>
      </c>
      <c r="F212" s="127">
        <v>8907686421957</v>
      </c>
      <c r="G212" s="129">
        <v>2499</v>
      </c>
      <c r="H212">
        <v>1</v>
      </c>
      <c r="I212">
        <v>65</v>
      </c>
      <c r="J212" s="128">
        <v>874.65</v>
      </c>
      <c r="K212" s="128">
        <v>0</v>
      </c>
    </row>
    <row r="213" spans="1:12">
      <c r="A213">
        <v>225</v>
      </c>
      <c r="B213" s="125">
        <v>45001.8101157407</v>
      </c>
      <c r="C213" t="s">
        <v>653</v>
      </c>
      <c r="D213" t="s">
        <v>573</v>
      </c>
      <c r="F213" s="127">
        <v>8907259790428</v>
      </c>
      <c r="G213" s="130">
        <v>2299</v>
      </c>
      <c r="H213">
        <v>1</v>
      </c>
      <c r="I213">
        <v>65</v>
      </c>
      <c r="J213" s="128">
        <v>804.65</v>
      </c>
      <c r="K213" s="128">
        <v>805</v>
      </c>
      <c r="L213" t="s">
        <v>469</v>
      </c>
    </row>
    <row r="214" spans="1:12">
      <c r="A214">
        <v>226</v>
      </c>
      <c r="B214" s="125">
        <v>45001.829849537</v>
      </c>
      <c r="C214" t="s">
        <v>654</v>
      </c>
      <c r="D214" t="s">
        <v>573</v>
      </c>
      <c r="F214" s="127" t="s">
        <v>714</v>
      </c>
      <c r="G214" s="130">
        <v>2080</v>
      </c>
      <c r="H214">
        <v>1.25</v>
      </c>
      <c r="I214">
        <v>50</v>
      </c>
      <c r="J214" s="128">
        <v>1300</v>
      </c>
      <c r="K214" s="128">
        <v>1300</v>
      </c>
      <c r="L214" t="s">
        <v>469</v>
      </c>
    </row>
    <row r="215" spans="1:12">
      <c r="A215">
        <v>227</v>
      </c>
      <c r="B215" s="125">
        <v>45002.4969675926</v>
      </c>
      <c r="C215" t="s">
        <v>655</v>
      </c>
      <c r="D215" t="s">
        <v>627</v>
      </c>
      <c r="E215">
        <v>8789483432</v>
      </c>
      <c r="F215" s="127" t="s">
        <v>692</v>
      </c>
      <c r="G215" s="130">
        <v>5900</v>
      </c>
      <c r="H215">
        <v>0.9</v>
      </c>
      <c r="I215">
        <v>50</v>
      </c>
      <c r="J215" s="128">
        <v>2655</v>
      </c>
      <c r="K215" s="128">
        <v>2655</v>
      </c>
      <c r="L215" t="s">
        <v>469</v>
      </c>
    </row>
    <row r="216" spans="1:12">
      <c r="A216">
        <v>228</v>
      </c>
      <c r="B216" s="125">
        <v>45002.6809606481</v>
      </c>
      <c r="C216" t="s">
        <v>656</v>
      </c>
      <c r="D216" t="s">
        <v>657</v>
      </c>
      <c r="F216" s="127">
        <v>8907259040714</v>
      </c>
      <c r="G216" s="130">
        <v>1999</v>
      </c>
      <c r="H216">
        <v>1</v>
      </c>
      <c r="I216">
        <v>65</v>
      </c>
      <c r="J216" s="128">
        <v>699.65</v>
      </c>
      <c r="K216" s="128">
        <v>700</v>
      </c>
      <c r="L216" t="s">
        <v>469</v>
      </c>
    </row>
    <row r="217" spans="1:12">
      <c r="A217">
        <v>229</v>
      </c>
      <c r="B217" s="125">
        <v>45002.7776736111</v>
      </c>
      <c r="C217" t="s">
        <v>658</v>
      </c>
      <c r="D217" t="s">
        <v>573</v>
      </c>
      <c r="F217" s="127">
        <v>8907687169629</v>
      </c>
      <c r="G217" s="130">
        <v>1399</v>
      </c>
      <c r="H217">
        <v>1</v>
      </c>
      <c r="I217">
        <v>65</v>
      </c>
      <c r="J217" s="128">
        <v>489.65</v>
      </c>
      <c r="K217" s="128">
        <v>490</v>
      </c>
      <c r="L217" t="s">
        <v>469</v>
      </c>
    </row>
    <row r="218" spans="1:12">
      <c r="A218">
        <v>230</v>
      </c>
      <c r="B218" s="125">
        <v>45002.7868402778</v>
      </c>
      <c r="C218" t="s">
        <v>659</v>
      </c>
      <c r="D218" t="s">
        <v>573</v>
      </c>
      <c r="F218" s="127">
        <v>8907686660455</v>
      </c>
      <c r="G218" s="130">
        <v>699</v>
      </c>
      <c r="H218">
        <v>1</v>
      </c>
      <c r="I218">
        <v>20</v>
      </c>
      <c r="J218" s="128">
        <v>559.2</v>
      </c>
      <c r="K218" s="128">
        <v>1119</v>
      </c>
      <c r="L218" t="s">
        <v>458</v>
      </c>
    </row>
    <row r="219" spans="1:11">
      <c r="A219">
        <v>231</v>
      </c>
      <c r="B219" s="125">
        <v>45002</v>
      </c>
      <c r="C219" t="s">
        <v>659</v>
      </c>
      <c r="F219" s="127">
        <v>8907686694191</v>
      </c>
      <c r="G219" s="130">
        <v>699</v>
      </c>
      <c r="H219">
        <v>1</v>
      </c>
      <c r="I219">
        <v>20</v>
      </c>
      <c r="J219" s="128">
        <v>559.2</v>
      </c>
      <c r="K219" s="128">
        <v>0</v>
      </c>
    </row>
    <row r="220" spans="1:12">
      <c r="A220">
        <v>232</v>
      </c>
      <c r="B220" s="125">
        <v>45002.8381944444</v>
      </c>
      <c r="C220" t="s">
        <v>661</v>
      </c>
      <c r="D220" t="s">
        <v>573</v>
      </c>
      <c r="F220" s="127">
        <v>8907686308739</v>
      </c>
      <c r="G220" s="130">
        <v>1999</v>
      </c>
      <c r="H220">
        <v>1</v>
      </c>
      <c r="I220">
        <v>65</v>
      </c>
      <c r="J220" s="128">
        <v>699.65</v>
      </c>
      <c r="K220" s="128">
        <v>700</v>
      </c>
      <c r="L220" t="s">
        <v>469</v>
      </c>
    </row>
    <row r="221" spans="1:12">
      <c r="A221">
        <v>233</v>
      </c>
      <c r="B221" s="125">
        <v>45003.6276157407</v>
      </c>
      <c r="C221" t="s">
        <v>662</v>
      </c>
      <c r="D221" t="s">
        <v>663</v>
      </c>
      <c r="E221">
        <v>8709645071</v>
      </c>
      <c r="F221" s="127" t="s">
        <v>350</v>
      </c>
      <c r="G221" s="130">
        <v>1390</v>
      </c>
      <c r="H221">
        <v>1.5</v>
      </c>
      <c r="I221">
        <v>50</v>
      </c>
      <c r="J221" s="128">
        <v>1042.5</v>
      </c>
      <c r="K221" s="128">
        <v>2943</v>
      </c>
      <c r="L221" t="s">
        <v>458</v>
      </c>
    </row>
    <row r="222" spans="1:12">
      <c r="A222">
        <v>234</v>
      </c>
      <c r="B222" s="125">
        <v>45003.6276273148</v>
      </c>
      <c r="C222" t="s">
        <v>662</v>
      </c>
      <c r="D222" t="s">
        <v>663</v>
      </c>
      <c r="E222">
        <v>8709645071</v>
      </c>
      <c r="F222" s="127" t="s">
        <v>173</v>
      </c>
      <c r="G222" s="130">
        <v>950</v>
      </c>
      <c r="H222">
        <v>1.5</v>
      </c>
      <c r="I222">
        <v>50</v>
      </c>
      <c r="J222" s="128">
        <v>712.5</v>
      </c>
      <c r="K222" s="128">
        <v>0</v>
      </c>
      <c r="L222" t="s">
        <v>565</v>
      </c>
    </row>
    <row r="223" spans="1:12">
      <c r="A223">
        <v>235</v>
      </c>
      <c r="B223" s="125">
        <v>45003.6276273148</v>
      </c>
      <c r="C223" t="s">
        <v>662</v>
      </c>
      <c r="D223" t="s">
        <v>663</v>
      </c>
      <c r="E223">
        <v>8709645071</v>
      </c>
      <c r="F223" s="127" t="s">
        <v>715</v>
      </c>
      <c r="G223" s="130">
        <v>1900</v>
      </c>
      <c r="H223">
        <v>1.25</v>
      </c>
      <c r="I223">
        <v>50</v>
      </c>
      <c r="J223" s="128">
        <v>1187.5</v>
      </c>
      <c r="K223" s="128">
        <v>0</v>
      </c>
      <c r="L223" t="s">
        <v>565</v>
      </c>
    </row>
    <row r="224" spans="1:12">
      <c r="A224">
        <v>236</v>
      </c>
      <c r="B224" s="125">
        <v>45003.8194907407</v>
      </c>
      <c r="C224" t="s">
        <v>664</v>
      </c>
      <c r="D224" t="s">
        <v>573</v>
      </c>
      <c r="F224" s="127" t="s">
        <v>716</v>
      </c>
      <c r="G224" s="130">
        <v>1030</v>
      </c>
      <c r="H224">
        <v>1.4</v>
      </c>
      <c r="I224">
        <v>50</v>
      </c>
      <c r="J224" s="128">
        <v>721</v>
      </c>
      <c r="K224" s="128">
        <v>721</v>
      </c>
      <c r="L224" t="s">
        <v>469</v>
      </c>
    </row>
    <row r="225" spans="1:12">
      <c r="A225">
        <v>237</v>
      </c>
      <c r="B225" s="125">
        <v>45005.5936458333</v>
      </c>
      <c r="C225" t="s">
        <v>665</v>
      </c>
      <c r="D225" t="s">
        <v>573</v>
      </c>
      <c r="F225" s="127" t="s">
        <v>60</v>
      </c>
      <c r="G225" s="130">
        <v>1710</v>
      </c>
      <c r="H225">
        <v>1.3</v>
      </c>
      <c r="I225">
        <v>50</v>
      </c>
      <c r="J225" s="128">
        <v>1111.5</v>
      </c>
      <c r="K225" s="128">
        <v>4696</v>
      </c>
      <c r="L225" t="s">
        <v>458</v>
      </c>
    </row>
    <row r="226" spans="1:12">
      <c r="A226">
        <v>238</v>
      </c>
      <c r="B226" s="125">
        <v>45005.5936458333</v>
      </c>
      <c r="C226" t="s">
        <v>665</v>
      </c>
      <c r="D226" t="s">
        <v>573</v>
      </c>
      <c r="F226" s="127" t="s">
        <v>100</v>
      </c>
      <c r="G226" s="130">
        <v>1310</v>
      </c>
      <c r="H226">
        <v>1.7</v>
      </c>
      <c r="I226">
        <v>50</v>
      </c>
      <c r="J226" s="128">
        <v>1113.5</v>
      </c>
      <c r="K226" s="128">
        <v>0</v>
      </c>
      <c r="L226" t="s">
        <v>565</v>
      </c>
    </row>
    <row r="227" spans="1:12">
      <c r="A227">
        <v>239</v>
      </c>
      <c r="B227" s="125">
        <v>45005.5936458333</v>
      </c>
      <c r="C227" t="s">
        <v>665</v>
      </c>
      <c r="D227" t="s">
        <v>573</v>
      </c>
      <c r="F227" s="127" t="s">
        <v>717</v>
      </c>
      <c r="G227" s="130">
        <v>1830</v>
      </c>
      <c r="H227">
        <v>1.7</v>
      </c>
      <c r="I227">
        <v>50</v>
      </c>
      <c r="J227" s="128">
        <v>1555.5</v>
      </c>
      <c r="K227" s="128">
        <v>0</v>
      </c>
      <c r="L227" t="s">
        <v>565</v>
      </c>
    </row>
    <row r="228" spans="1:12">
      <c r="A228">
        <v>240</v>
      </c>
      <c r="B228" s="125">
        <v>45005.5936574074</v>
      </c>
      <c r="C228" t="s">
        <v>665</v>
      </c>
      <c r="D228" t="s">
        <v>573</v>
      </c>
      <c r="F228" s="127" t="s">
        <v>718</v>
      </c>
      <c r="G228" s="130">
        <v>1465</v>
      </c>
      <c r="H228">
        <v>1.25</v>
      </c>
      <c r="I228">
        <v>50</v>
      </c>
      <c r="J228" s="128">
        <v>915.63</v>
      </c>
      <c r="K228" s="128">
        <v>0</v>
      </c>
      <c r="L228" t="s">
        <v>565</v>
      </c>
    </row>
    <row r="229" spans="1:12">
      <c r="A229">
        <v>241</v>
      </c>
      <c r="B229" s="125">
        <v>45006.7209027778</v>
      </c>
      <c r="C229" t="s">
        <v>666</v>
      </c>
      <c r="D229" t="s">
        <v>573</v>
      </c>
      <c r="F229" s="127" t="s">
        <v>719</v>
      </c>
      <c r="G229" s="130">
        <v>990</v>
      </c>
      <c r="H229">
        <v>1.2</v>
      </c>
      <c r="I229">
        <v>50</v>
      </c>
      <c r="J229" s="128">
        <v>594</v>
      </c>
      <c r="K229" s="128">
        <v>3252</v>
      </c>
      <c r="L229" t="s">
        <v>469</v>
      </c>
    </row>
    <row r="230" spans="1:12">
      <c r="A230">
        <v>242</v>
      </c>
      <c r="B230" s="125">
        <v>45006.7209027778</v>
      </c>
      <c r="C230" t="s">
        <v>666</v>
      </c>
      <c r="D230" t="s">
        <v>573</v>
      </c>
      <c r="F230" s="127" t="s">
        <v>720</v>
      </c>
      <c r="G230" s="130">
        <v>1950</v>
      </c>
      <c r="H230">
        <v>1.6</v>
      </c>
      <c r="I230">
        <v>50</v>
      </c>
      <c r="J230" s="128">
        <v>1560</v>
      </c>
      <c r="K230" s="128">
        <v>0</v>
      </c>
      <c r="L230" t="s">
        <v>565</v>
      </c>
    </row>
    <row r="231" spans="1:12">
      <c r="A231">
        <v>243</v>
      </c>
      <c r="B231" s="125">
        <v>45006.7209027778</v>
      </c>
      <c r="C231" t="s">
        <v>666</v>
      </c>
      <c r="D231" t="s">
        <v>573</v>
      </c>
      <c r="F231" s="127" t="s">
        <v>721</v>
      </c>
      <c r="G231" s="130">
        <v>720</v>
      </c>
      <c r="H231">
        <v>1.6</v>
      </c>
      <c r="I231">
        <v>50</v>
      </c>
      <c r="J231" s="128">
        <v>576</v>
      </c>
      <c r="K231" s="128">
        <v>0</v>
      </c>
      <c r="L231" t="s">
        <v>565</v>
      </c>
    </row>
    <row r="232" spans="1:12">
      <c r="A232">
        <v>244</v>
      </c>
      <c r="B232" s="125">
        <v>45006.7209143518</v>
      </c>
      <c r="C232" t="s">
        <v>666</v>
      </c>
      <c r="D232" t="s">
        <v>573</v>
      </c>
      <c r="F232" s="127" t="s">
        <v>722</v>
      </c>
      <c r="G232" s="130">
        <v>870</v>
      </c>
      <c r="H232">
        <v>1.2</v>
      </c>
      <c r="I232">
        <v>50</v>
      </c>
      <c r="J232" s="128">
        <v>522</v>
      </c>
      <c r="K232" s="128">
        <v>0</v>
      </c>
      <c r="L232" t="s">
        <v>565</v>
      </c>
    </row>
    <row r="233" spans="1:12">
      <c r="A233">
        <v>245</v>
      </c>
      <c r="B233" s="125">
        <v>45006.7347337963</v>
      </c>
      <c r="C233" t="s">
        <v>667</v>
      </c>
      <c r="D233" t="s">
        <v>573</v>
      </c>
      <c r="F233" s="127" t="s">
        <v>133</v>
      </c>
      <c r="G233" s="130">
        <v>1170</v>
      </c>
      <c r="H233">
        <v>1.3</v>
      </c>
      <c r="I233">
        <v>50</v>
      </c>
      <c r="J233" s="128">
        <v>760.5</v>
      </c>
      <c r="K233" s="128">
        <v>1709</v>
      </c>
      <c r="L233" t="s">
        <v>458</v>
      </c>
    </row>
    <row r="234" spans="1:12">
      <c r="A234">
        <v>246</v>
      </c>
      <c r="B234" s="125">
        <v>45006.7347453704</v>
      </c>
      <c r="C234" t="s">
        <v>667</v>
      </c>
      <c r="D234" t="s">
        <v>573</v>
      </c>
      <c r="F234" s="127" t="s">
        <v>723</v>
      </c>
      <c r="G234" s="130">
        <v>920</v>
      </c>
      <c r="H234">
        <v>1.6</v>
      </c>
      <c r="I234">
        <v>50</v>
      </c>
      <c r="J234" s="128">
        <v>736</v>
      </c>
      <c r="K234" s="128">
        <v>0</v>
      </c>
      <c r="L234" t="s">
        <v>565</v>
      </c>
    </row>
    <row r="235" spans="1:12">
      <c r="A235">
        <v>247</v>
      </c>
      <c r="B235" s="125">
        <v>45006.7347453704</v>
      </c>
      <c r="C235" t="s">
        <v>667</v>
      </c>
      <c r="D235" t="s">
        <v>573</v>
      </c>
      <c r="F235" s="127">
        <v>8907259475585</v>
      </c>
      <c r="G235" s="130">
        <v>425</v>
      </c>
      <c r="H235">
        <v>1</v>
      </c>
      <c r="I235">
        <v>50</v>
      </c>
      <c r="J235" s="128">
        <v>212.5</v>
      </c>
      <c r="K235" s="128">
        <v>0</v>
      </c>
      <c r="L235" t="s">
        <v>565</v>
      </c>
    </row>
    <row r="236" spans="1:12">
      <c r="A236">
        <v>248</v>
      </c>
      <c r="B236" s="125">
        <v>45006.8209953704</v>
      </c>
      <c r="C236" t="s">
        <v>668</v>
      </c>
      <c r="D236" t="s">
        <v>573</v>
      </c>
      <c r="F236" s="127" t="s">
        <v>724</v>
      </c>
      <c r="G236" s="130">
        <v>1000</v>
      </c>
      <c r="H236">
        <v>1.6</v>
      </c>
      <c r="I236">
        <v>50</v>
      </c>
      <c r="J236" s="128">
        <v>800</v>
      </c>
      <c r="K236" s="128">
        <v>800</v>
      </c>
      <c r="L236" t="s">
        <v>458</v>
      </c>
    </row>
    <row r="237" spans="1:12">
      <c r="A237">
        <v>249</v>
      </c>
      <c r="B237" s="125">
        <v>45007.5503009259</v>
      </c>
      <c r="C237" t="s">
        <v>669</v>
      </c>
      <c r="D237" t="s">
        <v>573</v>
      </c>
      <c r="F237" s="127" t="s">
        <v>725</v>
      </c>
      <c r="G237" s="130">
        <v>800</v>
      </c>
      <c r="H237">
        <v>1.2</v>
      </c>
      <c r="I237">
        <v>50</v>
      </c>
      <c r="J237" s="128">
        <v>480</v>
      </c>
      <c r="K237" s="128">
        <v>480</v>
      </c>
      <c r="L237" t="s">
        <v>458</v>
      </c>
    </row>
    <row r="238" spans="1:12">
      <c r="A238">
        <v>250</v>
      </c>
      <c r="B238" s="125">
        <v>45007.6274768518</v>
      </c>
      <c r="C238" t="s">
        <v>670</v>
      </c>
      <c r="D238" t="s">
        <v>671</v>
      </c>
      <c r="E238">
        <v>9110093659</v>
      </c>
      <c r="F238" s="127" t="s">
        <v>335</v>
      </c>
      <c r="G238" s="130">
        <v>1750</v>
      </c>
      <c r="H238">
        <v>1.2</v>
      </c>
      <c r="I238">
        <v>50</v>
      </c>
      <c r="J238" s="128">
        <v>1050</v>
      </c>
      <c r="K238" s="128">
        <v>2970</v>
      </c>
      <c r="L238" t="s">
        <v>458</v>
      </c>
    </row>
    <row r="239" spans="1:12">
      <c r="A239">
        <v>251</v>
      </c>
      <c r="B239" s="125">
        <v>45007.6274768518</v>
      </c>
      <c r="C239" t="s">
        <v>670</v>
      </c>
      <c r="D239" t="s">
        <v>671</v>
      </c>
      <c r="E239">
        <v>9110093659</v>
      </c>
      <c r="F239" s="127" t="s">
        <v>726</v>
      </c>
      <c r="G239" s="130">
        <v>1550</v>
      </c>
      <c r="H239">
        <v>1.2</v>
      </c>
      <c r="I239">
        <v>50</v>
      </c>
      <c r="J239" s="128">
        <v>930</v>
      </c>
      <c r="K239" s="128">
        <v>0</v>
      </c>
      <c r="L239" t="s">
        <v>565</v>
      </c>
    </row>
    <row r="240" spans="1:12">
      <c r="A240">
        <v>252</v>
      </c>
      <c r="B240" s="125">
        <v>45007.6274884259</v>
      </c>
      <c r="C240" t="s">
        <v>670</v>
      </c>
      <c r="D240" t="s">
        <v>671</v>
      </c>
      <c r="E240">
        <v>9110093659</v>
      </c>
      <c r="F240" s="127">
        <v>8907797002434</v>
      </c>
      <c r="G240" s="130">
        <v>269</v>
      </c>
      <c r="H240">
        <v>2</v>
      </c>
      <c r="I240">
        <v>20</v>
      </c>
      <c r="J240" s="128">
        <v>430.4</v>
      </c>
      <c r="K240" s="128">
        <v>0</v>
      </c>
      <c r="L240" t="s">
        <v>565</v>
      </c>
    </row>
    <row r="241" spans="1:12">
      <c r="A241">
        <v>253</v>
      </c>
      <c r="B241" s="125">
        <v>45007.6274884259</v>
      </c>
      <c r="C241" t="s">
        <v>670</v>
      </c>
      <c r="D241" t="s">
        <v>671</v>
      </c>
      <c r="E241">
        <v>9110093659</v>
      </c>
      <c r="F241" s="127">
        <v>8907686660455</v>
      </c>
      <c r="G241" s="130">
        <v>699</v>
      </c>
      <c r="H241">
        <v>1</v>
      </c>
      <c r="I241">
        <v>20</v>
      </c>
      <c r="J241" s="128">
        <v>559.2</v>
      </c>
      <c r="K241" s="128">
        <v>0</v>
      </c>
      <c r="L241" t="s">
        <v>565</v>
      </c>
    </row>
    <row r="242" spans="1:12">
      <c r="A242">
        <v>254</v>
      </c>
      <c r="B242" s="125">
        <v>45007.8253703704</v>
      </c>
      <c r="C242" t="s">
        <v>672</v>
      </c>
      <c r="D242" t="s">
        <v>573</v>
      </c>
      <c r="F242" s="127" t="s">
        <v>35</v>
      </c>
      <c r="G242" s="130">
        <v>1310</v>
      </c>
      <c r="H242">
        <v>1.6</v>
      </c>
      <c r="I242">
        <v>50</v>
      </c>
      <c r="J242" s="128">
        <v>1048</v>
      </c>
      <c r="K242" s="128">
        <v>1048</v>
      </c>
      <c r="L242" t="s">
        <v>469</v>
      </c>
    </row>
    <row r="243" spans="1:12">
      <c r="A243">
        <v>255</v>
      </c>
      <c r="B243" s="125">
        <v>45007.8388657407</v>
      </c>
      <c r="C243" t="s">
        <v>674</v>
      </c>
      <c r="D243" t="s">
        <v>573</v>
      </c>
      <c r="F243" s="127" t="s">
        <v>30</v>
      </c>
      <c r="G243" s="130">
        <v>1240</v>
      </c>
      <c r="H243">
        <v>1.2</v>
      </c>
      <c r="I243">
        <v>50</v>
      </c>
      <c r="J243" s="128">
        <v>744</v>
      </c>
      <c r="K243" s="128">
        <v>4392</v>
      </c>
      <c r="L243" t="s">
        <v>458</v>
      </c>
    </row>
    <row r="244" spans="1:12">
      <c r="A244">
        <v>256</v>
      </c>
      <c r="B244" s="125">
        <v>45007.8388773148</v>
      </c>
      <c r="C244" t="s">
        <v>674</v>
      </c>
      <c r="D244" t="s">
        <v>573</v>
      </c>
      <c r="F244" s="127" t="s">
        <v>68</v>
      </c>
      <c r="G244" s="130">
        <v>2370</v>
      </c>
      <c r="H244">
        <v>1.2</v>
      </c>
      <c r="I244">
        <v>50</v>
      </c>
      <c r="J244" s="128">
        <v>1422</v>
      </c>
      <c r="K244" s="128">
        <v>0</v>
      </c>
      <c r="L244" t="s">
        <v>565</v>
      </c>
    </row>
    <row r="245" spans="1:12">
      <c r="A245">
        <v>257</v>
      </c>
      <c r="B245" s="125">
        <v>45007.8388773148</v>
      </c>
      <c r="C245" t="s">
        <v>674</v>
      </c>
      <c r="D245" t="s">
        <v>573</v>
      </c>
      <c r="F245" s="127" t="s">
        <v>727</v>
      </c>
      <c r="G245" s="130">
        <v>3710</v>
      </c>
      <c r="H245">
        <v>1.2</v>
      </c>
      <c r="I245">
        <v>50</v>
      </c>
      <c r="J245" s="128">
        <v>2226</v>
      </c>
      <c r="K245" s="128">
        <v>0</v>
      </c>
      <c r="L245" t="s">
        <v>565</v>
      </c>
    </row>
    <row r="246" spans="1:12">
      <c r="A246">
        <v>258</v>
      </c>
      <c r="B246" s="125">
        <v>45008.8159837963</v>
      </c>
      <c r="C246" t="s">
        <v>675</v>
      </c>
      <c r="D246" t="s">
        <v>573</v>
      </c>
      <c r="F246" s="127">
        <v>8904290616502</v>
      </c>
      <c r="G246" s="130">
        <v>2199</v>
      </c>
      <c r="H246">
        <v>1</v>
      </c>
      <c r="I246">
        <v>65</v>
      </c>
      <c r="J246" s="128">
        <v>769.65</v>
      </c>
      <c r="K246" s="128">
        <v>2274</v>
      </c>
      <c r="L246" t="s">
        <v>469</v>
      </c>
    </row>
    <row r="247" spans="1:11">
      <c r="A247">
        <v>259</v>
      </c>
      <c r="B247" s="125">
        <v>45008</v>
      </c>
      <c r="C247" t="s">
        <v>675</v>
      </c>
      <c r="F247" s="127">
        <v>8907259035963</v>
      </c>
      <c r="G247" s="130">
        <v>1799</v>
      </c>
      <c r="H247">
        <v>1</v>
      </c>
      <c r="I247">
        <v>65</v>
      </c>
      <c r="J247" s="128">
        <v>629.65</v>
      </c>
      <c r="K247" s="128"/>
    </row>
    <row r="248" spans="1:11">
      <c r="A248">
        <v>260</v>
      </c>
      <c r="B248" s="125">
        <v>45008</v>
      </c>
      <c r="C248" t="s">
        <v>675</v>
      </c>
      <c r="F248" s="127">
        <v>8907538684585</v>
      </c>
      <c r="G248" s="130">
        <v>2499</v>
      </c>
      <c r="H248">
        <v>1</v>
      </c>
      <c r="I248">
        <v>65</v>
      </c>
      <c r="J248" s="128">
        <v>874.65</v>
      </c>
      <c r="K248" s="128"/>
    </row>
    <row r="249" spans="1:12">
      <c r="A249">
        <v>261</v>
      </c>
      <c r="B249" s="125">
        <v>45008.8277662037</v>
      </c>
      <c r="C249" t="s">
        <v>676</v>
      </c>
      <c r="D249" t="s">
        <v>677</v>
      </c>
      <c r="E249">
        <v>9431587540</v>
      </c>
      <c r="F249" s="127" t="s">
        <v>728</v>
      </c>
      <c r="G249" s="130">
        <v>1700</v>
      </c>
      <c r="H249">
        <v>2.6</v>
      </c>
      <c r="I249">
        <v>50</v>
      </c>
      <c r="J249" s="128">
        <v>2210</v>
      </c>
      <c r="K249" s="128">
        <v>2210</v>
      </c>
      <c r="L249" t="s">
        <v>469</v>
      </c>
    </row>
    <row r="250" spans="1:12">
      <c r="A250">
        <v>262</v>
      </c>
      <c r="B250" s="125">
        <v>45010.5488310185</v>
      </c>
      <c r="C250" t="s">
        <v>678</v>
      </c>
      <c r="D250" t="s">
        <v>573</v>
      </c>
      <c r="E250" t="s">
        <v>565</v>
      </c>
      <c r="F250" s="127">
        <v>8904290618339</v>
      </c>
      <c r="G250" s="130">
        <v>2099</v>
      </c>
      <c r="H250">
        <v>1</v>
      </c>
      <c r="I250">
        <v>65</v>
      </c>
      <c r="J250" s="128">
        <v>734.65</v>
      </c>
      <c r="K250" s="128">
        <v>735</v>
      </c>
      <c r="L250" t="s">
        <v>458</v>
      </c>
    </row>
    <row r="251" spans="1:12">
      <c r="A251">
        <v>263</v>
      </c>
      <c r="B251" s="125">
        <v>45019.5628356481</v>
      </c>
      <c r="C251" t="s">
        <v>679</v>
      </c>
      <c r="D251" t="s">
        <v>680</v>
      </c>
      <c r="F251" s="127" t="s">
        <v>729</v>
      </c>
      <c r="G251" s="130">
        <v>1330</v>
      </c>
      <c r="H251">
        <v>1.8</v>
      </c>
      <c r="I251">
        <v>50</v>
      </c>
      <c r="J251" s="128">
        <v>1197</v>
      </c>
      <c r="K251" s="128">
        <v>1197</v>
      </c>
      <c r="L251" t="s">
        <v>469</v>
      </c>
    </row>
    <row r="252" spans="1:12">
      <c r="A252">
        <v>264</v>
      </c>
      <c r="B252" s="125">
        <v>45019.5658101852</v>
      </c>
      <c r="C252" t="s">
        <v>681</v>
      </c>
      <c r="D252" t="s">
        <v>573</v>
      </c>
      <c r="F252" s="127">
        <v>8907259475585</v>
      </c>
      <c r="G252" s="130">
        <v>425</v>
      </c>
      <c r="H252">
        <v>1</v>
      </c>
      <c r="I252">
        <v>50</v>
      </c>
      <c r="J252" s="128">
        <v>212.5</v>
      </c>
      <c r="K252" s="128">
        <v>1158</v>
      </c>
      <c r="L252" t="s">
        <v>469</v>
      </c>
    </row>
    <row r="253" spans="1:12">
      <c r="A253">
        <v>265</v>
      </c>
      <c r="B253" s="125">
        <v>45019.5658101852</v>
      </c>
      <c r="C253" t="s">
        <v>681</v>
      </c>
      <c r="D253" t="s">
        <v>573</v>
      </c>
      <c r="F253" s="127" t="s">
        <v>730</v>
      </c>
      <c r="G253" s="130">
        <v>945</v>
      </c>
      <c r="H253">
        <v>1</v>
      </c>
      <c r="I253">
        <v>0</v>
      </c>
      <c r="J253" s="128">
        <v>945</v>
      </c>
      <c r="K253" s="128">
        <v>0</v>
      </c>
      <c r="L253" t="s">
        <v>565</v>
      </c>
    </row>
    <row r="254" spans="1:12">
      <c r="A254">
        <v>266</v>
      </c>
      <c r="B254" s="125">
        <v>45019.6151967593</v>
      </c>
      <c r="C254" t="s">
        <v>682</v>
      </c>
      <c r="D254" t="s">
        <v>573</v>
      </c>
      <c r="F254" s="127" t="s">
        <v>87</v>
      </c>
      <c r="G254" s="130">
        <v>780</v>
      </c>
      <c r="H254">
        <v>1.2</v>
      </c>
      <c r="I254">
        <v>50</v>
      </c>
      <c r="J254" s="128">
        <v>468</v>
      </c>
      <c r="K254" s="128">
        <v>468</v>
      </c>
      <c r="L254" t="s">
        <v>469</v>
      </c>
    </row>
    <row r="255" spans="1:12">
      <c r="A255">
        <v>267</v>
      </c>
      <c r="B255" s="125">
        <v>45021.5497685185</v>
      </c>
      <c r="C255" t="s">
        <v>683</v>
      </c>
      <c r="D255" t="s">
        <v>573</v>
      </c>
      <c r="F255" s="127">
        <v>8907036702484</v>
      </c>
      <c r="G255" s="130">
        <v>1799</v>
      </c>
      <c r="H255">
        <v>1</v>
      </c>
      <c r="I255">
        <v>65</v>
      </c>
      <c r="J255" s="128">
        <v>629.65</v>
      </c>
      <c r="K255" s="128">
        <v>2690</v>
      </c>
      <c r="L255" t="s">
        <v>469</v>
      </c>
    </row>
    <row r="256" ht="15.2" spans="1:11">
      <c r="A256">
        <v>268</v>
      </c>
      <c r="B256" s="125">
        <v>45021</v>
      </c>
      <c r="C256" t="s">
        <v>683</v>
      </c>
      <c r="F256" s="131">
        <v>8907259697420</v>
      </c>
      <c r="G256" s="129">
        <v>2299</v>
      </c>
      <c r="H256">
        <v>1</v>
      </c>
      <c r="I256">
        <v>65</v>
      </c>
      <c r="J256" s="132">
        <f>(G256*H256)-((G256*H256)*(I256/100))</f>
        <v>804.65</v>
      </c>
      <c r="K256" s="128"/>
    </row>
    <row r="257" ht="15.2" spans="1:11">
      <c r="A257">
        <v>269</v>
      </c>
      <c r="B257" s="125">
        <v>45021</v>
      </c>
      <c r="C257" t="s">
        <v>683</v>
      </c>
      <c r="F257" s="131">
        <v>8907259930954</v>
      </c>
      <c r="G257" s="129">
        <v>319</v>
      </c>
      <c r="H257">
        <v>1</v>
      </c>
      <c r="I257">
        <v>20</v>
      </c>
      <c r="J257" s="132">
        <f t="shared" ref="J257:J258" si="0">(G257*H257)-((G257*H257)*(I257/100))</f>
        <v>255.2</v>
      </c>
      <c r="K257" s="128"/>
    </row>
    <row r="258" ht="15.2" spans="1:11">
      <c r="A258">
        <v>270</v>
      </c>
      <c r="B258" s="125">
        <v>45021</v>
      </c>
      <c r="C258" t="s">
        <v>683</v>
      </c>
      <c r="F258" s="131">
        <v>8907259210247</v>
      </c>
      <c r="G258" s="129">
        <v>3999</v>
      </c>
      <c r="H258">
        <v>1</v>
      </c>
      <c r="I258">
        <v>75</v>
      </c>
      <c r="J258" s="132">
        <f t="shared" si="0"/>
        <v>999.75</v>
      </c>
      <c r="K258" s="128"/>
    </row>
    <row r="259" ht="15.2" spans="1:12">
      <c r="A259">
        <v>271</v>
      </c>
      <c r="B259" s="125">
        <v>45021.8233333333</v>
      </c>
      <c r="C259" t="s">
        <v>684</v>
      </c>
      <c r="D259" t="s">
        <v>573</v>
      </c>
      <c r="F259" s="127" t="s">
        <v>165</v>
      </c>
      <c r="G259" s="130">
        <v>1110</v>
      </c>
      <c r="H259">
        <v>1.5</v>
      </c>
      <c r="I259">
        <v>50</v>
      </c>
      <c r="J259" s="133">
        <v>832.5</v>
      </c>
      <c r="K259" s="128">
        <v>833</v>
      </c>
      <c r="L259" t="s">
        <v>469</v>
      </c>
    </row>
    <row r="260" ht="15.2" spans="1:12">
      <c r="A260">
        <v>272</v>
      </c>
      <c r="B260" s="125">
        <v>45021.840474537</v>
      </c>
      <c r="C260" t="s">
        <v>430</v>
      </c>
      <c r="D260" t="s">
        <v>573</v>
      </c>
      <c r="F260" s="127" t="s">
        <v>731</v>
      </c>
      <c r="G260" s="130">
        <v>1390</v>
      </c>
      <c r="H260">
        <v>1.2</v>
      </c>
      <c r="I260">
        <v>50</v>
      </c>
      <c r="J260" s="133">
        <v>834</v>
      </c>
      <c r="K260" s="128">
        <v>1994</v>
      </c>
      <c r="L260" t="s">
        <v>469</v>
      </c>
    </row>
    <row r="261" ht="15.2" spans="1:12">
      <c r="A261">
        <v>273</v>
      </c>
      <c r="B261" s="125">
        <v>45021.840474537</v>
      </c>
      <c r="C261" t="s">
        <v>430</v>
      </c>
      <c r="D261" t="s">
        <v>573</v>
      </c>
      <c r="F261" s="127" t="s">
        <v>146</v>
      </c>
      <c r="G261" s="130">
        <v>1450</v>
      </c>
      <c r="H261">
        <v>1.6</v>
      </c>
      <c r="I261">
        <v>50</v>
      </c>
      <c r="J261" s="133">
        <v>1160</v>
      </c>
      <c r="K261" s="128">
        <v>0</v>
      </c>
      <c r="L261" t="s">
        <v>565</v>
      </c>
    </row>
    <row r="262" spans="1:11">
      <c r="A262" t="s">
        <v>405</v>
      </c>
      <c r="G262" s="128">
        <f>SUBTOTAL(101,InvoiceListTable[MRP])</f>
        <v>1610.26796153846</v>
      </c>
      <c r="H262">
        <f>SUBTOTAL(109,InvoiceListTable[QTY])</f>
        <v>347.8</v>
      </c>
      <c r="J262" s="128">
        <f>SUBTOTAL(109,InvoiceListTable[LineTotal])</f>
        <v>265186.18</v>
      </c>
      <c r="K262" s="128">
        <f>SUBTOTAL(109,InvoiceListTable[BillAmount])</f>
        <v>277557</v>
      </c>
    </row>
  </sheetData>
  <pageMargins left="0.7" right="0.7" top="0.75" bottom="0.75" header="0.3" footer="0.3"/>
  <pageSetup paperSize="2833" orientation="portrait" horizontalDpi="203" verticalDpi="20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name="Button 1" r:id="rId3">
              <controlPr print="0" defaultSize="0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O197"/>
  <sheetViews>
    <sheetView workbookViewId="0">
      <selection activeCell="A7" sqref="A7"/>
    </sheetView>
  </sheetViews>
  <sheetFormatPr defaultColWidth="9" defaultRowHeight="14"/>
  <cols>
    <col min="1" max="1" width="17.890625" style="55" customWidth="1"/>
    <col min="6" max="6" width="19.6640625" customWidth="1"/>
  </cols>
  <sheetData>
    <row r="1" spans="1:15">
      <c r="A1" s="55" t="s">
        <v>732</v>
      </c>
      <c r="F1" s="55" t="s">
        <v>732</v>
      </c>
      <c r="G1" s="57" t="s">
        <v>5</v>
      </c>
      <c r="H1" s="57" t="s">
        <v>4</v>
      </c>
      <c r="I1" s="57" t="s">
        <v>733</v>
      </c>
      <c r="J1" s="57" t="s">
        <v>426</v>
      </c>
      <c r="K1" s="57" t="s">
        <v>734</v>
      </c>
      <c r="L1" s="57" t="s">
        <v>735</v>
      </c>
      <c r="M1" s="57" t="s">
        <v>736</v>
      </c>
      <c r="N1" s="57" t="s">
        <v>737</v>
      </c>
      <c r="O1" s="57" t="s">
        <v>738</v>
      </c>
    </row>
    <row r="2" spans="1:6">
      <c r="A2" s="55" t="s">
        <v>195</v>
      </c>
      <c r="F2" s="55"/>
    </row>
    <row r="3" spans="1:6">
      <c r="A3" s="55" t="s">
        <v>304</v>
      </c>
      <c r="F3" s="55"/>
    </row>
    <row r="4" spans="1:6">
      <c r="A4" s="55">
        <v>8907538822857</v>
      </c>
      <c r="F4" s="55"/>
    </row>
    <row r="5" spans="1:6">
      <c r="A5" s="55">
        <v>8907378384218</v>
      </c>
      <c r="F5" s="55"/>
    </row>
    <row r="6" spans="6:6">
      <c r="F6" s="55"/>
    </row>
    <row r="7" spans="6:6">
      <c r="F7" s="55"/>
    </row>
    <row r="8" spans="6:6">
      <c r="F8" s="55"/>
    </row>
    <row r="9" spans="6:6">
      <c r="F9" s="55"/>
    </row>
    <row r="10" spans="6:6">
      <c r="F10" s="55"/>
    </row>
    <row r="11" spans="6:6">
      <c r="F11" s="55"/>
    </row>
    <row r="12" spans="6:6">
      <c r="F12" s="55"/>
    </row>
    <row r="13" spans="6:6">
      <c r="F13" s="55"/>
    </row>
    <row r="14" spans="6:6">
      <c r="F14" s="55"/>
    </row>
    <row r="15" spans="6:6">
      <c r="F15" s="55"/>
    </row>
    <row r="16" spans="6:6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ref="A2:A223">
    <sortCondition ref="A2:A223"/>
  </sortState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548"/>
  <sheetViews>
    <sheetView topLeftCell="D1" workbookViewId="0">
      <pane ySplit="1" topLeftCell="A2" activePane="bottomLeft" state="frozen"/>
      <selection/>
      <selection pane="bottomLeft" activeCell="B472" sqref="B472"/>
    </sheetView>
  </sheetViews>
  <sheetFormatPr defaultColWidth="9" defaultRowHeight="14"/>
  <cols>
    <col min="1" max="1" width="10.4453125" customWidth="1"/>
    <col min="2" max="2" width="26.109375" customWidth="1"/>
    <col min="3" max="3" width="23.3359375" customWidth="1"/>
    <col min="4" max="4" width="12" customWidth="1"/>
    <col min="5" max="5" width="11.109375" customWidth="1"/>
    <col min="6" max="6" width="12.335937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90625" customWidth="1"/>
  </cols>
  <sheetData>
    <row r="1" ht="15.2" spans="1:15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739</v>
      </c>
    </row>
    <row r="2" ht="15.2" spans="1:15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64.9824912456228</v>
      </c>
      <c r="H2" s="77">
        <f>((D2*E2)*(G2/100))</f>
        <v>1299</v>
      </c>
      <c r="I2" s="84">
        <v>666.666666666667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-619.34</v>
      </c>
      <c r="O2" s="87"/>
    </row>
    <row r="3" ht="15.2" spans="1:15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4899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ht="15.2" spans="1:15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ht="15.2" spans="1:15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</v>
      </c>
      <c r="J5" s="84">
        <v>47.2380952380952</v>
      </c>
      <c r="K5" s="77">
        <v>992</v>
      </c>
      <c r="L5" s="85"/>
      <c r="M5" s="85"/>
      <c r="N5" s="85">
        <f t="shared" si="0"/>
        <v>273.6</v>
      </c>
      <c r="O5" s="88"/>
    </row>
    <row r="6" ht="15.2" spans="1:15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ht="15.2" spans="1:15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</v>
      </c>
      <c r="H7" s="81">
        <f t="shared" ref="H7:H23" si="2">D7*E7-K7</f>
        <v>1032</v>
      </c>
      <c r="I7" s="84">
        <v>998.095238095238</v>
      </c>
      <c r="J7" s="84">
        <v>49.9047619047619</v>
      </c>
      <c r="K7" s="74">
        <v>1048</v>
      </c>
      <c r="L7" s="86"/>
      <c r="M7" s="85"/>
      <c r="N7" s="85">
        <f t="shared" si="0"/>
        <v>413.12</v>
      </c>
      <c r="O7" s="88"/>
    </row>
    <row r="8" ht="15.2" spans="1:15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</v>
      </c>
      <c r="H8" s="77">
        <f t="shared" si="2"/>
        <v>904</v>
      </c>
      <c r="I8" s="84">
        <v>876.190476190476</v>
      </c>
      <c r="J8" s="84">
        <v>43.8095238095238</v>
      </c>
      <c r="K8" s="74">
        <v>920</v>
      </c>
      <c r="L8" s="85"/>
      <c r="M8" s="85"/>
      <c r="N8" s="85">
        <f t="shared" si="0"/>
        <v>275.2</v>
      </c>
      <c r="O8" s="88"/>
    </row>
    <row r="9" ht="15.2" spans="1:15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ht="15.2" spans="1:15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</v>
      </c>
      <c r="H10" s="77">
        <f t="shared" si="2"/>
        <v>876</v>
      </c>
      <c r="I10" s="84">
        <v>845.714285714286</v>
      </c>
      <c r="J10" s="84">
        <v>42.2857142857143</v>
      </c>
      <c r="K10" s="74">
        <v>888</v>
      </c>
      <c r="L10" s="85"/>
      <c r="M10" s="85"/>
      <c r="N10" s="85">
        <f t="shared" si="0"/>
        <v>300</v>
      </c>
      <c r="O10" s="88"/>
    </row>
    <row r="11" ht="15.2" spans="1:15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</v>
      </c>
      <c r="O11" s="88"/>
    </row>
    <row r="12" ht="15.2" spans="1:15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</v>
      </c>
      <c r="H12" s="77">
        <f t="shared" si="2"/>
        <v>438.75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112.05</v>
      </c>
      <c r="O12" s="88"/>
    </row>
    <row r="13" ht="15.2" spans="1:15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-867.69</v>
      </c>
      <c r="O13" s="88"/>
    </row>
    <row r="14" ht="15.2" spans="1:15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699.666666666667</v>
      </c>
      <c r="J14" s="84">
        <v>34.9833333333333</v>
      </c>
      <c r="K14" s="74">
        <v>734.65</v>
      </c>
      <c r="L14" s="86"/>
      <c r="M14" s="85"/>
      <c r="N14" s="85">
        <f t="shared" si="0"/>
        <v>-650.69</v>
      </c>
      <c r="O14" s="88"/>
    </row>
    <row r="15" ht="15.2" spans="1:15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799.666666666667</v>
      </c>
      <c r="J15" s="84">
        <v>39.9833333333333</v>
      </c>
      <c r="K15" s="74">
        <v>839.65</v>
      </c>
      <c r="L15" s="85"/>
      <c r="M15" s="85"/>
      <c r="N15" s="85">
        <f t="shared" si="0"/>
        <v>-743.69</v>
      </c>
      <c r="O15" s="88"/>
    </row>
    <row r="16" ht="15.2" spans="1:15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-867.69</v>
      </c>
      <c r="O16" s="88"/>
    </row>
    <row r="17" ht="15.2" spans="1:15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65</v>
      </c>
      <c r="H17" s="77">
        <f t="shared" si="2"/>
        <v>1299.35</v>
      </c>
      <c r="I17" s="84">
        <v>666.333333333333</v>
      </c>
      <c r="J17" s="84">
        <v>33.3166666666667</v>
      </c>
      <c r="K17" s="74">
        <v>699.65</v>
      </c>
      <c r="L17" s="85"/>
      <c r="M17" s="85"/>
      <c r="N17" s="85">
        <f t="shared" si="0"/>
        <v>-478.33</v>
      </c>
      <c r="O17" s="88"/>
    </row>
    <row r="18" ht="15.2" spans="1:15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559.3</v>
      </c>
      <c r="G18" s="82">
        <f t="shared" si="1"/>
        <v>50</v>
      </c>
      <c r="H18" s="81">
        <f t="shared" si="2"/>
        <v>3542.5</v>
      </c>
      <c r="I18" s="84">
        <v>3373.80952380952</v>
      </c>
      <c r="J18" s="84">
        <v>168.690476190476</v>
      </c>
      <c r="K18" s="74">
        <v>3542.5</v>
      </c>
      <c r="L18" s="86">
        <v>0.25</v>
      </c>
      <c r="M18" s="85">
        <v>7776</v>
      </c>
      <c r="N18" s="85">
        <f t="shared" si="0"/>
        <v>1724.775</v>
      </c>
      <c r="O18" s="88"/>
    </row>
    <row r="19" ht="15.2" spans="1:15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ht="15.2" spans="1:15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-681.69</v>
      </c>
      <c r="O20" s="88"/>
    </row>
    <row r="21" ht="15.2" spans="1:15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</v>
      </c>
      <c r="J21" s="84">
        <v>38.3166666666667</v>
      </c>
      <c r="K21" s="74">
        <v>804.65</v>
      </c>
      <c r="L21" s="86">
        <v>-0.05</v>
      </c>
      <c r="M21" s="85">
        <v>4548</v>
      </c>
      <c r="N21" s="85">
        <f t="shared" si="0"/>
        <v>-712.69</v>
      </c>
      <c r="O21" s="88"/>
    </row>
    <row r="22" ht="15.2" spans="1:15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</v>
      </c>
      <c r="H22" s="81">
        <f t="shared" si="2"/>
        <v>1416</v>
      </c>
      <c r="I22" s="84">
        <v>1363.80952380952</v>
      </c>
      <c r="J22" s="84">
        <v>68.1904761904762</v>
      </c>
      <c r="K22" s="74">
        <v>1432</v>
      </c>
      <c r="L22" s="86"/>
      <c r="M22" s="85">
        <v>1432</v>
      </c>
      <c r="N22" s="85">
        <f t="shared" si="0"/>
        <v>529.6</v>
      </c>
      <c r="O22" s="88"/>
    </row>
    <row r="23" ht="15.2" spans="1:15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994.285714285714</v>
      </c>
      <c r="J23" s="84">
        <v>49.7142857142857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ht="15.2" spans="1:15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</v>
      </c>
      <c r="J24" s="84">
        <v>38.3166666666667</v>
      </c>
      <c r="K24" s="74">
        <v>804.65</v>
      </c>
      <c r="L24" s="86"/>
      <c r="M24" s="85"/>
      <c r="N24" s="85">
        <f t="shared" si="0"/>
        <v>-712.69</v>
      </c>
      <c r="O24" s="88"/>
    </row>
    <row r="25" ht="15.2" spans="1:15">
      <c r="A25" s="73">
        <v>44958</v>
      </c>
      <c r="B25" s="74" t="s">
        <v>116</v>
      </c>
      <c r="C25" s="75" t="s">
        <v>117</v>
      </c>
      <c r="D25" s="74">
        <v>2.2</v>
      </c>
      <c r="E25" s="74">
        <v>1350</v>
      </c>
      <c r="F25" s="74">
        <v>478</v>
      </c>
      <c r="G25" s="82">
        <f t="shared" si="3"/>
        <v>49.6296296296296</v>
      </c>
      <c r="H25" s="77">
        <f t="shared" si="4"/>
        <v>1474</v>
      </c>
      <c r="I25" s="84">
        <v>1424.7619047619</v>
      </c>
      <c r="J25" s="84">
        <v>71.2380952380952</v>
      </c>
      <c r="K25" s="74">
        <v>1496</v>
      </c>
      <c r="L25" s="85"/>
      <c r="M25" s="85"/>
      <c r="N25" s="85">
        <f t="shared" si="0"/>
        <v>444.4</v>
      </c>
      <c r="O25" s="88"/>
    </row>
    <row r="26" ht="15.2" spans="1:15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987.380952380952</v>
      </c>
      <c r="J26" s="84">
        <v>49.3690476190476</v>
      </c>
      <c r="K26" s="74">
        <v>1036.75</v>
      </c>
      <c r="L26" s="86"/>
      <c r="M26" s="85"/>
      <c r="N26" s="85">
        <f t="shared" si="0"/>
        <v>275.5</v>
      </c>
      <c r="O26" s="88"/>
    </row>
    <row r="27" ht="15.2" spans="1:15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296.34</v>
      </c>
      <c r="G27" s="82">
        <f t="shared" si="3"/>
        <v>49.8886414253898</v>
      </c>
      <c r="H27" s="77">
        <f t="shared" si="4"/>
        <v>224</v>
      </c>
      <c r="I27" s="84">
        <v>214.285714285714</v>
      </c>
      <c r="J27" s="84">
        <v>10.7142857142857</v>
      </c>
      <c r="K27" s="74">
        <v>225</v>
      </c>
      <c r="L27" s="85"/>
      <c r="M27" s="85"/>
      <c r="N27" s="85">
        <f t="shared" si="0"/>
        <v>-71.34</v>
      </c>
      <c r="O27" s="88"/>
    </row>
    <row r="28" ht="15.2" spans="1:15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</v>
      </c>
      <c r="G28" s="82">
        <f t="shared" si="3"/>
        <v>50</v>
      </c>
      <c r="H28" s="81">
        <f t="shared" si="4"/>
        <v>712</v>
      </c>
      <c r="I28" s="84">
        <v>678.095238095238</v>
      </c>
      <c r="J28" s="84">
        <v>33.9047619047619</v>
      </c>
      <c r="K28" s="74">
        <v>712</v>
      </c>
      <c r="L28" s="86"/>
      <c r="M28" s="85"/>
      <c r="N28" s="85">
        <f t="shared" si="0"/>
        <v>197.648</v>
      </c>
      <c r="O28" s="88"/>
    </row>
    <row r="29" ht="15.2" spans="1:15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</v>
      </c>
      <c r="J29" s="84">
        <v>41.5238095238095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ht="15.2" spans="1:15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</v>
      </c>
      <c r="H30" s="77">
        <f t="shared" si="4"/>
        <v>1072</v>
      </c>
      <c r="I30" s="84">
        <v>1036.19047619048</v>
      </c>
      <c r="J30" s="84">
        <v>51.8095238095238</v>
      </c>
      <c r="K30" s="74">
        <v>1088</v>
      </c>
      <c r="L30" s="85"/>
      <c r="M30" s="85"/>
      <c r="N30" s="85">
        <f t="shared" si="0"/>
        <v>323.2</v>
      </c>
      <c r="O30" s="88"/>
    </row>
    <row r="31" ht="15.2" spans="1:15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56.0714285714286</v>
      </c>
      <c r="K31" s="74">
        <v>1177.5</v>
      </c>
      <c r="L31" s="86"/>
      <c r="M31" s="85"/>
      <c r="N31" s="85">
        <f t="shared" si="0"/>
        <v>411</v>
      </c>
      <c r="O31" s="88"/>
    </row>
    <row r="32" ht="15.2" spans="1:15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ht="15.2" spans="1:15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</v>
      </c>
      <c r="J33" s="84">
        <v>24.4285714285714</v>
      </c>
      <c r="K33" s="74">
        <v>513</v>
      </c>
      <c r="L33" s="86"/>
      <c r="M33" s="85"/>
      <c r="N33" s="85">
        <f t="shared" si="0"/>
        <v>163.35</v>
      </c>
      <c r="O33" s="88"/>
    </row>
    <row r="34" ht="15.2" spans="1:15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47.979797979798</v>
      </c>
      <c r="H34" s="77">
        <f t="shared" si="4"/>
        <v>760</v>
      </c>
      <c r="I34" s="84">
        <v>784.761904761905</v>
      </c>
      <c r="J34" s="84">
        <v>39.2380952380952</v>
      </c>
      <c r="K34" s="74">
        <v>824</v>
      </c>
      <c r="L34" s="85">
        <v>0.5</v>
      </c>
      <c r="M34" s="85">
        <v>4611</v>
      </c>
      <c r="N34" s="85">
        <f t="shared" si="0"/>
        <v>318.4</v>
      </c>
      <c r="O34" s="88"/>
    </row>
    <row r="35" ht="15.2" spans="1:15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</v>
      </c>
      <c r="J35" s="84">
        <v>31.4285714285714</v>
      </c>
      <c r="K35" s="74">
        <v>660</v>
      </c>
      <c r="L35" s="85"/>
      <c r="M35" s="85"/>
      <c r="N35" s="85">
        <f t="shared" si="0"/>
        <v>217.2</v>
      </c>
      <c r="O35" s="88"/>
    </row>
    <row r="36" ht="15.2" spans="1:15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50.4504504504505</v>
      </c>
      <c r="H36" s="81">
        <f t="shared" si="4"/>
        <v>672</v>
      </c>
      <c r="I36" s="84">
        <v>628.571428571429</v>
      </c>
      <c r="J36" s="84">
        <v>31.4285714285714</v>
      </c>
      <c r="K36" s="74">
        <v>660</v>
      </c>
      <c r="L36" s="86"/>
      <c r="M36" s="85"/>
      <c r="N36" s="85">
        <f t="shared" si="0"/>
        <v>150</v>
      </c>
      <c r="O36" s="88"/>
    </row>
    <row r="37" ht="15.2" spans="1:15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ht="15.2" spans="1:15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</v>
      </c>
      <c r="O38" s="88"/>
    </row>
    <row r="39" ht="15.2" spans="1:15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1394.28571428571</v>
      </c>
      <c r="J39" s="84">
        <v>69.7142857142857</v>
      </c>
      <c r="K39" s="74">
        <v>1464</v>
      </c>
      <c r="L39" s="85"/>
      <c r="M39" s="85"/>
      <c r="N39" s="85">
        <f t="shared" si="0"/>
        <v>406.4</v>
      </c>
      <c r="O39" s="88"/>
    </row>
    <row r="40" ht="15.2" spans="1:15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</v>
      </c>
      <c r="J40" s="84">
        <v>35.4285714285714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ht="15.2" spans="1:15">
      <c r="A41" s="73">
        <v>44959</v>
      </c>
      <c r="B41" s="76" t="s">
        <v>132</v>
      </c>
      <c r="C41" s="75" t="s">
        <v>133</v>
      </c>
      <c r="D41" s="76">
        <v>1.1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ht="15.2" spans="1:15">
      <c r="A42" s="73">
        <v>44959</v>
      </c>
      <c r="B42" s="74" t="s">
        <v>132</v>
      </c>
      <c r="C42" s="75" t="s">
        <v>134</v>
      </c>
      <c r="D42" s="74">
        <v>1.1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198</v>
      </c>
      <c r="O42" s="88"/>
    </row>
    <row r="43" ht="15.2" spans="1:15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685.428571428571</v>
      </c>
      <c r="J43" s="84">
        <v>34.2714285714286</v>
      </c>
      <c r="K43" s="74">
        <v>719.7</v>
      </c>
      <c r="L43" s="85"/>
      <c r="M43" s="85"/>
      <c r="N43" s="85">
        <f t="shared" si="0"/>
        <v>0</v>
      </c>
      <c r="O43" s="88"/>
    </row>
    <row r="44" ht="15.2" spans="1:15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</v>
      </c>
      <c r="H44" s="81">
        <f t="shared" si="4"/>
        <v>2239.3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</v>
      </c>
      <c r="O44" s="88"/>
    </row>
    <row r="45" ht="15.2" spans="1:15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</v>
      </c>
      <c r="J45" s="84">
        <v>37.1285714285714</v>
      </c>
      <c r="K45" s="74">
        <v>779.7</v>
      </c>
      <c r="L45" s="85"/>
      <c r="M45" s="85"/>
      <c r="N45" s="85">
        <f t="shared" si="0"/>
        <v>-935.64</v>
      </c>
      <c r="O45" s="88"/>
    </row>
    <row r="46" ht="15.2" spans="1:15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71.3049151805133</v>
      </c>
      <c r="H46" s="81">
        <f t="shared" si="4"/>
        <v>1639.3</v>
      </c>
      <c r="I46" s="84">
        <v>628.285714285714</v>
      </c>
      <c r="J46" s="84">
        <v>31.4142857142857</v>
      </c>
      <c r="K46" s="74">
        <v>659.7</v>
      </c>
      <c r="L46" s="86"/>
      <c r="M46" s="85"/>
      <c r="N46" s="85">
        <f t="shared" si="0"/>
        <v>-857.64</v>
      </c>
      <c r="O46" s="88"/>
    </row>
    <row r="47" ht="15.2" spans="1:15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</v>
      </c>
      <c r="H47" s="77">
        <f t="shared" si="4"/>
        <v>1509.3</v>
      </c>
      <c r="I47" s="84">
        <v>656.857142857143</v>
      </c>
      <c r="J47" s="84">
        <v>32.8428571428571</v>
      </c>
      <c r="K47" s="74">
        <v>689.7</v>
      </c>
      <c r="L47" s="85"/>
      <c r="M47" s="85"/>
      <c r="N47" s="85">
        <f t="shared" si="0"/>
        <v>-761.64</v>
      </c>
      <c r="O47" s="88"/>
    </row>
    <row r="48" ht="15.2" spans="1:15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296.34</v>
      </c>
      <c r="G48" s="82">
        <f t="shared" si="3"/>
        <v>15</v>
      </c>
      <c r="H48" s="81">
        <f t="shared" si="4"/>
        <v>67.35</v>
      </c>
      <c r="I48" s="84">
        <v>363.47619047619</v>
      </c>
      <c r="J48" s="84">
        <v>18.1738095238095</v>
      </c>
      <c r="K48" s="74">
        <v>381.65</v>
      </c>
      <c r="L48" s="86">
        <v>-0.15</v>
      </c>
      <c r="M48" s="85">
        <v>4190</v>
      </c>
      <c r="N48" s="85">
        <f t="shared" si="0"/>
        <v>85.3099999999999</v>
      </c>
      <c r="O48" s="88"/>
    </row>
    <row r="49" ht="15.2" spans="1:15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</v>
      </c>
      <c r="H49" s="81">
        <f t="shared" si="4"/>
        <v>1539</v>
      </c>
      <c r="I49" s="84">
        <v>628.571428571429</v>
      </c>
      <c r="J49" s="84">
        <v>31.4285714285714</v>
      </c>
      <c r="K49" s="74">
        <v>660</v>
      </c>
      <c r="L49" s="86"/>
      <c r="M49" s="85">
        <v>660</v>
      </c>
      <c r="N49" s="85">
        <f t="shared" si="0"/>
        <v>-791.34</v>
      </c>
      <c r="O49" s="88"/>
    </row>
    <row r="50" ht="15.2" spans="1:15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65</v>
      </c>
      <c r="H50" s="81">
        <f t="shared" si="4"/>
        <v>1299.35</v>
      </c>
      <c r="I50" s="84">
        <v>666.333333333333</v>
      </c>
      <c r="J50" s="84">
        <v>33.3166666666667</v>
      </c>
      <c r="K50" s="74">
        <v>699.65</v>
      </c>
      <c r="L50" s="86"/>
      <c r="M50" s="85"/>
      <c r="N50" s="85">
        <f t="shared" si="0"/>
        <v>-619.69</v>
      </c>
      <c r="O50" s="88"/>
    </row>
    <row r="51" ht="15.2" spans="1:15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-774.69</v>
      </c>
      <c r="O51" s="88"/>
    </row>
    <row r="52" ht="15.2" spans="1:15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1253.34</v>
      </c>
      <c r="G52" s="82">
        <f t="shared" si="3"/>
        <v>65</v>
      </c>
      <c r="H52" s="77">
        <f t="shared" si="4"/>
        <v>1234.35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-588.69</v>
      </c>
      <c r="O52" s="88"/>
    </row>
    <row r="53" ht="15.2" spans="1:15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-774.69</v>
      </c>
      <c r="O53" s="88"/>
    </row>
    <row r="54" ht="15.2" spans="1:15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773.809523809524</v>
      </c>
      <c r="J54" s="84">
        <v>38.6904761904762</v>
      </c>
      <c r="K54" s="74">
        <v>812.5</v>
      </c>
      <c r="L54" s="86"/>
      <c r="M54" s="85"/>
      <c r="N54" s="85">
        <f t="shared" si="0"/>
        <v>376.61</v>
      </c>
      <c r="O54" s="88"/>
    </row>
    <row r="55" ht="15.2" spans="1:15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</v>
      </c>
      <c r="J55" s="84">
        <v>38.3809523809524</v>
      </c>
      <c r="K55" s="74">
        <v>806</v>
      </c>
      <c r="L55" s="85"/>
      <c r="M55" s="85"/>
      <c r="N55" s="85">
        <f t="shared" si="0"/>
        <v>373.75</v>
      </c>
      <c r="O55" s="88"/>
    </row>
    <row r="56" ht="15.2" spans="1:15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631.428571428571</v>
      </c>
      <c r="J56" s="84">
        <v>31.5714285714286</v>
      </c>
      <c r="K56" s="74">
        <v>663</v>
      </c>
      <c r="L56" s="86"/>
      <c r="M56" s="85"/>
      <c r="N56" s="85">
        <f t="shared" si="0"/>
        <v>172.9</v>
      </c>
      <c r="O56" s="88"/>
    </row>
    <row r="57" ht="15.2" spans="1:15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1132.85714285714</v>
      </c>
      <c r="J57" s="84">
        <v>56.6428571428571</v>
      </c>
      <c r="K57" s="74">
        <v>1189.5</v>
      </c>
      <c r="L57" s="85"/>
      <c r="M57" s="85"/>
      <c r="N57" s="85">
        <f t="shared" si="0"/>
        <v>280.8</v>
      </c>
      <c r="O57" s="88"/>
    </row>
    <row r="58" ht="15.2" spans="1:15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1108.09523809524</v>
      </c>
      <c r="J58" s="84">
        <v>55.4047619047619</v>
      </c>
      <c r="K58" s="74">
        <v>1163.5</v>
      </c>
      <c r="L58" s="86"/>
      <c r="M58" s="85"/>
      <c r="N58" s="85">
        <f t="shared" si="0"/>
        <v>282.88</v>
      </c>
      <c r="O58" s="88"/>
    </row>
    <row r="59" ht="15.2" spans="1:15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50.4504504504505</v>
      </c>
      <c r="H59" s="77">
        <f t="shared" si="6"/>
        <v>728</v>
      </c>
      <c r="I59" s="84">
        <v>680.952380952381</v>
      </c>
      <c r="J59" s="84">
        <v>34.0476190476191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ht="15.2" spans="1:15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</v>
      </c>
      <c r="H60" s="77">
        <f t="shared" si="6"/>
        <v>904</v>
      </c>
      <c r="I60" s="84">
        <v>876.190476190476</v>
      </c>
      <c r="J60" s="84">
        <v>43.8095238095238</v>
      </c>
      <c r="K60" s="74">
        <v>920</v>
      </c>
      <c r="L60" s="85"/>
      <c r="M60" s="85"/>
      <c r="N60" s="85">
        <f t="shared" si="0"/>
        <v>275.2</v>
      </c>
      <c r="O60" s="88"/>
    </row>
    <row r="61" ht="15.2" spans="1:15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49.6527777777778</v>
      </c>
      <c r="H61" s="81">
        <f t="shared" si="6"/>
        <v>1144</v>
      </c>
      <c r="I61" s="84">
        <v>1104.7619047619</v>
      </c>
      <c r="J61" s="84">
        <v>55.2380952380952</v>
      </c>
      <c r="K61" s="74">
        <v>1160</v>
      </c>
      <c r="L61" s="86"/>
      <c r="M61" s="85"/>
      <c r="N61" s="85">
        <f t="shared" si="0"/>
        <v>424</v>
      </c>
      <c r="O61" s="88"/>
    </row>
    <row r="62" ht="15.2" spans="1:15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</v>
      </c>
      <c r="J62" s="84">
        <v>54.0952380952381</v>
      </c>
      <c r="K62" s="74">
        <v>1136</v>
      </c>
      <c r="L62" s="85"/>
      <c r="M62" s="85"/>
      <c r="N62" s="85">
        <f t="shared" si="0"/>
        <v>296</v>
      </c>
      <c r="O62" s="88"/>
    </row>
    <row r="63" ht="15.2" spans="1:15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</v>
      </c>
      <c r="H63" s="81">
        <f t="shared" si="6"/>
        <v>1072</v>
      </c>
      <c r="I63" s="84">
        <v>1036.19047619048</v>
      </c>
      <c r="J63" s="84">
        <v>51.8095238095238</v>
      </c>
      <c r="K63" s="74">
        <v>1088</v>
      </c>
      <c r="L63" s="86"/>
      <c r="M63" s="85"/>
      <c r="N63" s="85">
        <f t="shared" si="0"/>
        <v>323.2</v>
      </c>
      <c r="O63" s="88"/>
    </row>
    <row r="64" ht="15.2" spans="1:15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</v>
      </c>
      <c r="H64" s="77">
        <f t="shared" si="6"/>
        <v>1168</v>
      </c>
      <c r="I64" s="84">
        <v>1127.61904761905</v>
      </c>
      <c r="J64" s="84">
        <v>56.3809523809524</v>
      </c>
      <c r="K64" s="74">
        <v>1184</v>
      </c>
      <c r="L64" s="85"/>
      <c r="M64" s="85"/>
      <c r="N64" s="85">
        <f t="shared" si="0"/>
        <v>380.8</v>
      </c>
      <c r="O64" s="88"/>
    </row>
    <row r="65" ht="15.2" spans="1:15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</v>
      </c>
      <c r="J65" s="84">
        <v>51.7857142857143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ht="15.2" spans="1:15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69.96996996997</v>
      </c>
      <c r="H66" s="81">
        <f t="shared" si="6"/>
        <v>699</v>
      </c>
      <c r="I66" s="84">
        <v>285.714285714286</v>
      </c>
      <c r="J66" s="84">
        <v>14.2857142857143</v>
      </c>
      <c r="K66" s="74">
        <v>300</v>
      </c>
      <c r="L66" s="86"/>
      <c r="M66" s="85"/>
      <c r="N66" s="85">
        <f t="shared" ref="N66:N129" si="7">K66-(D66*F66)</f>
        <v>-359.34</v>
      </c>
      <c r="O66" s="88"/>
    </row>
    <row r="67" ht="15.2" spans="1:15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69.9666295884316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</v>
      </c>
      <c r="O67" s="88"/>
    </row>
    <row r="68" ht="15.2" spans="1:15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2678.57142857143</v>
      </c>
      <c r="J68" s="84">
        <v>321.428571428571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ht="15.2" spans="1:15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69.9869508481949</v>
      </c>
      <c r="H69" s="81">
        <f t="shared" si="6"/>
        <v>1609</v>
      </c>
      <c r="I69" s="84">
        <v>657.142857142857</v>
      </c>
      <c r="J69" s="84">
        <v>32.8571428571429</v>
      </c>
      <c r="K69" s="74">
        <v>690</v>
      </c>
      <c r="L69" s="86"/>
      <c r="M69" s="85"/>
      <c r="N69" s="85">
        <f t="shared" si="7"/>
        <v>-827.34</v>
      </c>
      <c r="O69" s="88"/>
    </row>
    <row r="70" ht="15.2" spans="1:15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1055.34</v>
      </c>
      <c r="G70" s="82">
        <f t="shared" si="5"/>
        <v>69.9812382739212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-575.34</v>
      </c>
      <c r="O70" s="88"/>
    </row>
    <row r="71" ht="15.2" spans="1:15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69.96996996997</v>
      </c>
      <c r="H71" s="81">
        <f t="shared" si="6"/>
        <v>699</v>
      </c>
      <c r="I71" s="84">
        <v>285.714285714286</v>
      </c>
      <c r="J71" s="84">
        <v>14.2857142857143</v>
      </c>
      <c r="K71" s="74">
        <v>300</v>
      </c>
      <c r="L71" s="86"/>
      <c r="M71" s="85"/>
      <c r="N71" s="85">
        <f t="shared" si="7"/>
        <v>-359.34</v>
      </c>
      <c r="O71" s="88"/>
    </row>
    <row r="72" ht="15.2" spans="1:15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69.9769053117783</v>
      </c>
      <c r="H72" s="77">
        <f t="shared" si="6"/>
        <v>909</v>
      </c>
      <c r="I72" s="84">
        <v>371.428571428571</v>
      </c>
      <c r="J72" s="84">
        <v>18.5714285714286</v>
      </c>
      <c r="K72" s="74">
        <v>390</v>
      </c>
      <c r="L72" s="85"/>
      <c r="M72" s="85">
        <v>1860</v>
      </c>
      <c r="N72" s="85">
        <f t="shared" si="7"/>
        <v>-467.34</v>
      </c>
      <c r="O72" s="88"/>
    </row>
    <row r="73" ht="15.2" spans="1:15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1059.04761904762</v>
      </c>
      <c r="J73" s="84">
        <v>52.952380952381</v>
      </c>
      <c r="K73" s="74">
        <v>1112</v>
      </c>
      <c r="L73" s="85"/>
      <c r="M73" s="85"/>
      <c r="N73" s="85">
        <f t="shared" si="7"/>
        <v>584</v>
      </c>
      <c r="O73" s="88"/>
    </row>
    <row r="74" ht="15.2" spans="1:15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52.1904761904762</v>
      </c>
      <c r="K74" s="74">
        <v>1096</v>
      </c>
      <c r="L74" s="86"/>
      <c r="M74" s="85"/>
      <c r="N74" s="85">
        <f t="shared" si="7"/>
        <v>353.6</v>
      </c>
      <c r="O74" s="88"/>
    </row>
    <row r="75" ht="15.2" spans="1:15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</v>
      </c>
      <c r="H75" s="77">
        <f t="shared" si="6"/>
        <v>896</v>
      </c>
      <c r="I75" s="84">
        <v>868.571428571429</v>
      </c>
      <c r="J75" s="84">
        <v>43.4285714285714</v>
      </c>
      <c r="K75" s="74">
        <v>912</v>
      </c>
      <c r="L75" s="85"/>
      <c r="M75" s="85"/>
      <c r="N75" s="85">
        <f t="shared" si="7"/>
        <v>337.6</v>
      </c>
      <c r="O75" s="88"/>
    </row>
    <row r="76" ht="15.2" spans="1:15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964.285714285714</v>
      </c>
      <c r="J76" s="84">
        <v>48.2142857142857</v>
      </c>
      <c r="K76" s="74">
        <v>1012.5</v>
      </c>
      <c r="L76" s="86"/>
      <c r="M76" s="85"/>
      <c r="N76" s="85">
        <f t="shared" si="7"/>
        <v>310</v>
      </c>
      <c r="O76" s="88"/>
    </row>
    <row r="77" ht="15.2" spans="1:15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47.887323943662</v>
      </c>
      <c r="H77" s="77">
        <f t="shared" si="6"/>
        <v>1632</v>
      </c>
      <c r="I77" s="84">
        <v>1691.42857142857</v>
      </c>
      <c r="J77" s="84">
        <v>84.5714285714286</v>
      </c>
      <c r="K77" s="74">
        <v>1776</v>
      </c>
      <c r="L77" s="85"/>
      <c r="M77" s="85"/>
      <c r="N77" s="85">
        <f t="shared" si="7"/>
        <v>577.2</v>
      </c>
      <c r="O77" s="88"/>
    </row>
    <row r="78" ht="15.2" spans="1:15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36.8571428571429</v>
      </c>
      <c r="K78" s="74">
        <v>774</v>
      </c>
      <c r="L78" s="86">
        <v>0.5</v>
      </c>
      <c r="M78" s="85">
        <v>6683</v>
      </c>
      <c r="N78" s="85">
        <f t="shared" si="7"/>
        <v>283.2</v>
      </c>
      <c r="O78" s="88"/>
    </row>
    <row r="79" ht="15.2" spans="1:15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333.333333333333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ht="15.2" spans="1:15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263.34</v>
      </c>
      <c r="G80" s="82">
        <f t="shared" si="5"/>
        <v>10.0250626566416</v>
      </c>
      <c r="H80" s="77">
        <f t="shared" si="6"/>
        <v>40</v>
      </c>
      <c r="I80" s="84">
        <v>341.904761904762</v>
      </c>
      <c r="J80" s="84">
        <v>17.0952380952381</v>
      </c>
      <c r="K80" s="74">
        <v>359</v>
      </c>
      <c r="L80" s="85"/>
      <c r="M80" s="85">
        <v>709</v>
      </c>
      <c r="N80" s="85">
        <f t="shared" si="7"/>
        <v>95.66</v>
      </c>
      <c r="O80" s="88"/>
    </row>
    <row r="81" ht="15.2" spans="1:15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</v>
      </c>
      <c r="H81" s="77">
        <f t="shared" si="6"/>
        <v>1399</v>
      </c>
      <c r="I81" s="84">
        <v>571.428571428571</v>
      </c>
      <c r="J81" s="84">
        <v>28.5714285714286</v>
      </c>
      <c r="K81" s="74">
        <v>600</v>
      </c>
      <c r="L81" s="85"/>
      <c r="M81" s="74">
        <v>600</v>
      </c>
      <c r="N81" s="85">
        <f t="shared" si="7"/>
        <v>-719.34</v>
      </c>
      <c r="O81" s="88"/>
    </row>
    <row r="82" ht="15.2" spans="1:15">
      <c r="A82" s="73">
        <v>44960</v>
      </c>
      <c r="B82" s="74" t="s">
        <v>161</v>
      </c>
      <c r="C82" s="75" t="s">
        <v>740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2678.57142857143</v>
      </c>
      <c r="J82" s="84">
        <v>321.428571428571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ht="15.2" spans="1:15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</v>
      </c>
      <c r="H83" s="77">
        <f t="shared" si="6"/>
        <v>1568</v>
      </c>
      <c r="I83" s="84">
        <v>685.714285714286</v>
      </c>
      <c r="J83" s="84">
        <v>34.2857142857143</v>
      </c>
      <c r="K83" s="74">
        <v>720</v>
      </c>
      <c r="L83" s="85"/>
      <c r="M83" s="85"/>
      <c r="N83" s="85">
        <f t="shared" si="7"/>
        <v>-120</v>
      </c>
      <c r="O83" s="88"/>
    </row>
    <row r="84" ht="15.2" spans="1:15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</v>
      </c>
      <c r="H84" s="81">
        <f t="shared" si="6"/>
        <v>1220.8</v>
      </c>
      <c r="I84" s="84">
        <v>528.761904761905</v>
      </c>
      <c r="J84" s="84">
        <v>26.4380952380952</v>
      </c>
      <c r="K84" s="74">
        <v>555.2</v>
      </c>
      <c r="L84" s="86"/>
      <c r="M84" s="85"/>
      <c r="N84" s="85">
        <f t="shared" si="7"/>
        <v>-83.2</v>
      </c>
      <c r="O84" s="88"/>
    </row>
    <row r="85" ht="15.2" spans="1:15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</v>
      </c>
      <c r="H85" s="77">
        <f t="shared" si="6"/>
        <v>1049</v>
      </c>
      <c r="I85" s="84">
        <v>428.571428571429</v>
      </c>
      <c r="J85" s="84">
        <v>21.4285714285714</v>
      </c>
      <c r="K85" s="74">
        <v>450</v>
      </c>
      <c r="L85" s="85"/>
      <c r="M85" s="85"/>
      <c r="N85" s="85">
        <f t="shared" si="7"/>
        <v>-539.34</v>
      </c>
      <c r="O85" s="88"/>
    </row>
    <row r="86" ht="15.2" spans="1:15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69.96996996997</v>
      </c>
      <c r="H86" s="81">
        <f t="shared" si="6"/>
        <v>699</v>
      </c>
      <c r="I86" s="84">
        <v>285.714285714286</v>
      </c>
      <c r="J86" s="84">
        <v>14.2857142857143</v>
      </c>
      <c r="K86" s="74">
        <v>300</v>
      </c>
      <c r="L86" s="86">
        <v>-0.2</v>
      </c>
      <c r="M86" s="85">
        <v>2025</v>
      </c>
      <c r="N86" s="85">
        <f t="shared" si="7"/>
        <v>-359.34</v>
      </c>
      <c r="O86" s="88"/>
    </row>
    <row r="87" ht="15.2" spans="1:15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1187.34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</v>
      </c>
      <c r="L87" s="86"/>
      <c r="M87" s="85"/>
      <c r="N87" s="85">
        <f t="shared" si="7"/>
        <v>-647.64</v>
      </c>
      <c r="O87" s="88"/>
    </row>
    <row r="88" ht="15.2" spans="1:15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32.8428571428571</v>
      </c>
      <c r="K88" s="74">
        <v>689.7</v>
      </c>
      <c r="L88" s="85">
        <v>-0.4</v>
      </c>
      <c r="M88" s="85">
        <v>1229</v>
      </c>
      <c r="N88" s="85">
        <f t="shared" si="7"/>
        <v>-827.64</v>
      </c>
      <c r="O88" s="88"/>
    </row>
    <row r="89" ht="15.2" spans="1:15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2385.71428571429</v>
      </c>
      <c r="J89" s="84">
        <v>119.285714285714</v>
      </c>
      <c r="K89" s="74">
        <v>2505</v>
      </c>
      <c r="L89" s="85"/>
      <c r="M89" s="85"/>
      <c r="N89" s="85">
        <f t="shared" si="7"/>
        <v>708</v>
      </c>
      <c r="O89" s="88"/>
    </row>
    <row r="90" ht="15.2" spans="1:15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49.5192307692308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737.1</v>
      </c>
      <c r="O90" s="88"/>
    </row>
    <row r="91" ht="15.2" spans="1:15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64.9899971420406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</v>
      </c>
      <c r="O91" s="88"/>
    </row>
    <row r="92" ht="15.2" spans="1:15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</v>
      </c>
      <c r="O92" s="88"/>
    </row>
    <row r="93" ht="15.2" spans="1:15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998.095238095238</v>
      </c>
      <c r="J93" s="84">
        <v>49.9047619047619</v>
      </c>
      <c r="K93" s="74">
        <v>1048</v>
      </c>
      <c r="L93" s="85"/>
      <c r="M93" s="85"/>
      <c r="N93" s="85">
        <f t="shared" si="7"/>
        <v>249.6</v>
      </c>
      <c r="O93" s="88"/>
    </row>
    <row r="94" ht="15.2" spans="1:15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</v>
      </c>
      <c r="G94" s="82">
        <f t="shared" si="8"/>
        <v>50</v>
      </c>
      <c r="H94" s="81">
        <f t="shared" si="9"/>
        <v>1488</v>
      </c>
      <c r="I94" s="84">
        <v>1417.14285714286</v>
      </c>
      <c r="J94" s="84">
        <v>70.8571428571429</v>
      </c>
      <c r="K94" s="74">
        <v>1488</v>
      </c>
      <c r="L94" s="86"/>
      <c r="M94" s="85"/>
      <c r="N94" s="85">
        <f t="shared" si="7"/>
        <v>459.296</v>
      </c>
      <c r="O94" s="88"/>
    </row>
    <row r="95" ht="15.2" spans="1:15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72.3809523809524</v>
      </c>
      <c r="K95" s="74">
        <v>1520</v>
      </c>
      <c r="L95" s="85"/>
      <c r="M95" s="85"/>
      <c r="N95" s="85">
        <f t="shared" si="7"/>
        <v>491.296</v>
      </c>
      <c r="O95" s="88"/>
    </row>
    <row r="96" ht="15.2" spans="1:15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</v>
      </c>
      <c r="J96" s="84">
        <v>62.4761904761905</v>
      </c>
      <c r="K96" s="74">
        <v>1312</v>
      </c>
      <c r="L96" s="86"/>
      <c r="M96" s="85"/>
      <c r="N96" s="85">
        <f t="shared" si="7"/>
        <v>355.2</v>
      </c>
      <c r="O96" s="88"/>
    </row>
    <row r="97" ht="15.2" spans="1:15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</v>
      </c>
      <c r="J97" s="84">
        <v>34.2857142857143</v>
      </c>
      <c r="K97" s="74">
        <v>720</v>
      </c>
      <c r="L97" s="85"/>
      <c r="M97" s="85">
        <v>6088</v>
      </c>
      <c r="N97" s="85">
        <f t="shared" si="7"/>
        <v>230.4</v>
      </c>
      <c r="O97" s="88"/>
    </row>
    <row r="98" ht="15.2" spans="1:15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634.285714285714</v>
      </c>
      <c r="J98" s="84">
        <v>31.7142857142857</v>
      </c>
      <c r="K98" s="74">
        <v>666</v>
      </c>
      <c r="L98" s="85"/>
      <c r="M98" s="85"/>
      <c r="N98" s="85">
        <f t="shared" si="7"/>
        <v>187.2</v>
      </c>
      <c r="O98" s="88"/>
    </row>
    <row r="99" ht="15.2" spans="1:15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</v>
      </c>
      <c r="O99" s="88"/>
    </row>
    <row r="100" ht="15.2" spans="1:15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50.4504504504505</v>
      </c>
      <c r="H100" s="77">
        <f t="shared" si="9"/>
        <v>2016</v>
      </c>
      <c r="I100" s="84">
        <v>1885.71428571429</v>
      </c>
      <c r="J100" s="84">
        <v>94.2857142857143</v>
      </c>
      <c r="K100" s="74">
        <v>1980</v>
      </c>
      <c r="L100" s="85"/>
      <c r="M100" s="85"/>
      <c r="N100" s="85">
        <f t="shared" si="7"/>
        <v>450</v>
      </c>
      <c r="O100" s="88"/>
    </row>
    <row r="101" ht="15.2" spans="1:15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49.5192307692308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294.84</v>
      </c>
      <c r="O101" s="88"/>
    </row>
    <row r="102" ht="15.2" spans="1:15">
      <c r="A102" s="73">
        <v>44961</v>
      </c>
      <c r="B102" s="76" t="s">
        <v>178</v>
      </c>
      <c r="C102" s="75" t="s">
        <v>179</v>
      </c>
      <c r="D102" s="76">
        <v>2.2</v>
      </c>
      <c r="E102" s="74">
        <v>4398</v>
      </c>
      <c r="F102" s="76">
        <v>907</v>
      </c>
      <c r="G102" s="82">
        <f t="shared" si="8"/>
        <v>75.7534416470296</v>
      </c>
      <c r="H102" s="81">
        <f t="shared" si="9"/>
        <v>7329.6</v>
      </c>
      <c r="I102" s="84">
        <v>2234.28571428571</v>
      </c>
      <c r="J102" s="84">
        <v>111.714285714286</v>
      </c>
      <c r="K102" s="77">
        <v>2346</v>
      </c>
      <c r="L102" s="86"/>
      <c r="M102" s="85">
        <v>2346</v>
      </c>
      <c r="N102" s="85">
        <f t="shared" si="7"/>
        <v>350.6</v>
      </c>
      <c r="O102" s="88"/>
    </row>
    <row r="103" ht="15.2" spans="1:15">
      <c r="A103" s="73">
        <v>44963</v>
      </c>
      <c r="B103" s="76" t="s">
        <v>180</v>
      </c>
      <c r="C103" s="75" t="s">
        <v>741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</v>
      </c>
      <c r="J103" s="84">
        <v>3.35597283260088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ht="15.2" spans="1:15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1318.09523809524</v>
      </c>
      <c r="J104" s="84">
        <v>65.9047619047619</v>
      </c>
      <c r="K104" s="74">
        <v>1384</v>
      </c>
      <c r="L104" s="86"/>
      <c r="M104" s="85"/>
      <c r="N104" s="85">
        <f t="shared" si="7"/>
        <v>481.6</v>
      </c>
      <c r="O104" s="88"/>
    </row>
    <row r="105" ht="15.2" spans="1:15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</v>
      </c>
      <c r="J105" s="84">
        <v>22.2857142857143</v>
      </c>
      <c r="K105" s="74">
        <v>468</v>
      </c>
      <c r="L105" s="85"/>
      <c r="M105" s="85"/>
      <c r="N105" s="85">
        <f t="shared" si="7"/>
        <v>109.2</v>
      </c>
      <c r="O105" s="88"/>
    </row>
    <row r="106" ht="15.2" spans="1:15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ht="15.2" spans="1:15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69.9869508481949</v>
      </c>
      <c r="H107" s="77">
        <f t="shared" si="9"/>
        <v>1609</v>
      </c>
      <c r="I107" s="84">
        <v>657.142857142857</v>
      </c>
      <c r="J107" s="84">
        <v>32.8571428571429</v>
      </c>
      <c r="K107" s="74">
        <v>690</v>
      </c>
      <c r="L107" s="85"/>
      <c r="M107" s="85"/>
      <c r="N107" s="85">
        <f t="shared" si="7"/>
        <v>-827.34</v>
      </c>
      <c r="O107" s="88"/>
    </row>
    <row r="108" ht="15.2" spans="1:15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</v>
      </c>
      <c r="H108" s="81">
        <f t="shared" si="9"/>
        <v>1399</v>
      </c>
      <c r="I108" s="84">
        <v>571.428571428571</v>
      </c>
      <c r="J108" s="84">
        <v>28.5714285714286</v>
      </c>
      <c r="K108" s="74">
        <v>600</v>
      </c>
      <c r="L108" s="86"/>
      <c r="M108" s="85"/>
      <c r="N108" s="85">
        <f t="shared" si="7"/>
        <v>-719.34</v>
      </c>
      <c r="O108" s="88"/>
    </row>
    <row r="109" ht="15.2" spans="1:15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69.9916643512087</v>
      </c>
      <c r="H109" s="77">
        <f t="shared" si="9"/>
        <v>2519</v>
      </c>
      <c r="I109" s="84">
        <v>964.285714285714</v>
      </c>
      <c r="J109" s="84">
        <v>115.714285714286</v>
      </c>
      <c r="K109" s="74">
        <v>1080</v>
      </c>
      <c r="L109" s="85"/>
      <c r="M109" s="85">
        <v>4810</v>
      </c>
      <c r="N109" s="85">
        <f t="shared" si="7"/>
        <v>-1295.34</v>
      </c>
      <c r="O109" s="88"/>
    </row>
    <row r="110" ht="15.2" spans="1:15">
      <c r="A110" s="73">
        <v>44963</v>
      </c>
      <c r="B110" s="74" t="s">
        <v>183</v>
      </c>
      <c r="C110" s="75" t="s">
        <v>184</v>
      </c>
      <c r="D110" s="74">
        <v>2.2</v>
      </c>
      <c r="E110" s="74">
        <v>830</v>
      </c>
      <c r="F110" s="74">
        <v>283</v>
      </c>
      <c r="G110" s="82">
        <f t="shared" si="8"/>
        <v>50</v>
      </c>
      <c r="H110" s="77">
        <f t="shared" si="9"/>
        <v>913</v>
      </c>
      <c r="I110" s="84">
        <v>869.52380952381</v>
      </c>
      <c r="J110" s="84">
        <v>43.4761904761905</v>
      </c>
      <c r="K110" s="77">
        <v>913</v>
      </c>
      <c r="L110" s="85"/>
      <c r="M110" s="85">
        <v>913</v>
      </c>
      <c r="N110" s="85">
        <f t="shared" si="7"/>
        <v>290.4</v>
      </c>
      <c r="O110" s="88"/>
    </row>
    <row r="111" ht="15.2" spans="1:15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45.1219512195122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ht="15.2" spans="1:15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48.9795918367347</v>
      </c>
      <c r="H112" s="81">
        <f t="shared" si="9"/>
        <v>576</v>
      </c>
      <c r="I112" s="84">
        <v>571.428571428571</v>
      </c>
      <c r="J112" s="84">
        <v>28.5714285714286</v>
      </c>
      <c r="K112" s="74">
        <v>600</v>
      </c>
      <c r="L112" s="86"/>
      <c r="M112" s="85"/>
      <c r="N112" s="85">
        <f t="shared" si="7"/>
        <v>178.8</v>
      </c>
      <c r="O112" s="88"/>
    </row>
    <row r="113" ht="15.2" spans="1:15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</v>
      </c>
      <c r="G113" s="82">
        <f t="shared" si="8"/>
        <v>50</v>
      </c>
      <c r="H113" s="77">
        <f t="shared" si="9"/>
        <v>760</v>
      </c>
      <c r="I113" s="84">
        <v>723.809523809524</v>
      </c>
      <c r="J113" s="84">
        <v>36.1904761904762</v>
      </c>
      <c r="K113" s="74">
        <v>760</v>
      </c>
      <c r="L113" s="85"/>
      <c r="M113" s="85"/>
      <c r="N113" s="85">
        <f t="shared" si="7"/>
        <v>245.648</v>
      </c>
      <c r="O113" s="88"/>
    </row>
    <row r="114" ht="15.2" spans="1:15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</v>
      </c>
      <c r="H114" s="81">
        <f t="shared" si="9"/>
        <v>1168</v>
      </c>
      <c r="I114" s="84">
        <v>1127.61904761905</v>
      </c>
      <c r="J114" s="84">
        <v>56.3809523809524</v>
      </c>
      <c r="K114" s="74">
        <v>1184</v>
      </c>
      <c r="L114" s="86"/>
      <c r="M114" s="85"/>
      <c r="N114" s="85">
        <f t="shared" si="7"/>
        <v>380.8</v>
      </c>
      <c r="O114" s="88"/>
    </row>
    <row r="115" ht="15.2" spans="1:15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860.952380952381</v>
      </c>
      <c r="J115" s="84">
        <v>43.0476190476191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ht="15.2" spans="1:15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1274.28571428571</v>
      </c>
      <c r="J116" s="84">
        <v>63.7142857142857</v>
      </c>
      <c r="K116" s="74">
        <v>1338</v>
      </c>
      <c r="L116" s="85"/>
      <c r="M116" s="85"/>
      <c r="N116" s="85">
        <f t="shared" si="7"/>
        <v>495.6</v>
      </c>
      <c r="O116" s="88"/>
    </row>
    <row r="117" ht="15.2" spans="1:15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</v>
      </c>
      <c r="H117" s="81">
        <f t="shared" si="9"/>
        <v>896</v>
      </c>
      <c r="I117" s="84">
        <v>868.571428571429</v>
      </c>
      <c r="J117" s="84">
        <v>43.4285714285714</v>
      </c>
      <c r="K117" s="74">
        <v>912</v>
      </c>
      <c r="L117" s="86"/>
      <c r="M117" s="85"/>
      <c r="N117" s="85">
        <f t="shared" si="7"/>
        <v>337.6</v>
      </c>
      <c r="O117" s="88"/>
    </row>
    <row r="118" ht="15.2" spans="1:15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1121.34</v>
      </c>
      <c r="G118" s="82">
        <f t="shared" si="8"/>
        <v>69.9823425544438</v>
      </c>
      <c r="H118" s="77">
        <f t="shared" si="9"/>
        <v>1189</v>
      </c>
      <c r="I118" s="84">
        <v>485.714285714286</v>
      </c>
      <c r="J118" s="84">
        <v>24.2857142857143</v>
      </c>
      <c r="K118" s="74">
        <v>510</v>
      </c>
      <c r="L118" s="85"/>
      <c r="M118" s="85">
        <v>2760</v>
      </c>
      <c r="N118" s="85">
        <f t="shared" si="7"/>
        <v>-611.34</v>
      </c>
      <c r="O118" s="88"/>
    </row>
    <row r="119" ht="15.2" spans="1:15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-1007.34</v>
      </c>
      <c r="O119" s="88"/>
    </row>
    <row r="120" ht="15.2" spans="1:15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133.2</v>
      </c>
      <c r="O120" s="88"/>
    </row>
    <row r="121" ht="15.2" spans="1:15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ht="15.2" spans="1:15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64.9847759895607</v>
      </c>
      <c r="H122" s="81">
        <f t="shared" si="9"/>
        <v>1494</v>
      </c>
      <c r="I122" s="84">
        <v>766.666666666667</v>
      </c>
      <c r="J122" s="84">
        <v>38.3333333333333</v>
      </c>
      <c r="K122" s="74">
        <v>805</v>
      </c>
      <c r="L122" s="86"/>
      <c r="M122" s="85"/>
      <c r="N122" s="85">
        <f t="shared" si="7"/>
        <v>-712.34</v>
      </c>
      <c r="O122" s="88"/>
    </row>
    <row r="123" ht="15.2" spans="1:15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-650.34</v>
      </c>
      <c r="O123" s="88"/>
    </row>
    <row r="124" ht="15.2" spans="1:15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</v>
      </c>
      <c r="H124" s="81">
        <f t="shared" si="9"/>
        <v>1819</v>
      </c>
      <c r="I124" s="84">
        <v>933.333333333333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-867.34</v>
      </c>
      <c r="O124" s="88"/>
    </row>
    <row r="125" ht="15.2" spans="1:15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ht="15.2" spans="1:15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</v>
      </c>
      <c r="H126" s="77">
        <f t="shared" ref="H126:H157" si="12">D126*E126-K126</f>
        <v>488</v>
      </c>
      <c r="I126" s="84">
        <v>472.380952380952</v>
      </c>
      <c r="J126" s="84">
        <v>23.6190476190476</v>
      </c>
      <c r="K126" s="77">
        <v>496</v>
      </c>
      <c r="L126" s="85"/>
      <c r="M126" s="85">
        <v>1732</v>
      </c>
      <c r="N126" s="85">
        <f t="shared" si="7"/>
        <v>137.2</v>
      </c>
      <c r="O126" s="88"/>
    </row>
    <row r="127" ht="15.2" spans="1:15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</v>
      </c>
      <c r="L127" s="85"/>
      <c r="M127" s="85"/>
      <c r="N127" s="85">
        <f t="shared" si="7"/>
        <v>-719.64</v>
      </c>
      <c r="O127" s="88"/>
    </row>
    <row r="128" ht="15.2" spans="1:15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1055.34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22.8428571428571</v>
      </c>
      <c r="K128" s="77">
        <v>479.7</v>
      </c>
      <c r="L128" s="86">
        <v>-0.4</v>
      </c>
      <c r="M128" s="85">
        <v>1079</v>
      </c>
      <c r="N128" s="85">
        <f t="shared" si="7"/>
        <v>-575.64</v>
      </c>
      <c r="O128" s="88"/>
    </row>
    <row r="129" ht="15.2" spans="1:15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49.9874968742186</v>
      </c>
      <c r="H129" s="81">
        <f t="shared" si="12"/>
        <v>999.5</v>
      </c>
      <c r="I129" s="84">
        <v>952.380952380952</v>
      </c>
      <c r="J129" s="84">
        <v>47.6190476190476</v>
      </c>
      <c r="K129" s="74">
        <v>1000</v>
      </c>
      <c r="L129" s="86"/>
      <c r="M129" s="85"/>
      <c r="N129" s="85">
        <f t="shared" si="7"/>
        <v>366.05</v>
      </c>
      <c r="O129" s="88"/>
    </row>
    <row r="130" ht="15.2" spans="1:15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</v>
      </c>
      <c r="J130" s="84">
        <v>138.571428571429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ht="15.2" spans="1:15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49.5192307692308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294.84</v>
      </c>
      <c r="O131" s="88"/>
    </row>
    <row r="132" ht="15.2" spans="1:15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</v>
      </c>
      <c r="O132" s="88"/>
    </row>
    <row r="133" ht="15.2" spans="1:15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</v>
      </c>
      <c r="O133" s="88"/>
    </row>
    <row r="134" ht="15.2" spans="1:15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</v>
      </c>
      <c r="H134" s="77">
        <f t="shared" si="12"/>
        <v>1749</v>
      </c>
      <c r="I134" s="84">
        <v>714.285714285714</v>
      </c>
      <c r="J134" s="84">
        <v>35.7142857142857</v>
      </c>
      <c r="K134" s="74">
        <v>750</v>
      </c>
      <c r="L134" s="85"/>
      <c r="M134" s="85"/>
      <c r="N134" s="85">
        <f t="shared" si="13"/>
        <v>-899.34</v>
      </c>
      <c r="O134" s="88"/>
    </row>
    <row r="135" ht="15.2" spans="1:15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</v>
      </c>
      <c r="H135" s="81">
        <f t="shared" si="12"/>
        <v>1679</v>
      </c>
      <c r="I135" s="84">
        <v>685.714285714286</v>
      </c>
      <c r="J135" s="84">
        <v>34.2857142857143</v>
      </c>
      <c r="K135" s="74">
        <v>720</v>
      </c>
      <c r="L135" s="86"/>
      <c r="M135" s="85"/>
      <c r="N135" s="85">
        <f t="shared" si="13"/>
        <v>-863.34</v>
      </c>
      <c r="O135" s="88"/>
    </row>
    <row r="136" ht="15.2" spans="1:15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1187.34</v>
      </c>
      <c r="G136" s="82">
        <f t="shared" si="11"/>
        <v>69.9833240689272</v>
      </c>
      <c r="H136" s="77">
        <f t="shared" si="12"/>
        <v>1259</v>
      </c>
      <c r="I136" s="84">
        <v>514.285714285714</v>
      </c>
      <c r="J136" s="84">
        <v>25.7142857142857</v>
      </c>
      <c r="K136" s="74">
        <v>540</v>
      </c>
      <c r="L136" s="85"/>
      <c r="M136" s="85"/>
      <c r="N136" s="85">
        <f t="shared" si="13"/>
        <v>-647.34</v>
      </c>
      <c r="O136" s="88"/>
    </row>
    <row r="137" ht="15.2" spans="1:15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1187.34</v>
      </c>
      <c r="G137" s="82">
        <f t="shared" si="11"/>
        <v>69.9833240689272</v>
      </c>
      <c r="H137" s="81">
        <f t="shared" si="12"/>
        <v>1259</v>
      </c>
      <c r="I137" s="84">
        <v>514.285714285714</v>
      </c>
      <c r="J137" s="84">
        <v>25.7142857142857</v>
      </c>
      <c r="K137" s="74">
        <v>540</v>
      </c>
      <c r="L137" s="86"/>
      <c r="M137" s="85"/>
      <c r="N137" s="85">
        <f t="shared" si="13"/>
        <v>-647.34</v>
      </c>
      <c r="O137" s="88"/>
    </row>
    <row r="138" ht="15.2" spans="1:15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1253.34</v>
      </c>
      <c r="G138" s="82">
        <f t="shared" si="11"/>
        <v>69.9842022116904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-683.34</v>
      </c>
      <c r="O138" s="88"/>
    </row>
    <row r="139" ht="15.2" spans="1:15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42.8571428571429</v>
      </c>
      <c r="K139" s="74">
        <v>900</v>
      </c>
      <c r="L139" s="85"/>
      <c r="M139" s="85"/>
      <c r="N139" s="85">
        <f t="shared" si="13"/>
        <v>252</v>
      </c>
      <c r="O139" s="88"/>
    </row>
    <row r="140" ht="15.2" spans="1:15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42.8571428571429</v>
      </c>
      <c r="K140" s="74">
        <v>900</v>
      </c>
      <c r="L140" s="86"/>
      <c r="M140" s="85"/>
      <c r="N140" s="85">
        <f t="shared" si="13"/>
        <v>264.6</v>
      </c>
      <c r="O140" s="88"/>
    </row>
    <row r="141" ht="15.2" spans="1:15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</v>
      </c>
      <c r="K141" s="74">
        <v>738</v>
      </c>
      <c r="L141" s="85"/>
      <c r="M141" s="85"/>
      <c r="N141" s="85">
        <f t="shared" si="13"/>
        <v>199.8</v>
      </c>
      <c r="O141" s="88"/>
    </row>
    <row r="142" ht="15.2" spans="1:15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62.5714285714286</v>
      </c>
      <c r="K142" s="74">
        <v>1314</v>
      </c>
      <c r="L142" s="86"/>
      <c r="M142" s="85"/>
      <c r="N142" s="85">
        <f t="shared" si="13"/>
        <v>369</v>
      </c>
      <c r="O142" s="88"/>
    </row>
    <row r="143" ht="15.2" spans="1:15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</v>
      </c>
      <c r="J143" s="84">
        <v>27.4285714285714</v>
      </c>
      <c r="K143" s="74">
        <v>576</v>
      </c>
      <c r="L143" s="85"/>
      <c r="M143" s="85"/>
      <c r="N143" s="85">
        <f t="shared" si="13"/>
        <v>157.2</v>
      </c>
      <c r="O143" s="88"/>
    </row>
    <row r="144" ht="15.2" spans="1:15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</v>
      </c>
      <c r="H144" s="81">
        <f t="shared" si="12"/>
        <v>1299</v>
      </c>
      <c r="I144" s="84">
        <v>666.666666666667</v>
      </c>
      <c r="J144" s="84">
        <v>33.3333333333333</v>
      </c>
      <c r="K144" s="74">
        <v>700</v>
      </c>
      <c r="L144" s="86"/>
      <c r="M144" s="85"/>
      <c r="N144" s="85">
        <f t="shared" si="13"/>
        <v>-619.34</v>
      </c>
      <c r="O144" s="88"/>
    </row>
    <row r="145" ht="15.2" spans="1:15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64.9499284692418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-216.34</v>
      </c>
      <c r="O145" s="88"/>
    </row>
    <row r="146" ht="15.2" spans="1:15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64.964964964965</v>
      </c>
      <c r="H146" s="81">
        <f t="shared" si="12"/>
        <v>649</v>
      </c>
      <c r="I146" s="84">
        <v>333.333333333333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</v>
      </c>
      <c r="O146" s="88"/>
    </row>
    <row r="147" ht="15.2" spans="1:15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</v>
      </c>
      <c r="H147" s="81">
        <f t="shared" si="12"/>
        <v>1299</v>
      </c>
      <c r="I147" s="84">
        <v>666.666666666667</v>
      </c>
      <c r="J147" s="84">
        <v>33.3333333333333</v>
      </c>
      <c r="K147" s="74">
        <v>700</v>
      </c>
      <c r="L147" s="86"/>
      <c r="M147" s="85"/>
      <c r="N147" s="85">
        <f t="shared" si="13"/>
        <v>-619.34</v>
      </c>
      <c r="O147" s="88"/>
    </row>
    <row r="148" ht="15.2" spans="1:15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64.9847759895607</v>
      </c>
      <c r="H148" s="77">
        <f t="shared" si="12"/>
        <v>1494</v>
      </c>
      <c r="I148" s="84">
        <v>766.666666666667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-712.34</v>
      </c>
      <c r="O148" s="88"/>
    </row>
    <row r="149" ht="15.2" spans="1:15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42.8571428571429</v>
      </c>
      <c r="K149" s="74">
        <v>900</v>
      </c>
      <c r="L149" s="85"/>
      <c r="M149" s="85"/>
      <c r="N149" s="85">
        <f t="shared" si="13"/>
        <v>252</v>
      </c>
      <c r="O149" s="88"/>
    </row>
    <row r="150" ht="15.2" spans="1:15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</v>
      </c>
      <c r="H150" s="81">
        <f t="shared" si="12"/>
        <v>514.5</v>
      </c>
      <c r="I150" s="84">
        <v>490.47619047619</v>
      </c>
      <c r="J150" s="84">
        <v>24.5238095238095</v>
      </c>
      <c r="K150" s="74">
        <v>515</v>
      </c>
      <c r="L150" s="86"/>
      <c r="M150" s="85">
        <v>1415</v>
      </c>
      <c r="N150" s="85">
        <f t="shared" si="13"/>
        <v>104.65</v>
      </c>
      <c r="O150" s="88"/>
    </row>
    <row r="151" ht="15.2" spans="1:15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69.9857074797523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-755.34</v>
      </c>
      <c r="O151" s="88"/>
    </row>
    <row r="152" ht="15.2" spans="1:15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69.9857074797523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-755.34</v>
      </c>
      <c r="O152" s="88"/>
    </row>
    <row r="153" ht="15.2" spans="1:15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</v>
      </c>
      <c r="O153" s="88"/>
    </row>
    <row r="154" ht="15.2" spans="1:15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</v>
      </c>
      <c r="O154" s="88"/>
    </row>
    <row r="155" ht="15.2" spans="1:15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1253.34</v>
      </c>
      <c r="G155" s="82">
        <f t="shared" si="11"/>
        <v>69.9842022116904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-683.34</v>
      </c>
      <c r="O155" s="88"/>
    </row>
    <row r="156" ht="15.2" spans="1:15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1253.34</v>
      </c>
      <c r="G156" s="82">
        <f t="shared" si="11"/>
        <v>69.9842022116904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-683.34</v>
      </c>
      <c r="O156" s="88"/>
    </row>
    <row r="157" ht="15.2" spans="1:15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</v>
      </c>
      <c r="H157" s="81">
        <f t="shared" si="12"/>
        <v>1399</v>
      </c>
      <c r="I157" s="84">
        <v>571.428571428571</v>
      </c>
      <c r="J157" s="84">
        <v>28.5714285714286</v>
      </c>
      <c r="K157" s="74">
        <v>600</v>
      </c>
      <c r="L157" s="86"/>
      <c r="M157" s="85">
        <v>3840</v>
      </c>
      <c r="N157" s="85">
        <f t="shared" si="13"/>
        <v>-719.34</v>
      </c>
      <c r="O157" s="88"/>
    </row>
    <row r="158" ht="15.2" spans="1:15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</v>
      </c>
      <c r="H158" s="81">
        <f t="shared" ref="H158:H189" si="15">D158*E158-K158</f>
        <v>2112</v>
      </c>
      <c r="I158" s="84">
        <v>2036.19047619048</v>
      </c>
      <c r="J158" s="84">
        <v>101.809523809524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ht="15.2" spans="1:15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50</v>
      </c>
      <c r="H159" s="81">
        <f t="shared" si="15"/>
        <v>1015</v>
      </c>
      <c r="I159" s="84">
        <v>966.666666666667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ht="15.2" spans="1:15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ht="15.2" spans="1:15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66.6666666666667</v>
      </c>
      <c r="H161" s="81">
        <f t="shared" si="15"/>
        <v>1200</v>
      </c>
      <c r="I161" s="84">
        <v>571.428571428571</v>
      </c>
      <c r="J161" s="84">
        <v>28.5714285714286</v>
      </c>
      <c r="K161" s="74">
        <v>600</v>
      </c>
      <c r="L161" s="86"/>
      <c r="M161" s="85"/>
      <c r="N161" s="85">
        <f t="shared" si="13"/>
        <v>24</v>
      </c>
      <c r="O161" s="88"/>
    </row>
    <row r="162" ht="15.2" spans="1:15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</v>
      </c>
      <c r="H162" s="77">
        <f t="shared" si="15"/>
        <v>1399</v>
      </c>
      <c r="I162" s="84">
        <v>571.428571428571</v>
      </c>
      <c r="J162" s="84">
        <v>28.5714285714286</v>
      </c>
      <c r="K162" s="74">
        <v>600</v>
      </c>
      <c r="L162" s="85"/>
      <c r="M162" s="85"/>
      <c r="N162" s="85">
        <f t="shared" si="13"/>
        <v>-719.34</v>
      </c>
      <c r="O162" s="88"/>
    </row>
    <row r="163" ht="15.2" spans="1:15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1187.34</v>
      </c>
      <c r="G163" s="82">
        <f t="shared" si="14"/>
        <v>69.9833240689272</v>
      </c>
      <c r="H163" s="81">
        <f t="shared" si="15"/>
        <v>1259</v>
      </c>
      <c r="I163" s="84">
        <v>514.285714285714</v>
      </c>
      <c r="J163" s="84">
        <v>25.7142857142857</v>
      </c>
      <c r="K163" s="74">
        <v>540</v>
      </c>
      <c r="L163" s="86"/>
      <c r="M163" s="85"/>
      <c r="N163" s="85">
        <f t="shared" si="13"/>
        <v>-647.34</v>
      </c>
      <c r="O163" s="88"/>
    </row>
    <row r="164" ht="15.2" spans="1:15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69.9857074797523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-1510.68</v>
      </c>
      <c r="O164" s="88"/>
    </row>
    <row r="165" ht="15.2" spans="1:15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53.2710280373832</v>
      </c>
      <c r="H165" s="77">
        <f t="shared" si="15"/>
        <v>684</v>
      </c>
      <c r="I165" s="84">
        <v>571.428571428571</v>
      </c>
      <c r="J165" s="84">
        <v>28.5714285714286</v>
      </c>
      <c r="K165" s="74">
        <v>600</v>
      </c>
      <c r="L165" s="85"/>
      <c r="M165" s="85"/>
      <c r="N165" s="85">
        <f t="shared" si="13"/>
        <v>97.08</v>
      </c>
      <c r="O165" s="88"/>
    </row>
    <row r="166" ht="15.2" spans="1:15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540.952380952381</v>
      </c>
      <c r="J166" s="84">
        <v>27.0476190476191</v>
      </c>
      <c r="K166" s="74">
        <v>568</v>
      </c>
      <c r="L166" s="86"/>
      <c r="M166" s="85"/>
      <c r="N166" s="85">
        <f t="shared" si="13"/>
        <v>115.2</v>
      </c>
      <c r="O166" s="88"/>
    </row>
    <row r="167" ht="15.2" spans="1:15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ht="15.2" spans="1:15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</v>
      </c>
      <c r="O168" s="88"/>
    </row>
    <row r="169" ht="15.2" spans="1:15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ht="15.2" spans="1:15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</v>
      </c>
      <c r="O170" s="88"/>
    </row>
    <row r="171" ht="15.2" spans="1:15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</v>
      </c>
      <c r="H171" s="81">
        <f t="shared" si="15"/>
        <v>1049</v>
      </c>
      <c r="I171" s="84">
        <v>428.571428571429</v>
      </c>
      <c r="J171" s="84">
        <v>21.4285714285714</v>
      </c>
      <c r="K171" s="74">
        <v>450</v>
      </c>
      <c r="L171" s="86"/>
      <c r="M171" s="85"/>
      <c r="N171" s="85">
        <f t="shared" si="13"/>
        <v>-539.34</v>
      </c>
      <c r="O171" s="88"/>
    </row>
    <row r="172" ht="15.2" spans="1:15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</v>
      </c>
      <c r="H172" s="77">
        <f t="shared" si="15"/>
        <v>1049</v>
      </c>
      <c r="I172" s="84">
        <v>428.571428571429</v>
      </c>
      <c r="J172" s="84">
        <v>21.4285714285714</v>
      </c>
      <c r="K172" s="74">
        <v>450</v>
      </c>
      <c r="L172" s="85"/>
      <c r="M172" s="85"/>
      <c r="N172" s="85">
        <f t="shared" si="13"/>
        <v>-539.34</v>
      </c>
      <c r="O172" s="88"/>
    </row>
    <row r="173" ht="15.2" spans="1:15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69.9769053117783</v>
      </c>
      <c r="H173" s="81">
        <f t="shared" si="15"/>
        <v>909</v>
      </c>
      <c r="I173" s="84">
        <v>371.428571428571</v>
      </c>
      <c r="J173" s="84">
        <v>18.5714285714286</v>
      </c>
      <c r="K173" s="74">
        <v>390</v>
      </c>
      <c r="L173" s="86"/>
      <c r="M173" s="85">
        <v>1710</v>
      </c>
      <c r="N173" s="85">
        <f t="shared" si="13"/>
        <v>-467.34</v>
      </c>
      <c r="O173" s="88"/>
    </row>
    <row r="174" ht="15.2" spans="1:15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69.9869508481949</v>
      </c>
      <c r="H174" s="81">
        <f t="shared" si="15"/>
        <v>1609</v>
      </c>
      <c r="I174" s="84">
        <v>657.142857142857</v>
      </c>
      <c r="J174" s="84">
        <v>32.8571428571429</v>
      </c>
      <c r="K174" s="74">
        <v>690</v>
      </c>
      <c r="L174" s="86"/>
      <c r="M174" s="85"/>
      <c r="N174" s="85">
        <f t="shared" si="13"/>
        <v>-827.34</v>
      </c>
      <c r="O174" s="88"/>
    </row>
    <row r="175" ht="15.2" spans="1:15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</v>
      </c>
      <c r="H175" s="77">
        <f t="shared" si="15"/>
        <v>1399</v>
      </c>
      <c r="I175" s="84">
        <v>571.428571428571</v>
      </c>
      <c r="J175" s="84">
        <v>28.5714285714286</v>
      </c>
      <c r="K175" s="74">
        <v>600</v>
      </c>
      <c r="L175" s="85"/>
      <c r="M175" s="85"/>
      <c r="N175" s="85">
        <f t="shared" si="13"/>
        <v>-719.34</v>
      </c>
      <c r="O175" s="88"/>
    </row>
    <row r="176" ht="15.2" spans="1:15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</v>
      </c>
      <c r="H176" s="81">
        <f t="shared" si="15"/>
        <v>1937</v>
      </c>
      <c r="I176" s="84">
        <v>1845.71428571429</v>
      </c>
      <c r="J176" s="84">
        <v>92.2857142857143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742</v>
      </c>
    </row>
    <row r="177" ht="15.2" spans="1:15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</v>
      </c>
      <c r="H177" s="81">
        <f t="shared" si="15"/>
        <v>4499</v>
      </c>
      <c r="I177" s="84">
        <v>1339.28571428571</v>
      </c>
      <c r="J177" s="84">
        <v>160.714285714286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ht="15.2" spans="1:15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</v>
      </c>
      <c r="J178" s="84">
        <v>41.6666666666667</v>
      </c>
      <c r="K178" s="74">
        <v>875</v>
      </c>
      <c r="L178" s="86"/>
      <c r="M178" s="85"/>
      <c r="N178" s="85">
        <f t="shared" si="13"/>
        <v>-774.34</v>
      </c>
      <c r="O178" s="88"/>
    </row>
    <row r="179" ht="15.2" spans="1:15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1187.34</v>
      </c>
      <c r="G179" s="82">
        <f t="shared" si="14"/>
        <v>64.9805447470817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-557.34</v>
      </c>
      <c r="O179" s="88"/>
    </row>
    <row r="180" ht="15.2" spans="1:15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40.3440161734001</v>
      </c>
      <c r="H180" s="77">
        <f t="shared" si="15"/>
        <v>3043.25</v>
      </c>
      <c r="I180" s="84">
        <v>4285.71428571429</v>
      </c>
      <c r="J180" s="84">
        <v>214.285714285714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ht="15.2" spans="1:15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</v>
      </c>
      <c r="H181" s="77">
        <f t="shared" si="15"/>
        <v>2169</v>
      </c>
      <c r="I181" s="84">
        <v>885.714285714286</v>
      </c>
      <c r="J181" s="84">
        <v>44.2857142857143</v>
      </c>
      <c r="K181" s="77">
        <v>930</v>
      </c>
      <c r="L181" s="85"/>
      <c r="M181" s="85">
        <v>930</v>
      </c>
      <c r="N181" s="85">
        <f t="shared" si="13"/>
        <v>-1115.34</v>
      </c>
      <c r="O181" s="88"/>
    </row>
    <row r="182" ht="15.2" spans="1:15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</v>
      </c>
      <c r="H182" s="77">
        <f t="shared" si="15"/>
        <v>3323</v>
      </c>
      <c r="I182" s="84">
        <v>452.380952380952</v>
      </c>
      <c r="J182" s="84">
        <v>22.6190476190476</v>
      </c>
      <c r="K182" s="77">
        <v>475</v>
      </c>
      <c r="L182" s="85"/>
      <c r="M182" s="85"/>
      <c r="N182" s="85">
        <f t="shared" si="13"/>
        <v>-644.05</v>
      </c>
      <c r="O182" s="88"/>
    </row>
    <row r="183" ht="15.2" spans="1:15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74.9924219460443</v>
      </c>
      <c r="H183" s="81">
        <f t="shared" si="15"/>
        <v>2474</v>
      </c>
      <c r="I183" s="84">
        <v>785.714285714286</v>
      </c>
      <c r="J183" s="84">
        <v>39.2857142857143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ht="15.2" spans="1:15">
      <c r="A184" s="73">
        <v>44966</v>
      </c>
      <c r="B184" s="76" t="s">
        <v>234</v>
      </c>
      <c r="C184" s="75" t="s">
        <v>235</v>
      </c>
      <c r="D184" s="76">
        <v>2.2</v>
      </c>
      <c r="E184" s="74">
        <v>6080</v>
      </c>
      <c r="F184" s="76">
        <v>996.6</v>
      </c>
      <c r="G184" s="82">
        <f t="shared" si="14"/>
        <v>75.6803229665072</v>
      </c>
      <c r="H184" s="81">
        <f t="shared" si="15"/>
        <v>10123</v>
      </c>
      <c r="I184" s="84">
        <v>3098.09523809524</v>
      </c>
      <c r="J184" s="84">
        <v>154.904761904762</v>
      </c>
      <c r="K184" s="74">
        <v>3253</v>
      </c>
      <c r="L184" s="86"/>
      <c r="M184" s="85"/>
      <c r="N184" s="85">
        <f t="shared" si="13"/>
        <v>1060.48</v>
      </c>
      <c r="O184" s="88"/>
    </row>
    <row r="185" ht="15.2" spans="1:15">
      <c r="A185" s="73">
        <v>44966</v>
      </c>
      <c r="B185" s="74" t="s">
        <v>234</v>
      </c>
      <c r="C185" s="75" t="s">
        <v>236</v>
      </c>
      <c r="D185" s="74">
        <v>4.9</v>
      </c>
      <c r="E185" s="74">
        <v>280</v>
      </c>
      <c r="F185" s="74">
        <v>110</v>
      </c>
      <c r="G185" s="82">
        <f t="shared" si="14"/>
        <v>47.4854227405248</v>
      </c>
      <c r="H185" s="77">
        <f t="shared" si="15"/>
        <v>651.5</v>
      </c>
      <c r="I185" s="84">
        <v>686.190476190476</v>
      </c>
      <c r="J185" s="84">
        <v>34.3095238095238</v>
      </c>
      <c r="K185" s="74">
        <v>720.5</v>
      </c>
      <c r="L185" s="85"/>
      <c r="M185" s="85"/>
      <c r="N185" s="85">
        <f t="shared" si="13"/>
        <v>181.5</v>
      </c>
      <c r="O185" s="88"/>
    </row>
    <row r="186" ht="15.2" spans="1:15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49.8823529411765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ht="15.2" spans="1:15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128.7</v>
      </c>
      <c r="G187" s="82">
        <f t="shared" si="14"/>
        <v>48.7179487179487</v>
      </c>
      <c r="H187" s="77">
        <f t="shared" si="15"/>
        <v>380</v>
      </c>
      <c r="I187" s="84">
        <v>380.952380952381</v>
      </c>
      <c r="J187" s="84">
        <v>19.047619047619</v>
      </c>
      <c r="K187" s="74">
        <v>400</v>
      </c>
      <c r="L187" s="85"/>
      <c r="M187" s="85"/>
      <c r="N187" s="85">
        <f t="shared" si="13"/>
        <v>-114.8</v>
      </c>
      <c r="O187" s="88"/>
    </row>
    <row r="188" ht="15.2" spans="1:15">
      <c r="A188" s="73">
        <v>44966</v>
      </c>
      <c r="B188" s="76" t="s">
        <v>234</v>
      </c>
      <c r="C188" s="75" t="s">
        <v>237</v>
      </c>
      <c r="D188" s="76">
        <v>2.2</v>
      </c>
      <c r="E188" s="74">
        <v>3530</v>
      </c>
      <c r="F188" s="76">
        <v>547.19</v>
      </c>
      <c r="G188" s="82">
        <f t="shared" si="14"/>
        <v>74.5428792171002</v>
      </c>
      <c r="H188" s="81">
        <f t="shared" si="15"/>
        <v>5789</v>
      </c>
      <c r="I188" s="84">
        <v>1882.85714285714</v>
      </c>
      <c r="J188" s="84">
        <v>94.1428571428572</v>
      </c>
      <c r="K188" s="74">
        <v>1977</v>
      </c>
      <c r="L188" s="86">
        <v>0.5</v>
      </c>
      <c r="M188" s="85">
        <v>6400</v>
      </c>
      <c r="N188" s="85">
        <f t="shared" si="13"/>
        <v>773.182</v>
      </c>
      <c r="O188" s="88"/>
    </row>
    <row r="189" ht="15.2" spans="1:15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</v>
      </c>
      <c r="H189" s="81">
        <f t="shared" si="15"/>
        <v>1819</v>
      </c>
      <c r="I189" s="84">
        <v>933.333333333333</v>
      </c>
      <c r="J189" s="84">
        <v>46.6666666666667</v>
      </c>
      <c r="K189" s="74">
        <v>980</v>
      </c>
      <c r="L189" s="86"/>
      <c r="M189" s="85"/>
      <c r="N189" s="85">
        <f t="shared" si="13"/>
        <v>-867.34</v>
      </c>
      <c r="O189" s="88"/>
    </row>
    <row r="190" ht="15.2" spans="1:15">
      <c r="A190" s="73">
        <v>44966</v>
      </c>
      <c r="B190" s="74" t="s">
        <v>238</v>
      </c>
      <c r="C190" s="75" t="s">
        <v>743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0.023999712003456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ht="15.2" spans="1:15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1253.34</v>
      </c>
      <c r="G191" s="82">
        <f t="shared" si="16"/>
        <v>74.9868351764086</v>
      </c>
      <c r="H191" s="77">
        <f t="shared" si="17"/>
        <v>1424</v>
      </c>
      <c r="I191" s="84">
        <v>452.380952380952</v>
      </c>
      <c r="J191" s="84">
        <v>22.6190476190476</v>
      </c>
      <c r="K191" s="74">
        <v>475</v>
      </c>
      <c r="L191" s="85"/>
      <c r="M191" s="85"/>
      <c r="N191" s="85">
        <f t="shared" si="13"/>
        <v>-778.34</v>
      </c>
      <c r="O191" s="88"/>
    </row>
    <row r="192" ht="15.2" spans="1:15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</v>
      </c>
      <c r="H192" s="81">
        <f t="shared" si="17"/>
        <v>1499</v>
      </c>
      <c r="I192" s="84">
        <v>476.190476190476</v>
      </c>
      <c r="J192" s="84">
        <v>23.8095238095238</v>
      </c>
      <c r="K192" s="74">
        <v>500</v>
      </c>
      <c r="L192" s="86"/>
      <c r="M192" s="85"/>
      <c r="N192" s="85">
        <f t="shared" si="13"/>
        <v>-819.34</v>
      </c>
      <c r="O192" s="88"/>
    </row>
    <row r="193" ht="15.2" spans="1:15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404.761904761905</v>
      </c>
      <c r="J193" s="84">
        <v>20.2380952380952</v>
      </c>
      <c r="K193" s="74">
        <v>425</v>
      </c>
      <c r="L193" s="85"/>
      <c r="M193" s="85"/>
      <c r="N193" s="85">
        <f t="shared" si="13"/>
        <v>144.5</v>
      </c>
      <c r="O193" s="88"/>
    </row>
    <row r="194" ht="15.2" spans="1:15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</v>
      </c>
      <c r="H194" s="81">
        <f t="shared" si="17"/>
        <v>-259</v>
      </c>
      <c r="I194" s="84">
        <v>625.714285714286</v>
      </c>
      <c r="J194" s="84">
        <v>31.2857142857143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ht="15.2" spans="1:15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44.9213161659514</v>
      </c>
      <c r="H195" s="77">
        <f t="shared" si="17"/>
        <v>314</v>
      </c>
      <c r="I195" s="84">
        <v>366.666666666667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-76.34</v>
      </c>
      <c r="O195" s="88"/>
    </row>
    <row r="196" ht="15.2" spans="1:15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74.99</v>
      </c>
      <c r="H196" s="77">
        <f t="shared" si="17"/>
        <v>1199</v>
      </c>
      <c r="I196" s="84">
        <v>380.952380952381</v>
      </c>
      <c r="J196" s="84">
        <v>19.047619047619</v>
      </c>
      <c r="K196" s="77">
        <v>400</v>
      </c>
      <c r="L196" s="85"/>
      <c r="M196" s="85"/>
      <c r="N196" s="85">
        <f t="shared" si="18"/>
        <v>-143.66</v>
      </c>
      <c r="O196" s="88"/>
    </row>
    <row r="197" ht="15.2" spans="1:15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</v>
      </c>
      <c r="H197" s="81">
        <f t="shared" ref="H197:H228" si="20">D197*E197-K197</f>
        <v>1499</v>
      </c>
      <c r="I197" s="84">
        <v>476.190476190476</v>
      </c>
      <c r="J197" s="84">
        <v>23.8095238095238</v>
      </c>
      <c r="K197" s="77">
        <v>500</v>
      </c>
      <c r="L197" s="86"/>
      <c r="M197" s="85"/>
      <c r="N197" s="85">
        <f t="shared" si="18"/>
        <v>-819.34</v>
      </c>
      <c r="O197" s="88"/>
    </row>
    <row r="198" ht="15.2" spans="1:15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</v>
      </c>
      <c r="H198" s="77">
        <f t="shared" si="20"/>
        <v>1049</v>
      </c>
      <c r="I198" s="84">
        <v>333.333333333333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ht="15.2" spans="1:15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</v>
      </c>
      <c r="H199" s="81">
        <f t="shared" si="20"/>
        <v>1049</v>
      </c>
      <c r="I199" s="84">
        <v>333.333333333333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ht="15.2" spans="1:15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404.761904761905</v>
      </c>
      <c r="J200" s="84">
        <v>20.2380952380952</v>
      </c>
      <c r="K200" s="77">
        <v>425</v>
      </c>
      <c r="L200" s="85"/>
      <c r="M200" s="85"/>
      <c r="N200" s="85">
        <f t="shared" si="18"/>
        <v>-136</v>
      </c>
      <c r="O200" s="88"/>
    </row>
    <row r="201" ht="15.2" spans="1:15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</v>
      </c>
      <c r="H201" s="81">
        <f t="shared" si="20"/>
        <v>323</v>
      </c>
      <c r="I201" s="84">
        <v>375.238095238095</v>
      </c>
      <c r="J201" s="84">
        <v>18.7619047619048</v>
      </c>
      <c r="K201" s="77">
        <v>394</v>
      </c>
      <c r="L201" s="86"/>
      <c r="M201" s="85">
        <v>2419</v>
      </c>
      <c r="N201" s="85">
        <f t="shared" si="18"/>
        <v>-79.22</v>
      </c>
      <c r="O201" s="88"/>
    </row>
    <row r="202" ht="15.2" spans="1:15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1089.28571428571</v>
      </c>
      <c r="J202" s="84">
        <v>130.714285714286</v>
      </c>
      <c r="K202" s="74">
        <v>1220</v>
      </c>
      <c r="L202" s="86"/>
      <c r="M202" s="85"/>
      <c r="N202" s="85">
        <f t="shared" si="18"/>
        <v>-1089.34</v>
      </c>
      <c r="O202" s="88"/>
    </row>
    <row r="203" ht="15.2" spans="1:15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65.893587994543</v>
      </c>
      <c r="H203" s="77">
        <f t="shared" si="20"/>
        <v>1449</v>
      </c>
      <c r="I203" s="84">
        <v>714.285714285714</v>
      </c>
      <c r="J203" s="84">
        <v>35.7142857142857</v>
      </c>
      <c r="K203" s="74">
        <v>750</v>
      </c>
      <c r="L203" s="85"/>
      <c r="M203" s="85"/>
      <c r="N203" s="85">
        <f t="shared" si="18"/>
        <v>-701.34</v>
      </c>
      <c r="O203" s="88"/>
    </row>
    <row r="204" ht="15.2" spans="1:15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</v>
      </c>
      <c r="H204" s="81">
        <f t="shared" si="20"/>
        <v>799</v>
      </c>
      <c r="I204" s="84">
        <v>380.952380952381</v>
      </c>
      <c r="J204" s="84">
        <v>19.047619047619</v>
      </c>
      <c r="K204" s="74">
        <v>400</v>
      </c>
      <c r="L204" s="86"/>
      <c r="M204" s="85"/>
      <c r="N204" s="85">
        <f t="shared" si="18"/>
        <v>-391.34</v>
      </c>
      <c r="O204" s="88"/>
    </row>
    <row r="205" ht="15.2" spans="1:15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</v>
      </c>
      <c r="H205" s="77">
        <f t="shared" si="20"/>
        <v>592</v>
      </c>
      <c r="I205" s="84">
        <v>244.761904761905</v>
      </c>
      <c r="J205" s="84">
        <v>12.2380952380952</v>
      </c>
      <c r="K205" s="74">
        <v>257</v>
      </c>
      <c r="L205" s="85"/>
      <c r="M205" s="85"/>
      <c r="N205" s="85">
        <f t="shared" si="18"/>
        <v>-303.34</v>
      </c>
      <c r="O205" s="88"/>
    </row>
    <row r="206" ht="15.2" spans="1:15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65.2375848517328</v>
      </c>
      <c r="H206" s="81">
        <f t="shared" si="20"/>
        <v>1826</v>
      </c>
      <c r="I206" s="84">
        <v>926.666666666667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-874.34</v>
      </c>
      <c r="O206" s="88"/>
    </row>
    <row r="207" ht="15.2" spans="1:15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</v>
      </c>
      <c r="J207" s="84">
        <v>39.2380952380952</v>
      </c>
      <c r="K207" s="74">
        <v>824</v>
      </c>
      <c r="L207" s="86"/>
      <c r="M207" s="85"/>
      <c r="N207" s="85">
        <f t="shared" si="18"/>
        <v>318.4</v>
      </c>
      <c r="O207" s="88"/>
    </row>
    <row r="208" ht="15.2" spans="1:15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-774.34</v>
      </c>
      <c r="O208" s="88"/>
    </row>
    <row r="209" ht="15.2" spans="1:15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</v>
      </c>
      <c r="J209" s="84">
        <v>138.571428571429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ht="15.2" spans="1:15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65.7044869962847</v>
      </c>
      <c r="H210" s="77">
        <f t="shared" si="20"/>
        <v>2299</v>
      </c>
      <c r="I210" s="84">
        <v>1071.42857142857</v>
      </c>
      <c r="J210" s="84">
        <v>128.571428571429</v>
      </c>
      <c r="K210" s="77">
        <v>1200</v>
      </c>
      <c r="L210" s="85"/>
      <c r="M210" s="85">
        <v>1200</v>
      </c>
      <c r="N210" s="85">
        <f t="shared" si="18"/>
        <v>-1109.34</v>
      </c>
      <c r="O210" s="88"/>
    </row>
    <row r="211" ht="15.2" spans="1:15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</v>
      </c>
      <c r="H211" s="77">
        <f t="shared" si="20"/>
        <v>1499</v>
      </c>
      <c r="I211" s="84">
        <v>476.190476190476</v>
      </c>
      <c r="J211" s="84">
        <v>23.8095238095238</v>
      </c>
      <c r="K211" s="74">
        <v>500</v>
      </c>
      <c r="L211" s="85"/>
      <c r="M211" s="85"/>
      <c r="N211" s="85">
        <f t="shared" si="18"/>
        <v>-819.34</v>
      </c>
      <c r="O211" s="88"/>
    </row>
    <row r="212" ht="15.2" spans="1:15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1253.34</v>
      </c>
      <c r="G212" s="82">
        <f t="shared" si="19"/>
        <v>74.9868351764086</v>
      </c>
      <c r="H212" s="81">
        <f t="shared" si="20"/>
        <v>1424</v>
      </c>
      <c r="I212" s="84">
        <v>452.380952380952</v>
      </c>
      <c r="J212" s="84">
        <v>22.6190476190476</v>
      </c>
      <c r="K212" s="74">
        <v>475</v>
      </c>
      <c r="L212" s="86"/>
      <c r="M212" s="85">
        <v>975</v>
      </c>
      <c r="N212" s="85">
        <f t="shared" si="18"/>
        <v>-778.34</v>
      </c>
      <c r="O212" s="88"/>
    </row>
    <row r="213" ht="15.2" spans="1:15">
      <c r="A213" s="73">
        <v>44967</v>
      </c>
      <c r="B213" s="76" t="s">
        <v>744</v>
      </c>
      <c r="C213" s="75">
        <v>8907686661834</v>
      </c>
      <c r="D213" s="76">
        <v>1</v>
      </c>
      <c r="E213" s="74">
        <v>449</v>
      </c>
      <c r="F213" s="76">
        <v>296.34</v>
      </c>
      <c r="G213" s="82">
        <f t="shared" si="19"/>
        <v>45</v>
      </c>
      <c r="H213" s="81">
        <f t="shared" si="20"/>
        <v>202.05</v>
      </c>
      <c r="I213" s="84">
        <v>235.190476190476</v>
      </c>
      <c r="J213" s="84">
        <v>11.7595238095238</v>
      </c>
      <c r="K213" s="74">
        <v>246.95</v>
      </c>
      <c r="L213" s="86"/>
      <c r="M213" s="85"/>
      <c r="N213" s="85">
        <f t="shared" si="18"/>
        <v>-49.39</v>
      </c>
      <c r="O213" s="88"/>
    </row>
    <row r="214" ht="15.2" spans="1:15">
      <c r="A214" s="73">
        <v>44967</v>
      </c>
      <c r="B214" s="74" t="s">
        <v>744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45</v>
      </c>
      <c r="H214" s="77">
        <f t="shared" si="20"/>
        <v>494.55</v>
      </c>
      <c r="I214" s="84">
        <v>575.666666666667</v>
      </c>
      <c r="J214" s="84">
        <v>28.7833333333333</v>
      </c>
      <c r="K214" s="74">
        <v>604.45</v>
      </c>
      <c r="L214" s="85">
        <v>-0.4</v>
      </c>
      <c r="M214" s="85">
        <v>851</v>
      </c>
      <c r="N214" s="85">
        <f t="shared" si="18"/>
        <v>-120.89</v>
      </c>
      <c r="O214" s="88"/>
    </row>
    <row r="215" ht="15.2" spans="1:15">
      <c r="A215" s="73">
        <v>44967</v>
      </c>
      <c r="B215" s="74" t="s">
        <v>745</v>
      </c>
      <c r="C215" s="75" t="s">
        <v>173</v>
      </c>
      <c r="D215" s="74">
        <v>1.6</v>
      </c>
      <c r="E215" s="74">
        <v>950</v>
      </c>
      <c r="F215" s="74">
        <v>321.47</v>
      </c>
      <c r="G215" s="82">
        <f t="shared" si="19"/>
        <v>50</v>
      </c>
      <c r="H215" s="77">
        <f t="shared" si="20"/>
        <v>760</v>
      </c>
      <c r="I215" s="84">
        <v>723.809523809524</v>
      </c>
      <c r="J215" s="84">
        <v>36.1904761904762</v>
      </c>
      <c r="K215" s="74">
        <v>760</v>
      </c>
      <c r="L215" s="85"/>
      <c r="M215" s="85"/>
      <c r="N215" s="85">
        <f t="shared" si="18"/>
        <v>245.648</v>
      </c>
      <c r="O215" s="88"/>
    </row>
    <row r="216" ht="15.2" spans="1:15">
      <c r="A216" s="73">
        <v>44967</v>
      </c>
      <c r="B216" s="76" t="s">
        <v>745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294.84</v>
      </c>
      <c r="O216" s="88"/>
    </row>
    <row r="217" ht="15.2" spans="1:15">
      <c r="A217" s="73">
        <v>44967</v>
      </c>
      <c r="B217" s="76" t="s">
        <v>746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65</v>
      </c>
      <c r="H217" s="81">
        <f t="shared" si="20"/>
        <v>1299.35</v>
      </c>
      <c r="I217" s="84">
        <v>666.333333333333</v>
      </c>
      <c r="J217" s="84">
        <v>33.3166666666667</v>
      </c>
      <c r="K217" s="74">
        <v>699.65</v>
      </c>
      <c r="L217" s="86"/>
      <c r="M217" s="85"/>
      <c r="N217" s="85">
        <f t="shared" si="18"/>
        <v>-619.69</v>
      </c>
      <c r="O217" s="88"/>
    </row>
    <row r="218" ht="15.2" spans="1:15">
      <c r="A218" s="73">
        <v>44967</v>
      </c>
      <c r="B218" s="74" t="s">
        <v>746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</v>
      </c>
      <c r="J218" s="84">
        <v>29.9857142857143</v>
      </c>
      <c r="K218" s="74">
        <v>629.7</v>
      </c>
      <c r="L218" s="85"/>
      <c r="M218" s="85"/>
      <c r="N218" s="85">
        <f t="shared" si="18"/>
        <v>-755.64</v>
      </c>
      <c r="O218" s="88"/>
    </row>
    <row r="219" ht="15.2" spans="1:15">
      <c r="A219" s="73">
        <v>44967</v>
      </c>
      <c r="B219" s="76" t="s">
        <v>746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</v>
      </c>
      <c r="J219" s="84">
        <v>29.9857142857143</v>
      </c>
      <c r="K219" s="74">
        <v>629.7</v>
      </c>
      <c r="L219" s="86">
        <v>-0.05</v>
      </c>
      <c r="M219" s="85">
        <v>1959</v>
      </c>
      <c r="N219" s="85">
        <f t="shared" si="18"/>
        <v>-755.64</v>
      </c>
      <c r="O219" s="88"/>
    </row>
    <row r="220" ht="15.2" spans="1:15">
      <c r="A220" s="73">
        <v>44967</v>
      </c>
      <c r="B220" s="76" t="s">
        <v>747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1059.04761904762</v>
      </c>
      <c r="J220" s="84">
        <v>52.952380952381</v>
      </c>
      <c r="K220" s="74">
        <v>1112</v>
      </c>
      <c r="L220" s="86"/>
      <c r="M220" s="85"/>
      <c r="N220" s="85">
        <f t="shared" si="18"/>
        <v>313.6</v>
      </c>
      <c r="O220" s="88"/>
    </row>
    <row r="221" ht="15.2" spans="1:15">
      <c r="A221" s="73">
        <v>44967</v>
      </c>
      <c r="B221" s="74" t="s">
        <v>747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792.380952380952</v>
      </c>
      <c r="J221" s="84">
        <v>39.6190476190476</v>
      </c>
      <c r="K221" s="74">
        <v>832</v>
      </c>
      <c r="L221" s="85"/>
      <c r="M221" s="85">
        <v>1944</v>
      </c>
      <c r="N221" s="85">
        <f t="shared" si="18"/>
        <v>193.6</v>
      </c>
      <c r="O221" s="88"/>
    </row>
    <row r="222" ht="15.2" spans="1:15">
      <c r="A222" s="73">
        <v>44968</v>
      </c>
      <c r="B222" s="74" t="s">
        <v>748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50.2857142857143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ht="15.2" spans="1:15">
      <c r="A223" s="73">
        <v>44968</v>
      </c>
      <c r="B223" s="74" t="s">
        <v>749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</v>
      </c>
      <c r="J223" s="84">
        <v>160.682142857143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ht="15.2" spans="1:15">
      <c r="A224" s="73">
        <v>44968</v>
      </c>
      <c r="B224" s="74" t="s">
        <v>750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</v>
      </c>
      <c r="J224" s="84">
        <v>54.0952380952381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ht="15.2" spans="1:15">
      <c r="A225" s="73">
        <v>44968</v>
      </c>
      <c r="B225" s="74" t="s">
        <v>751</v>
      </c>
      <c r="C225" s="75">
        <v>8904290614041</v>
      </c>
      <c r="D225" s="74">
        <v>1</v>
      </c>
      <c r="E225" s="74">
        <v>1899</v>
      </c>
      <c r="F225" s="74">
        <v>1253.34</v>
      </c>
      <c r="G225" s="82">
        <f t="shared" si="19"/>
        <v>70</v>
      </c>
      <c r="H225" s="77">
        <f t="shared" si="20"/>
        <v>1329.3</v>
      </c>
      <c r="I225" s="84">
        <v>542.571428571429</v>
      </c>
      <c r="J225" s="84">
        <v>27.1285714285714</v>
      </c>
      <c r="K225" s="74">
        <v>569.7</v>
      </c>
      <c r="L225" s="85"/>
      <c r="M225" s="85"/>
      <c r="N225" s="85">
        <f t="shared" si="18"/>
        <v>-683.64</v>
      </c>
      <c r="O225" s="88"/>
    </row>
    <row r="226" ht="15.2" spans="1:15">
      <c r="A226" s="73">
        <v>44968</v>
      </c>
      <c r="B226" s="76" t="s">
        <v>751</v>
      </c>
      <c r="C226" s="75">
        <v>8904290623692</v>
      </c>
      <c r="D226" s="76">
        <v>1</v>
      </c>
      <c r="E226" s="74">
        <v>1799</v>
      </c>
      <c r="F226" s="76">
        <v>1187.34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</v>
      </c>
      <c r="L226" s="86"/>
      <c r="M226" s="85"/>
      <c r="N226" s="85">
        <f t="shared" si="18"/>
        <v>-647.64</v>
      </c>
      <c r="O226" s="88"/>
    </row>
    <row r="227" ht="15.2" spans="1:15">
      <c r="A227" s="73">
        <v>44968</v>
      </c>
      <c r="B227" s="74" t="s">
        <v>751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</v>
      </c>
      <c r="L227" s="85">
        <v>-0.1</v>
      </c>
      <c r="M227" s="85">
        <v>1709</v>
      </c>
      <c r="N227" s="85">
        <f t="shared" si="18"/>
        <v>-719.64</v>
      </c>
      <c r="O227" s="88"/>
    </row>
    <row r="228" ht="15.2" spans="1:15">
      <c r="A228" s="73">
        <v>44968</v>
      </c>
      <c r="B228" s="74" t="s">
        <v>752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</v>
      </c>
      <c r="J228" s="84">
        <v>39.9285714285714</v>
      </c>
      <c r="K228" s="74">
        <v>838.5</v>
      </c>
      <c r="L228" s="85"/>
      <c r="M228" s="85"/>
      <c r="N228" s="85">
        <f t="shared" si="18"/>
        <v>306.8</v>
      </c>
      <c r="O228" s="88"/>
    </row>
    <row r="229" ht="15.2" spans="1:15">
      <c r="A229" s="73">
        <v>44968</v>
      </c>
      <c r="B229" s="76" t="s">
        <v>752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70</v>
      </c>
      <c r="H229" s="81">
        <f t="shared" ref="H229:H260" si="22">D229*E229-K229</f>
        <v>1192.1</v>
      </c>
      <c r="I229" s="84">
        <v>486.571428571429</v>
      </c>
      <c r="J229" s="84">
        <v>24.3285714285714</v>
      </c>
      <c r="K229" s="74">
        <v>510.9</v>
      </c>
      <c r="L229" s="86">
        <v>-0.4</v>
      </c>
      <c r="M229" s="85">
        <v>1349</v>
      </c>
      <c r="N229" s="85">
        <f t="shared" si="18"/>
        <v>-137.8</v>
      </c>
      <c r="O229" s="88"/>
    </row>
    <row r="230" ht="15.2" spans="1:15">
      <c r="A230" s="73">
        <v>44970</v>
      </c>
      <c r="B230" s="76" t="s">
        <v>753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634.285714285714</v>
      </c>
      <c r="J230" s="84">
        <v>31.7142857142857</v>
      </c>
      <c r="K230" s="74">
        <v>666</v>
      </c>
      <c r="L230" s="86"/>
      <c r="M230" s="85"/>
      <c r="N230" s="85">
        <f t="shared" si="18"/>
        <v>186</v>
      </c>
      <c r="O230" s="88"/>
    </row>
    <row r="231" ht="15.2" spans="1:15">
      <c r="A231" s="73">
        <v>44970</v>
      </c>
      <c r="B231" s="74" t="s">
        <v>753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929.52380952381</v>
      </c>
      <c r="J231" s="84">
        <v>46.4761904761905</v>
      </c>
      <c r="K231" s="74">
        <v>976</v>
      </c>
      <c r="L231" s="85"/>
      <c r="M231" s="85"/>
      <c r="N231" s="85">
        <f t="shared" si="18"/>
        <v>435.2</v>
      </c>
      <c r="O231" s="88"/>
    </row>
    <row r="232" ht="15.2" spans="1:15">
      <c r="A232" s="73">
        <v>44970</v>
      </c>
      <c r="B232" s="76" t="s">
        <v>753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970.238095238095</v>
      </c>
      <c r="J232" s="84">
        <v>48.5119047619048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ht="15.2" spans="1:15">
      <c r="A233" s="73">
        <v>44970</v>
      </c>
      <c r="B233" s="76" t="s">
        <v>754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</v>
      </c>
      <c r="J233" s="84">
        <v>70.2857142857143</v>
      </c>
      <c r="K233" s="74">
        <v>1476</v>
      </c>
      <c r="L233" s="86"/>
      <c r="M233" s="85"/>
      <c r="N233" s="85">
        <f t="shared" si="18"/>
        <v>510</v>
      </c>
      <c r="O233" s="88"/>
    </row>
    <row r="234" ht="15.2" spans="1:15">
      <c r="A234" s="73">
        <v>44970</v>
      </c>
      <c r="B234" s="74" t="s">
        <v>754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1394.28571428571</v>
      </c>
      <c r="J234" s="84">
        <v>69.7142857142857</v>
      </c>
      <c r="K234" s="74">
        <v>1464</v>
      </c>
      <c r="L234" s="85"/>
      <c r="M234" s="85">
        <v>2940</v>
      </c>
      <c r="N234" s="85">
        <f t="shared" si="18"/>
        <v>406.4</v>
      </c>
      <c r="O234" s="88"/>
    </row>
    <row r="235" ht="15.2" spans="1:15">
      <c r="A235" s="73">
        <v>44970</v>
      </c>
      <c r="B235" s="74" t="s">
        <v>755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</v>
      </c>
      <c r="J235" s="84">
        <v>35.2857142857143</v>
      </c>
      <c r="K235" s="74">
        <v>741</v>
      </c>
      <c r="L235" s="85"/>
      <c r="M235" s="85"/>
      <c r="N235" s="85">
        <f t="shared" si="18"/>
        <v>240.5</v>
      </c>
      <c r="O235" s="88"/>
    </row>
    <row r="236" ht="15.2" spans="1:15">
      <c r="A236" s="73">
        <v>44970</v>
      </c>
      <c r="B236" s="76" t="s">
        <v>755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246.4</v>
      </c>
      <c r="O236" s="88"/>
    </row>
    <row r="237" ht="15.2" spans="1:15">
      <c r="A237" s="73">
        <v>44970</v>
      </c>
      <c r="B237" s="76" t="s">
        <v>756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</v>
      </c>
      <c r="K237" s="74">
        <v>1432</v>
      </c>
      <c r="L237" s="86"/>
      <c r="M237" s="85"/>
      <c r="N237" s="85">
        <f t="shared" si="18"/>
        <v>529.6</v>
      </c>
      <c r="O237" s="88"/>
    </row>
    <row r="238" ht="15.2" spans="1:15">
      <c r="A238" s="73">
        <v>44970</v>
      </c>
      <c r="B238" s="74" t="s">
        <v>756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</v>
      </c>
      <c r="K238" s="74">
        <v>727.5</v>
      </c>
      <c r="L238" s="85"/>
      <c r="M238" s="85"/>
      <c r="N238" s="85">
        <f t="shared" si="18"/>
        <v>196.5</v>
      </c>
      <c r="O238" s="88"/>
    </row>
    <row r="239" ht="15.2" spans="1:15">
      <c r="A239" s="73">
        <v>44970</v>
      </c>
      <c r="B239" s="76" t="s">
        <v>756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42.8571428571429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ht="15.2" spans="1:15">
      <c r="A240" s="73">
        <v>44970</v>
      </c>
      <c r="B240" s="76" t="s">
        <v>757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</v>
      </c>
      <c r="J240" s="84">
        <v>38.0952380952381</v>
      </c>
      <c r="K240" s="77">
        <v>800</v>
      </c>
      <c r="L240" s="86"/>
      <c r="M240" s="85">
        <v>800</v>
      </c>
      <c r="N240" s="85">
        <f t="shared" si="18"/>
        <v>235.2</v>
      </c>
      <c r="O240" s="88"/>
    </row>
    <row r="241" ht="15.2" spans="1:15">
      <c r="A241" s="73">
        <v>44970</v>
      </c>
      <c r="B241" s="76" t="s">
        <v>758</v>
      </c>
      <c r="C241" s="75">
        <v>8907259947839</v>
      </c>
      <c r="D241" s="76">
        <v>1</v>
      </c>
      <c r="E241" s="74">
        <v>1799</v>
      </c>
      <c r="F241" s="76">
        <v>1187.34</v>
      </c>
      <c r="G241" s="82">
        <f t="shared" si="21"/>
        <v>65</v>
      </c>
      <c r="H241" s="81">
        <f t="shared" si="22"/>
        <v>1169.35</v>
      </c>
      <c r="I241" s="84">
        <v>599.666666666667</v>
      </c>
      <c r="J241" s="84">
        <v>29.9833333333333</v>
      </c>
      <c r="K241" s="77">
        <v>629.65</v>
      </c>
      <c r="L241" s="86">
        <v>0.35</v>
      </c>
      <c r="M241" s="85">
        <v>630</v>
      </c>
      <c r="N241" s="85">
        <f t="shared" si="18"/>
        <v>-557.69</v>
      </c>
      <c r="O241" s="88"/>
    </row>
    <row r="242" ht="15.2" spans="1:15">
      <c r="A242" s="73">
        <v>44970</v>
      </c>
      <c r="B242" s="76" t="s">
        <v>759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1390.47619047619</v>
      </c>
      <c r="J242" s="84">
        <v>69.5238095238095</v>
      </c>
      <c r="K242" s="74">
        <v>1460</v>
      </c>
      <c r="L242" s="86"/>
      <c r="M242" s="85"/>
      <c r="N242" s="85">
        <f t="shared" si="18"/>
        <v>410</v>
      </c>
      <c r="O242" s="88"/>
    </row>
    <row r="243" ht="15.2" spans="1:15">
      <c r="A243" s="73">
        <v>44970</v>
      </c>
      <c r="B243" s="74" t="s">
        <v>759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</v>
      </c>
      <c r="J243" s="84">
        <v>31.4285714285714</v>
      </c>
      <c r="K243" s="74">
        <v>660</v>
      </c>
      <c r="L243" s="85"/>
      <c r="M243" s="85"/>
      <c r="N243" s="85">
        <f t="shared" si="18"/>
        <v>128.4</v>
      </c>
      <c r="O243" s="88"/>
    </row>
    <row r="244" ht="15.2" spans="1:15">
      <c r="A244" s="73">
        <v>44970</v>
      </c>
      <c r="B244" s="76" t="s">
        <v>759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</v>
      </c>
      <c r="O244" s="88"/>
    </row>
    <row r="245" ht="15.2" spans="1:15">
      <c r="A245" s="73">
        <v>44970</v>
      </c>
      <c r="B245" s="76" t="s">
        <v>760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374.9625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ht="15.2" spans="1:15">
      <c r="A246" s="73">
        <v>44972</v>
      </c>
      <c r="B246" s="76" t="s">
        <v>761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51.2988278079034</v>
      </c>
      <c r="H246" s="81">
        <f t="shared" si="22"/>
        <v>7899.25</v>
      </c>
      <c r="I246" s="84">
        <v>7142.14285714286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ht="15.2" spans="1:15">
      <c r="A247" s="73">
        <v>44972</v>
      </c>
      <c r="B247" s="76" t="s">
        <v>762</v>
      </c>
      <c r="C247" s="75" t="s">
        <v>284</v>
      </c>
      <c r="D247" s="76">
        <v>3</v>
      </c>
      <c r="E247" s="74">
        <v>3240</v>
      </c>
      <c r="F247" s="76">
        <v>1154.1</v>
      </c>
      <c r="G247" s="82">
        <f t="shared" si="21"/>
        <v>50</v>
      </c>
      <c r="H247" s="81">
        <f t="shared" si="22"/>
        <v>4860</v>
      </c>
      <c r="I247" s="84">
        <v>4628.57142857143</v>
      </c>
      <c r="J247" s="84">
        <v>231.428571428571</v>
      </c>
      <c r="K247" s="74">
        <v>4860</v>
      </c>
      <c r="L247" s="86"/>
      <c r="M247" s="85"/>
      <c r="N247" s="85">
        <f t="shared" si="18"/>
        <v>1397.7</v>
      </c>
      <c r="O247" s="88"/>
    </row>
    <row r="248" ht="15.2" spans="1:15">
      <c r="A248" s="73">
        <v>44972</v>
      </c>
      <c r="B248" s="74" t="s">
        <v>762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699.666666666667</v>
      </c>
      <c r="J248" s="84">
        <v>34.9833333333333</v>
      </c>
      <c r="K248" s="74">
        <v>734.65</v>
      </c>
      <c r="L248" s="85"/>
      <c r="M248" s="85"/>
      <c r="N248" s="85">
        <f t="shared" si="18"/>
        <v>-650.69</v>
      </c>
      <c r="O248" s="88"/>
    </row>
    <row r="249" ht="15.2" spans="1:15">
      <c r="A249" s="73">
        <v>44972</v>
      </c>
      <c r="B249" s="76" t="s">
        <v>762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</v>
      </c>
      <c r="K249" s="74">
        <v>1084.65</v>
      </c>
      <c r="L249" s="86"/>
      <c r="M249" s="85"/>
      <c r="N249" s="85">
        <f t="shared" si="18"/>
        <v>-960.69</v>
      </c>
      <c r="O249" s="88"/>
    </row>
    <row r="250" ht="15.2" spans="1:15">
      <c r="A250" s="73">
        <v>44972</v>
      </c>
      <c r="B250" s="74" t="s">
        <v>762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1126.66666666667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ht="15.2" spans="1:15">
      <c r="A251" s="73">
        <v>44972</v>
      </c>
      <c r="B251" s="74" t="s">
        <v>763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1059.04761904762</v>
      </c>
      <c r="J251" s="84">
        <v>52.952380952381</v>
      </c>
      <c r="K251" s="74">
        <v>1112</v>
      </c>
      <c r="L251" s="85"/>
      <c r="M251" s="85"/>
      <c r="N251" s="85">
        <f t="shared" si="18"/>
        <v>584</v>
      </c>
      <c r="O251" s="88"/>
    </row>
    <row r="252" ht="15.2" spans="1:15">
      <c r="A252" s="73">
        <v>44972</v>
      </c>
      <c r="B252" s="76" t="s">
        <v>763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994.285714285714</v>
      </c>
      <c r="J252" s="84">
        <v>49.7142857142857</v>
      </c>
      <c r="K252" s="74">
        <v>1044</v>
      </c>
      <c r="L252" s="86"/>
      <c r="M252" s="85"/>
      <c r="N252" s="85">
        <f t="shared" si="18"/>
        <v>294</v>
      </c>
      <c r="O252" s="88"/>
    </row>
    <row r="253" ht="15.2" spans="1:15">
      <c r="A253" s="73">
        <v>44972</v>
      </c>
      <c r="B253" s="74" t="s">
        <v>763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ht="15.2" spans="1:15">
      <c r="A254" s="73">
        <v>44972</v>
      </c>
      <c r="B254" s="76" t="s">
        <v>763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</v>
      </c>
      <c r="J254" s="84">
        <v>38.0857142857143</v>
      </c>
      <c r="K254" s="74">
        <v>799.8</v>
      </c>
      <c r="L254" s="86"/>
      <c r="M254" s="85"/>
      <c r="N254" s="85">
        <f t="shared" si="18"/>
        <v>-1839.54</v>
      </c>
      <c r="O254" s="88"/>
    </row>
    <row r="255" ht="15.2" spans="1:15">
      <c r="A255" s="73">
        <v>44972</v>
      </c>
      <c r="B255" s="74" t="s">
        <v>763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ht="15.2" spans="1:15">
      <c r="A256" s="73">
        <v>44972</v>
      </c>
      <c r="B256" s="74" t="s">
        <v>764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</v>
      </c>
      <c r="K256" s="77">
        <v>1647</v>
      </c>
      <c r="L256" s="85"/>
      <c r="M256" s="85">
        <v>1647</v>
      </c>
      <c r="N256" s="85">
        <f t="shared" si="18"/>
        <v>457.2</v>
      </c>
      <c r="O256" s="88"/>
    </row>
    <row r="257" s="67" customFormat="1" ht="15.2" spans="1:15">
      <c r="A257" s="92">
        <v>44972</v>
      </c>
      <c r="B257" s="93" t="s">
        <v>765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50.8106060606061</v>
      </c>
      <c r="H257" s="98">
        <f t="shared" si="22"/>
        <v>536.56</v>
      </c>
      <c r="I257" s="100">
        <v>494.704761904762</v>
      </c>
      <c r="J257" s="100">
        <v>24.7352380952381</v>
      </c>
      <c r="K257" s="93">
        <v>519.44</v>
      </c>
      <c r="L257" s="101"/>
      <c r="M257" s="101"/>
      <c r="N257" s="101">
        <f t="shared" si="18"/>
        <v>41.04</v>
      </c>
      <c r="O257" s="103"/>
    </row>
    <row r="258" s="67" customFormat="1" ht="15.2" spans="1:15">
      <c r="A258" s="92">
        <v>44972</v>
      </c>
      <c r="B258" s="95" t="s">
        <v>765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53.4166666666667</v>
      </c>
      <c r="H258" s="99">
        <f t="shared" si="22"/>
        <v>480.75</v>
      </c>
      <c r="I258" s="100">
        <v>399.285714285714</v>
      </c>
      <c r="J258" s="100">
        <v>19.9642857142857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</v>
      </c>
      <c r="O258" s="103"/>
    </row>
    <row r="259" ht="15.2" spans="1:15">
      <c r="A259" s="73">
        <v>44972</v>
      </c>
      <c r="B259" s="76" t="s">
        <v>766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</v>
      </c>
      <c r="K259" s="74">
        <v>1049.65</v>
      </c>
      <c r="L259" s="86"/>
      <c r="M259" s="85"/>
      <c r="N259" s="85">
        <f t="shared" si="23"/>
        <v>-929.69</v>
      </c>
      <c r="O259" s="88"/>
    </row>
    <row r="260" ht="15.2" spans="1:15">
      <c r="A260" s="73">
        <v>44972</v>
      </c>
      <c r="B260" s="74" t="s">
        <v>766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ht="15.2" spans="1:15">
      <c r="A261" s="73">
        <v>44972</v>
      </c>
      <c r="B261" s="74" t="s">
        <v>767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</v>
      </c>
      <c r="O261" s="88"/>
    </row>
    <row r="262" ht="15.2" spans="1:15">
      <c r="A262" s="73">
        <v>44972</v>
      </c>
      <c r="B262" s="76" t="s">
        <v>767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</v>
      </c>
      <c r="K262" s="74">
        <v>780</v>
      </c>
      <c r="L262" s="86"/>
      <c r="M262" s="85"/>
      <c r="N262" s="85">
        <f t="shared" si="23"/>
        <v>156.12</v>
      </c>
      <c r="O262" s="88"/>
    </row>
    <row r="263" ht="15.2" spans="1:15">
      <c r="A263" s="73">
        <v>44972</v>
      </c>
      <c r="B263" s="74" t="s">
        <v>767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</v>
      </c>
      <c r="J263" s="84">
        <v>46.7857142857143</v>
      </c>
      <c r="K263" s="74">
        <v>982.5</v>
      </c>
      <c r="L263" s="85"/>
      <c r="M263" s="85"/>
      <c r="N263" s="85">
        <f t="shared" si="23"/>
        <v>387.3</v>
      </c>
      <c r="O263" s="88"/>
    </row>
    <row r="264" ht="15.2" spans="1:15">
      <c r="A264" s="73">
        <v>44972</v>
      </c>
      <c r="B264" s="76" t="s">
        <v>767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237.619047619048</v>
      </c>
      <c r="J264" s="84">
        <v>11.8809523809524</v>
      </c>
      <c r="K264" s="74">
        <v>249.5</v>
      </c>
      <c r="L264" s="86"/>
      <c r="M264" s="85">
        <v>2390</v>
      </c>
      <c r="N264" s="85">
        <f t="shared" si="23"/>
        <v>-79.84</v>
      </c>
      <c r="O264" s="88"/>
    </row>
    <row r="265" ht="15.2" spans="1:15">
      <c r="A265" s="73">
        <v>44972</v>
      </c>
      <c r="B265" s="76" t="s">
        <v>768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</v>
      </c>
      <c r="J265" s="84">
        <v>66.8571428571429</v>
      </c>
      <c r="K265" s="74">
        <v>1404</v>
      </c>
      <c r="L265" s="86"/>
      <c r="M265" s="85"/>
      <c r="N265" s="85">
        <f t="shared" si="23"/>
        <v>397.08</v>
      </c>
      <c r="O265" s="88"/>
    </row>
    <row r="266" ht="15.2" spans="1:15">
      <c r="A266" s="73">
        <v>44972</v>
      </c>
      <c r="B266" s="74" t="s">
        <v>768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994.285714285714</v>
      </c>
      <c r="J266" s="84">
        <v>49.7142857142857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ht="15.2" spans="1:15">
      <c r="A267" s="73">
        <v>44973</v>
      </c>
      <c r="B267" s="74" t="s">
        <v>769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356.904761904762</v>
      </c>
      <c r="J267" s="84">
        <v>17.8452380952381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ht="15.2" spans="1:15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88.0412371134021</v>
      </c>
      <c r="H268" s="77">
        <f t="shared" si="25"/>
        <v>12810</v>
      </c>
      <c r="I268" s="84">
        <v>1657.14285714286</v>
      </c>
      <c r="J268" s="84">
        <v>82.8571428571429</v>
      </c>
      <c r="K268" s="74">
        <v>1740</v>
      </c>
      <c r="L268" s="85"/>
      <c r="M268" s="85"/>
      <c r="N268" s="85">
        <f t="shared" si="23"/>
        <v>-3117</v>
      </c>
      <c r="O268" s="88"/>
    </row>
    <row r="269" ht="15.2" spans="1:15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</v>
      </c>
      <c r="H269" s="81">
        <f t="shared" si="25"/>
        <v>-1530</v>
      </c>
      <c r="I269" s="84">
        <v>2771.42857142857</v>
      </c>
      <c r="J269" s="84">
        <v>138.571428571429</v>
      </c>
      <c r="K269" s="74">
        <v>2910</v>
      </c>
      <c r="L269" s="86"/>
      <c r="M269" s="85">
        <v>4650</v>
      </c>
      <c r="N269" s="85">
        <f t="shared" si="23"/>
        <v>2431.2</v>
      </c>
      <c r="O269" s="88"/>
    </row>
    <row r="270" s="67" customFormat="1" ht="15.2" spans="1:15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</v>
      </c>
      <c r="K270" s="93">
        <v>1042.5</v>
      </c>
      <c r="L270" s="102"/>
      <c r="M270" s="101"/>
      <c r="N270" s="101">
        <f t="shared" si="23"/>
        <v>294</v>
      </c>
      <c r="O270" s="103"/>
    </row>
    <row r="271" s="67" customFormat="1" ht="15.2" spans="1:15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1738.09523809524</v>
      </c>
      <c r="J271" s="100">
        <v>86.9047619047619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ht="15.2" spans="1:15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994.285714285714</v>
      </c>
      <c r="J272" s="84">
        <v>49.7142857142857</v>
      </c>
      <c r="K272" s="74">
        <v>1044</v>
      </c>
      <c r="L272" s="85"/>
      <c r="M272" s="85"/>
      <c r="N272" s="85">
        <f t="shared" si="23"/>
        <v>294</v>
      </c>
      <c r="O272" s="88"/>
    </row>
    <row r="273" ht="15.2" spans="1:15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</v>
      </c>
      <c r="H273" s="81">
        <f t="shared" si="25"/>
        <v>1168</v>
      </c>
      <c r="I273" s="84">
        <v>973.333333333333</v>
      </c>
      <c r="J273" s="84">
        <v>48.6666666666667</v>
      </c>
      <c r="K273" s="74">
        <v>1022</v>
      </c>
      <c r="L273" s="86"/>
      <c r="M273" s="85"/>
      <c r="N273" s="85">
        <f t="shared" si="23"/>
        <v>99.2</v>
      </c>
      <c r="O273" s="88"/>
    </row>
    <row r="274" ht="15.2" spans="1:15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49.5192307692308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294.84</v>
      </c>
      <c r="O274" s="88"/>
    </row>
    <row r="275" ht="15.2" spans="1:15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1866.66666666667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ht="15.2" spans="1:15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980.571428571428</v>
      </c>
      <c r="J276" s="84">
        <v>49.0285714285714</v>
      </c>
      <c r="K276" s="74">
        <v>1029.6</v>
      </c>
      <c r="L276" s="85"/>
      <c r="M276" s="85"/>
      <c r="N276" s="85">
        <f t="shared" si="23"/>
        <v>-78</v>
      </c>
      <c r="O276" s="88"/>
    </row>
    <row r="277" ht="15.2" spans="1:15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ht="15.2" spans="1:15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</v>
      </c>
      <c r="J278" s="84">
        <v>53.6666666666667</v>
      </c>
      <c r="K278" s="74">
        <v>1127</v>
      </c>
      <c r="L278" s="85"/>
      <c r="M278" s="85"/>
      <c r="N278" s="85">
        <f t="shared" si="23"/>
        <v>394.8</v>
      </c>
      <c r="O278" s="88"/>
    </row>
    <row r="279" ht="15.2" spans="1:15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</v>
      </c>
      <c r="J279" s="84">
        <v>29.9857142857143</v>
      </c>
      <c r="K279" s="74">
        <v>629.7</v>
      </c>
      <c r="L279" s="86">
        <v>-0.3</v>
      </c>
      <c r="M279" s="85">
        <v>3698</v>
      </c>
      <c r="N279" s="85">
        <f t="shared" si="23"/>
        <v>-755.64</v>
      </c>
      <c r="O279" s="88"/>
    </row>
    <row r="280" ht="15.2" spans="1:15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</v>
      </c>
      <c r="J280" s="84">
        <v>39.2380952380952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ht="15.2" spans="1:15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1187.34</v>
      </c>
      <c r="G281" s="82">
        <f t="shared" si="26"/>
        <v>80</v>
      </c>
      <c r="H281" s="81">
        <f t="shared" si="27"/>
        <v>1439.2</v>
      </c>
      <c r="I281" s="84">
        <v>342.666666666667</v>
      </c>
      <c r="J281" s="84">
        <v>17.1333333333333</v>
      </c>
      <c r="K281" s="74">
        <v>359.8</v>
      </c>
      <c r="L281" s="86"/>
      <c r="M281" s="85"/>
      <c r="N281" s="85">
        <f t="shared" si="23"/>
        <v>-827.54</v>
      </c>
      <c r="O281" s="88"/>
    </row>
    <row r="282" ht="15.2" spans="1:15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380.761904761905</v>
      </c>
      <c r="J282" s="84">
        <v>19.0380952380952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ht="15.2" spans="1:15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ht="15.2" spans="1:15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</v>
      </c>
      <c r="J284" s="84">
        <v>32.1309523809524</v>
      </c>
      <c r="K284" s="74">
        <f>2699-2024.25</f>
        <v>674.75</v>
      </c>
      <c r="L284" s="86"/>
      <c r="M284" s="85"/>
      <c r="N284" s="85">
        <f t="shared" si="23"/>
        <v>-1106.59</v>
      </c>
      <c r="O284" s="88"/>
    </row>
    <row r="285" ht="15.2" spans="1:15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19.99</v>
      </c>
      <c r="K285" s="74">
        <f>1999-1579.21</f>
        <v>419.79</v>
      </c>
      <c r="L285" s="85"/>
      <c r="M285" s="85"/>
      <c r="N285" s="85">
        <f t="shared" si="23"/>
        <v>-899.55</v>
      </c>
      <c r="O285" s="88"/>
    </row>
    <row r="286" ht="15.2" spans="1:15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19.99</v>
      </c>
      <c r="K286" s="74">
        <v>419.79</v>
      </c>
      <c r="L286" s="86"/>
      <c r="M286" s="85"/>
      <c r="N286" s="85">
        <f t="shared" si="23"/>
        <v>-899.55</v>
      </c>
      <c r="O286" s="88"/>
    </row>
    <row r="287" ht="15.2" spans="1:15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ht="15.2" spans="1:15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ht="15.2" spans="1:15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</v>
      </c>
      <c r="J289" s="84">
        <v>23.4285714285714</v>
      </c>
      <c r="K289" s="74">
        <v>492</v>
      </c>
      <c r="L289" s="86"/>
      <c r="M289" s="85">
        <v>1556</v>
      </c>
      <c r="N289" s="85">
        <f t="shared" si="23"/>
        <v>133.2</v>
      </c>
      <c r="O289" s="88"/>
    </row>
    <row r="290" ht="15.2" spans="1:15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58.0555555555556</v>
      </c>
      <c r="H290" s="81">
        <f t="shared" si="27"/>
        <v>877.8</v>
      </c>
      <c r="I290" s="84">
        <v>604</v>
      </c>
      <c r="J290" s="84">
        <v>30.2</v>
      </c>
      <c r="K290" s="74">
        <v>634.2</v>
      </c>
      <c r="L290" s="86"/>
      <c r="M290" s="85"/>
      <c r="N290" s="85">
        <f t="shared" si="23"/>
        <v>123</v>
      </c>
      <c r="O290" s="88"/>
    </row>
    <row r="291" ht="15.2" spans="1:15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190.62</v>
      </c>
      <c r="O291" s="88"/>
    </row>
    <row r="292" ht="15.2" spans="1:15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64.6818181818182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ht="15.2" spans="1:15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</v>
      </c>
      <c r="H293" s="77">
        <f t="shared" si="27"/>
        <v>896</v>
      </c>
      <c r="I293" s="84">
        <v>868.571428571429</v>
      </c>
      <c r="J293" s="84">
        <v>43.4285714285714</v>
      </c>
      <c r="K293" s="74">
        <v>912</v>
      </c>
      <c r="L293" s="85"/>
      <c r="M293" s="85"/>
      <c r="N293" s="85">
        <f t="shared" si="23"/>
        <v>337.6</v>
      </c>
      <c r="O293" s="88"/>
    </row>
    <row r="294" ht="15.2" spans="1:15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</v>
      </c>
      <c r="J294" s="84">
        <v>23.4285714285714</v>
      </c>
      <c r="K294" s="74">
        <v>492</v>
      </c>
      <c r="L294" s="86">
        <v>0.05</v>
      </c>
      <c r="M294" s="85">
        <v>3750</v>
      </c>
      <c r="N294" s="85">
        <f t="shared" si="23"/>
        <v>133.2</v>
      </c>
      <c r="O294" s="88"/>
    </row>
    <row r="295" ht="15.2" spans="1:15">
      <c r="A295" s="73">
        <v>44974</v>
      </c>
      <c r="B295" s="96" t="s">
        <v>770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</v>
      </c>
      <c r="H295" s="81">
        <f t="shared" si="27"/>
        <v>5059.6</v>
      </c>
      <c r="I295" s="84">
        <v>3786.09523809524</v>
      </c>
      <c r="J295" s="84">
        <v>189.304761904762</v>
      </c>
      <c r="K295" s="77">
        <v>3975.4</v>
      </c>
      <c r="L295" s="86">
        <v>-0.4</v>
      </c>
      <c r="M295" s="85">
        <v>3975</v>
      </c>
      <c r="N295" s="85">
        <f t="shared" si="23"/>
        <v>904.15</v>
      </c>
      <c r="O295" s="88"/>
    </row>
    <row r="296" ht="15.2" spans="1:15">
      <c r="A296" s="73">
        <v>44974</v>
      </c>
      <c r="B296" s="96" t="s">
        <v>771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</v>
      </c>
      <c r="K296" s="74">
        <v>1111.5</v>
      </c>
      <c r="L296" s="86"/>
      <c r="M296" s="85"/>
      <c r="N296" s="85">
        <f t="shared" si="23"/>
        <v>252.2</v>
      </c>
      <c r="O296" s="88"/>
    </row>
    <row r="297" ht="15.2" spans="1:15">
      <c r="A297" s="73">
        <v>44974</v>
      </c>
      <c r="B297" s="73" t="s">
        <v>771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1059.04761904762</v>
      </c>
      <c r="J297" s="84">
        <v>52.952380952381</v>
      </c>
      <c r="K297" s="74">
        <v>1112</v>
      </c>
      <c r="L297" s="85">
        <v>0.5</v>
      </c>
      <c r="M297" s="85">
        <v>2224</v>
      </c>
      <c r="N297" s="85">
        <f t="shared" si="23"/>
        <v>313.6</v>
      </c>
      <c r="O297" s="88"/>
    </row>
    <row r="298" ht="15.2" spans="1:15">
      <c r="A298" s="73">
        <v>44974</v>
      </c>
      <c r="B298" s="73" t="s">
        <v>772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</v>
      </c>
      <c r="H298" s="77">
        <f t="shared" si="27"/>
        <v>1299</v>
      </c>
      <c r="I298" s="84">
        <v>666.666666666667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-619.34</v>
      </c>
      <c r="O298" s="88"/>
    </row>
    <row r="299" ht="15.2" spans="1:15">
      <c r="A299" s="73">
        <v>44974</v>
      </c>
      <c r="B299" s="73" t="s">
        <v>773</v>
      </c>
      <c r="C299" s="75">
        <v>8907686227641</v>
      </c>
      <c r="D299" s="74">
        <v>1</v>
      </c>
      <c r="E299" s="74">
        <v>399</v>
      </c>
      <c r="F299" s="74">
        <v>263.34</v>
      </c>
      <c r="G299" s="82">
        <f t="shared" si="26"/>
        <v>20</v>
      </c>
      <c r="H299" s="77">
        <f t="shared" si="27"/>
        <v>79.8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</v>
      </c>
      <c r="O299" s="88"/>
    </row>
    <row r="300" ht="15.2" spans="1:15">
      <c r="A300" s="73">
        <v>44974</v>
      </c>
      <c r="B300" s="96" t="s">
        <v>773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</v>
      </c>
      <c r="H300" s="81">
        <f t="shared" si="27"/>
        <v>109.8</v>
      </c>
      <c r="I300" s="84">
        <v>418.285714285714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</v>
      </c>
      <c r="O300" s="88"/>
    </row>
    <row r="301" ht="15.2" spans="1:15">
      <c r="A301" s="73">
        <v>44974</v>
      </c>
      <c r="B301" s="96" t="s">
        <v>774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</v>
      </c>
      <c r="J301" s="84">
        <v>24.9833333333333</v>
      </c>
      <c r="K301" s="77">
        <v>524.65</v>
      </c>
      <c r="L301" s="86">
        <v>0.35</v>
      </c>
      <c r="M301" s="85">
        <v>525</v>
      </c>
      <c r="N301" s="85">
        <f t="shared" si="23"/>
        <v>-464.69</v>
      </c>
      <c r="O301" s="88"/>
    </row>
    <row r="302" ht="15.2" spans="1:15">
      <c r="A302" s="73">
        <v>44974</v>
      </c>
      <c r="B302" s="96" t="s">
        <v>775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121.2</v>
      </c>
      <c r="O302" s="88"/>
    </row>
    <row r="303" ht="15.2" spans="1:15">
      <c r="A303" s="73">
        <v>44974</v>
      </c>
      <c r="B303" s="73" t="s">
        <v>775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</v>
      </c>
      <c r="J303" s="84">
        <v>43.8095238095238</v>
      </c>
      <c r="K303" s="74">
        <v>920</v>
      </c>
      <c r="L303" s="85"/>
      <c r="M303" s="85">
        <v>1400</v>
      </c>
      <c r="N303" s="85">
        <f t="shared" si="23"/>
        <v>278.4</v>
      </c>
      <c r="O303" s="88"/>
    </row>
    <row r="304" ht="15.2" spans="1:15">
      <c r="A304" s="73">
        <v>44974</v>
      </c>
      <c r="B304" s="73" t="s">
        <v>776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</v>
      </c>
      <c r="J304" s="84">
        <v>23.7976190476191</v>
      </c>
      <c r="K304" s="77">
        <v>499.75</v>
      </c>
      <c r="L304" s="85">
        <v>0.25</v>
      </c>
      <c r="M304" s="85">
        <v>500</v>
      </c>
      <c r="N304" s="85">
        <f t="shared" si="23"/>
        <v>-819.59</v>
      </c>
      <c r="O304" s="88"/>
    </row>
    <row r="305" ht="15.2" spans="1:15">
      <c r="A305" s="73">
        <v>44975</v>
      </c>
      <c r="B305" s="73" t="s">
        <v>777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</v>
      </c>
      <c r="O305" s="88"/>
    </row>
    <row r="306" ht="15.2" spans="1:15">
      <c r="A306" s="73">
        <v>44975</v>
      </c>
      <c r="B306" s="96" t="s">
        <v>777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ht="15.2" spans="1:15">
      <c r="A307" s="73">
        <v>44975</v>
      </c>
      <c r="B307" s="73" t="s">
        <v>777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</v>
      </c>
      <c r="K307" s="74">
        <v>1127.25</v>
      </c>
      <c r="L307" s="85"/>
      <c r="M307" s="85"/>
      <c r="N307" s="85">
        <f t="shared" si="23"/>
        <v>228.75</v>
      </c>
      <c r="O307" s="88"/>
    </row>
    <row r="308" ht="15.2" spans="1:15">
      <c r="A308" s="73">
        <v>44975</v>
      </c>
      <c r="B308" s="96" t="s">
        <v>777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739.285714285714</v>
      </c>
      <c r="J308" s="84">
        <v>36.9642857142857</v>
      </c>
      <c r="K308" s="74">
        <v>776.25</v>
      </c>
      <c r="L308" s="86"/>
      <c r="M308" s="85"/>
      <c r="N308" s="85">
        <f t="shared" si="23"/>
        <v>171.75</v>
      </c>
      <c r="O308" s="88"/>
    </row>
    <row r="309" ht="15.2" spans="1:15">
      <c r="A309" s="73">
        <v>44975</v>
      </c>
      <c r="B309" s="73" t="s">
        <v>777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739.285714285714</v>
      </c>
      <c r="J309" s="84">
        <v>36.9642857142857</v>
      </c>
      <c r="K309" s="74">
        <v>776.25</v>
      </c>
      <c r="L309" s="85"/>
      <c r="M309" s="85"/>
      <c r="N309" s="85">
        <f t="shared" si="23"/>
        <v>141.75</v>
      </c>
      <c r="O309" s="88"/>
    </row>
    <row r="310" ht="15.2" spans="1:15">
      <c r="A310" s="73">
        <v>44975</v>
      </c>
      <c r="B310" s="96" t="s">
        <v>777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35.3571428571429</v>
      </c>
      <c r="K310" s="74">
        <v>742.5</v>
      </c>
      <c r="L310" s="86"/>
      <c r="M310" s="85"/>
      <c r="N310" s="85">
        <f t="shared" si="23"/>
        <v>189</v>
      </c>
      <c r="O310" s="88"/>
    </row>
    <row r="311" ht="15.2" spans="1:15">
      <c r="A311" s="73">
        <v>44975</v>
      </c>
      <c r="B311" s="73" t="s">
        <v>777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</v>
      </c>
      <c r="K311" s="74">
        <v>822</v>
      </c>
      <c r="L311" s="85"/>
      <c r="M311" s="85"/>
      <c r="N311" s="85">
        <f t="shared" si="23"/>
        <v>126</v>
      </c>
      <c r="O311" s="88"/>
    </row>
    <row r="312" ht="15.2" spans="1:15">
      <c r="A312" s="73">
        <v>44975</v>
      </c>
      <c r="B312" s="96" t="s">
        <v>777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</v>
      </c>
      <c r="J312" s="84">
        <v>52.2857142857143</v>
      </c>
      <c r="K312" s="74">
        <v>1098</v>
      </c>
      <c r="L312" s="86"/>
      <c r="M312" s="85"/>
      <c r="N312" s="85">
        <f t="shared" si="23"/>
        <v>364.05</v>
      </c>
      <c r="O312" s="88"/>
    </row>
    <row r="313" ht="15.2" spans="1:15">
      <c r="A313" s="73">
        <v>44975</v>
      </c>
      <c r="B313" s="73" t="s">
        <v>777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1062.85714285714</v>
      </c>
      <c r="J313" s="84">
        <v>53.1428571428571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ht="15.2" spans="1:15">
      <c r="A314" s="73">
        <v>44975</v>
      </c>
      <c r="B314" s="73" t="s">
        <v>778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42.8571428571429</v>
      </c>
      <c r="K314" s="74">
        <v>900</v>
      </c>
      <c r="L314" s="85"/>
      <c r="M314" s="85"/>
      <c r="N314" s="85">
        <f t="shared" si="23"/>
        <v>252</v>
      </c>
      <c r="O314" s="88"/>
    </row>
    <row r="315" ht="15.2" spans="1:15">
      <c r="A315" s="73">
        <v>44975</v>
      </c>
      <c r="B315" s="96" t="s">
        <v>778</v>
      </c>
      <c r="C315" s="75" t="s">
        <v>335</v>
      </c>
      <c r="D315" s="76">
        <v>1.1</v>
      </c>
      <c r="E315" s="74">
        <v>1750</v>
      </c>
      <c r="F315" s="76">
        <v>629</v>
      </c>
      <c r="G315" s="82">
        <f t="shared" si="28"/>
        <v>50</v>
      </c>
      <c r="H315" s="81">
        <f t="shared" si="29"/>
        <v>962.5</v>
      </c>
      <c r="I315" s="84">
        <v>916.666666666667</v>
      </c>
      <c r="J315" s="84">
        <v>45.8333333333333</v>
      </c>
      <c r="K315" s="74">
        <v>962.5</v>
      </c>
      <c r="L315" s="86"/>
      <c r="M315" s="85"/>
      <c r="N315" s="85">
        <f t="shared" si="23"/>
        <v>270.6</v>
      </c>
      <c r="O315" s="88"/>
    </row>
    <row r="316" ht="15.2" spans="1:15">
      <c r="A316" s="73">
        <v>44975</v>
      </c>
      <c r="B316" s="73" t="s">
        <v>778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ht="15.2" spans="1:15">
      <c r="A317" s="73">
        <v>44975</v>
      </c>
      <c r="B317" s="73" t="s">
        <v>779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294.84</v>
      </c>
      <c r="O317" s="88"/>
    </row>
    <row r="318" ht="15.2" spans="1:15">
      <c r="A318" s="73">
        <v>44975</v>
      </c>
      <c r="B318" s="96" t="s">
        <v>779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ht="15.2" spans="1:15">
      <c r="A319" s="73">
        <v>44975</v>
      </c>
      <c r="B319" s="96" t="s">
        <v>780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</v>
      </c>
      <c r="J319" s="84">
        <v>43.3166666666667</v>
      </c>
      <c r="K319" s="74">
        <v>909.65</v>
      </c>
      <c r="L319" s="86"/>
      <c r="M319" s="85"/>
      <c r="N319" s="85">
        <f t="shared" si="23"/>
        <v>-805.69</v>
      </c>
      <c r="O319" s="88"/>
    </row>
    <row r="320" ht="15.2" spans="1:15">
      <c r="A320" s="73">
        <v>44975</v>
      </c>
      <c r="B320" s="73" t="s">
        <v>780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65</v>
      </c>
      <c r="H320" s="77">
        <f t="shared" si="29"/>
        <v>1299.35</v>
      </c>
      <c r="I320" s="84">
        <v>666.333333333333</v>
      </c>
      <c r="J320" s="84">
        <v>33.3166666666667</v>
      </c>
      <c r="K320" s="74">
        <v>699.65</v>
      </c>
      <c r="L320" s="85"/>
      <c r="M320" s="85"/>
      <c r="N320" s="85">
        <f t="shared" si="23"/>
        <v>-619.69</v>
      </c>
      <c r="O320" s="88"/>
    </row>
    <row r="321" ht="15.2" spans="1:15">
      <c r="A321" s="73">
        <v>44975</v>
      </c>
      <c r="B321" s="96" t="s">
        <v>780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65</v>
      </c>
      <c r="H321" s="81">
        <f t="shared" si="29"/>
        <v>1299.35</v>
      </c>
      <c r="I321" s="84">
        <v>666.333333333333</v>
      </c>
      <c r="J321" s="84">
        <v>33.3166666666667</v>
      </c>
      <c r="K321" s="74">
        <v>699.65</v>
      </c>
      <c r="L321" s="86">
        <v>0.05</v>
      </c>
      <c r="M321" s="85">
        <v>2309</v>
      </c>
      <c r="N321" s="85">
        <f t="shared" si="23"/>
        <v>-619.69</v>
      </c>
      <c r="O321" s="88"/>
    </row>
    <row r="322" ht="15.2" spans="1:15">
      <c r="A322" s="73">
        <v>44975</v>
      </c>
      <c r="B322" s="96" t="s">
        <v>781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</v>
      </c>
      <c r="K322" s="74">
        <v>1256</v>
      </c>
      <c r="L322" s="86"/>
      <c r="M322" s="85"/>
      <c r="N322" s="85">
        <f t="shared" ref="N322:N366" si="30">K322-(D322*F322)</f>
        <v>452.8</v>
      </c>
      <c r="O322" s="88"/>
    </row>
    <row r="323" ht="15.2" spans="1:15">
      <c r="A323" s="73">
        <v>44975</v>
      </c>
      <c r="B323" s="73" t="s">
        <v>781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</v>
      </c>
      <c r="O323" s="88"/>
    </row>
    <row r="324" ht="15.2" spans="1:15">
      <c r="A324" s="73">
        <v>44975</v>
      </c>
      <c r="B324" s="73" t="s">
        <v>782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ht="15.2" spans="1:15">
      <c r="A325" s="73">
        <v>44975</v>
      </c>
      <c r="B325" s="73" t="s">
        <v>783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</v>
      </c>
      <c r="H325" s="77">
        <f t="shared" si="29"/>
        <v>1199.4</v>
      </c>
      <c r="I325" s="84">
        <v>761.52380952381</v>
      </c>
      <c r="J325" s="84">
        <v>38.0761904761905</v>
      </c>
      <c r="K325" s="77">
        <v>799.6</v>
      </c>
      <c r="L325" s="85">
        <v>0.4</v>
      </c>
      <c r="M325" s="85">
        <v>800</v>
      </c>
      <c r="N325" s="85">
        <f t="shared" si="30"/>
        <v>-519.74</v>
      </c>
      <c r="O325" s="88"/>
    </row>
    <row r="326" ht="15.2" spans="1:15">
      <c r="A326" s="73">
        <v>44975</v>
      </c>
      <c r="B326" s="73" t="s">
        <v>784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380.761904761905</v>
      </c>
      <c r="J326" s="84">
        <v>19.0380952380952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ht="15.2" spans="1:15">
      <c r="A327" s="73">
        <v>44975</v>
      </c>
      <c r="B327" s="73" t="s">
        <v>785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</v>
      </c>
      <c r="H327" s="77">
        <f t="shared" si="29"/>
        <v>109.8</v>
      </c>
      <c r="I327" s="84">
        <v>418.285714285714</v>
      </c>
      <c r="J327" s="84">
        <v>20.9142857142857</v>
      </c>
      <c r="K327" s="74">
        <v>439.2</v>
      </c>
      <c r="L327" s="85"/>
      <c r="M327" s="85"/>
      <c r="N327" s="85">
        <f t="shared" si="30"/>
        <v>76.86</v>
      </c>
      <c r="O327" s="88"/>
    </row>
    <row r="328" ht="15.2" spans="1:15">
      <c r="A328" s="73">
        <v>44975</v>
      </c>
      <c r="B328" s="96" t="s">
        <v>785</v>
      </c>
      <c r="C328" s="75">
        <v>8907686227641</v>
      </c>
      <c r="D328" s="76">
        <v>1</v>
      </c>
      <c r="E328" s="74">
        <v>-399</v>
      </c>
      <c r="F328" s="76">
        <v>-263.34</v>
      </c>
      <c r="G328" s="82">
        <f t="shared" si="28"/>
        <v>20</v>
      </c>
      <c r="H328" s="81">
        <f t="shared" si="29"/>
        <v>-79.8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</v>
      </c>
      <c r="O328" s="88"/>
    </row>
    <row r="329" ht="15.2" spans="1:15">
      <c r="A329" s="73">
        <v>44977</v>
      </c>
      <c r="B329" s="96" t="s">
        <v>786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-681.69</v>
      </c>
      <c r="O329" s="88"/>
    </row>
    <row r="330" ht="15.2" spans="1:15">
      <c r="A330" s="73">
        <v>44977</v>
      </c>
      <c r="B330" s="73" t="s">
        <v>786</v>
      </c>
      <c r="C330" s="75">
        <v>8903952898652</v>
      </c>
      <c r="D330" s="74">
        <v>1</v>
      </c>
      <c r="E330" s="74">
        <v>1699</v>
      </c>
      <c r="F330" s="74">
        <v>1121.34</v>
      </c>
      <c r="G330" s="82">
        <f t="shared" si="28"/>
        <v>65</v>
      </c>
      <c r="H330" s="77">
        <f t="shared" si="29"/>
        <v>1104.35</v>
      </c>
      <c r="I330" s="84">
        <v>566.333333333333</v>
      </c>
      <c r="J330" s="84">
        <v>28.3166666666667</v>
      </c>
      <c r="K330" s="74">
        <v>594.65</v>
      </c>
      <c r="L330" s="85"/>
      <c r="M330" s="85"/>
      <c r="N330" s="85">
        <f t="shared" si="30"/>
        <v>-526.69</v>
      </c>
      <c r="O330" s="88"/>
    </row>
    <row r="331" ht="15.2" spans="1:15">
      <c r="A331" s="73">
        <v>44977</v>
      </c>
      <c r="B331" s="96" t="s">
        <v>786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</v>
      </c>
      <c r="J331" s="84">
        <v>38.3166666666667</v>
      </c>
      <c r="K331" s="74">
        <v>804.65</v>
      </c>
      <c r="L331" s="86">
        <v>0.05</v>
      </c>
      <c r="M331" s="85">
        <v>2169</v>
      </c>
      <c r="N331" s="85">
        <f t="shared" si="30"/>
        <v>-712.69</v>
      </c>
      <c r="O331" s="88"/>
    </row>
    <row r="332" ht="15.2" spans="1:15">
      <c r="A332" s="73">
        <v>44977</v>
      </c>
      <c r="B332" s="96" t="s">
        <v>787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65</v>
      </c>
      <c r="H332" s="81">
        <f t="shared" si="29"/>
        <v>1169.35</v>
      </c>
      <c r="I332" s="84">
        <v>599.666666666667</v>
      </c>
      <c r="J332" s="84">
        <v>29.9833333333333</v>
      </c>
      <c r="K332" s="74">
        <v>629.65</v>
      </c>
      <c r="L332" s="86"/>
      <c r="M332" s="85"/>
      <c r="N332" s="85">
        <f t="shared" si="30"/>
        <v>2427.65</v>
      </c>
      <c r="O332" s="88"/>
    </row>
    <row r="333" ht="15.2" spans="1:15">
      <c r="A333" s="73">
        <v>44977</v>
      </c>
      <c r="B333" s="73" t="s">
        <v>787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</v>
      </c>
      <c r="H333" s="77">
        <f t="shared" si="29"/>
        <v>79.35</v>
      </c>
      <c r="I333" s="84">
        <v>428.238095238095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ht="15.2" spans="1:15">
      <c r="A334" s="73">
        <v>44977</v>
      </c>
      <c r="B334" s="96" t="s">
        <v>787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ht="15.2" spans="1:15">
      <c r="A335" s="73">
        <v>44977</v>
      </c>
      <c r="B335" s="96" t="s">
        <v>788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</v>
      </c>
      <c r="K335" s="74">
        <v>1390</v>
      </c>
      <c r="L335" s="86"/>
      <c r="M335" s="85"/>
      <c r="N335" s="85">
        <f t="shared" si="30"/>
        <v>730</v>
      </c>
      <c r="O335" s="88"/>
    </row>
    <row r="336" ht="15.2" spans="1:15">
      <c r="A336" s="73">
        <v>44977</v>
      </c>
      <c r="B336" s="73" t="s">
        <v>788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ht="15.2" spans="1:15">
      <c r="A337" s="73">
        <v>44977</v>
      </c>
      <c r="B337" s="73" t="s">
        <v>789</v>
      </c>
      <c r="C337" s="75">
        <v>8907259517285</v>
      </c>
      <c r="D337" s="74">
        <v>1</v>
      </c>
      <c r="E337" s="74">
        <v>1899</v>
      </c>
      <c r="F337" s="74">
        <v>1253.34</v>
      </c>
      <c r="G337" s="82">
        <f t="shared" si="28"/>
        <v>67</v>
      </c>
      <c r="H337" s="77">
        <f t="shared" si="29"/>
        <v>1272.33</v>
      </c>
      <c r="I337" s="84">
        <v>596.828571428571</v>
      </c>
      <c r="J337" s="84">
        <v>29.8414285714286</v>
      </c>
      <c r="K337" s="77">
        <v>626.67</v>
      </c>
      <c r="L337" s="85">
        <v>0.33</v>
      </c>
      <c r="M337" s="85">
        <v>627</v>
      </c>
      <c r="N337" s="85">
        <f t="shared" si="30"/>
        <v>-626.67</v>
      </c>
      <c r="O337" s="88"/>
    </row>
    <row r="338" ht="15.2" spans="1:15">
      <c r="A338" s="73">
        <v>44978</v>
      </c>
      <c r="B338" s="73" t="s">
        <v>790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466.333333333333</v>
      </c>
      <c r="J338" s="84">
        <v>23.3166666666667</v>
      </c>
      <c r="K338" s="74">
        <v>489.65</v>
      </c>
      <c r="L338" s="85"/>
      <c r="M338" s="85"/>
      <c r="N338" s="85">
        <f t="shared" si="30"/>
        <v>-433.69</v>
      </c>
      <c r="O338" s="88"/>
    </row>
    <row r="339" ht="15.2" spans="1:15">
      <c r="A339" s="73">
        <v>44978</v>
      </c>
      <c r="B339" s="96" t="s">
        <v>790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</v>
      </c>
      <c r="J339" s="84">
        <v>24.9833333333333</v>
      </c>
      <c r="K339" s="74">
        <v>524.65</v>
      </c>
      <c r="L339" s="86">
        <v>0.7</v>
      </c>
      <c r="M339" s="85">
        <v>1015</v>
      </c>
      <c r="N339" s="85">
        <f t="shared" si="30"/>
        <v>-464.69</v>
      </c>
      <c r="O339" s="88"/>
    </row>
    <row r="340" ht="15.2" spans="1:15">
      <c r="A340" s="73">
        <v>44978</v>
      </c>
      <c r="B340" s="96" t="s">
        <v>791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</v>
      </c>
      <c r="K340" s="74">
        <v>1049.65</v>
      </c>
      <c r="L340" s="86"/>
      <c r="M340" s="85"/>
      <c r="N340" s="85">
        <f t="shared" si="30"/>
        <v>-929.69</v>
      </c>
      <c r="O340" s="88"/>
    </row>
    <row r="341" ht="15.2" spans="1:15">
      <c r="A341" s="73">
        <v>44978</v>
      </c>
      <c r="B341" s="73" t="s">
        <v>791</v>
      </c>
      <c r="C341" s="75">
        <v>8907378032713</v>
      </c>
      <c r="D341" s="74">
        <v>1</v>
      </c>
      <c r="E341" s="74">
        <v>399</v>
      </c>
      <c r="F341" s="74">
        <v>263.34</v>
      </c>
      <c r="G341" s="82">
        <f t="shared" si="28"/>
        <v>15</v>
      </c>
      <c r="H341" s="77">
        <f t="shared" si="29"/>
        <v>59.85</v>
      </c>
      <c r="I341" s="84">
        <v>323</v>
      </c>
      <c r="J341" s="84">
        <v>16.15</v>
      </c>
      <c r="K341" s="74">
        <v>339.15</v>
      </c>
      <c r="L341" s="85"/>
      <c r="M341" s="85"/>
      <c r="N341" s="85">
        <f t="shared" si="30"/>
        <v>75.8099999999999</v>
      </c>
      <c r="O341" s="88"/>
    </row>
    <row r="342" ht="15.2" spans="1:15">
      <c r="A342" s="73">
        <v>44978</v>
      </c>
      <c r="B342" s="96" t="s">
        <v>791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15</v>
      </c>
      <c r="H342" s="81">
        <f t="shared" ref="H342:H352" si="32">D342*E342-K342</f>
        <v>40.35</v>
      </c>
      <c r="I342" s="84">
        <v>217.761904761905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</v>
      </c>
      <c r="O342" s="88"/>
    </row>
    <row r="343" ht="15.2" spans="1:15">
      <c r="A343" s="73">
        <v>44978</v>
      </c>
      <c r="B343" s="96" t="s">
        <v>792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</v>
      </c>
      <c r="J343" s="84">
        <v>28.9285714285714</v>
      </c>
      <c r="K343" s="74">
        <v>607.5</v>
      </c>
      <c r="L343" s="86"/>
      <c r="M343" s="85"/>
      <c r="N343" s="85">
        <f t="shared" si="30"/>
        <v>120</v>
      </c>
      <c r="O343" s="88"/>
    </row>
    <row r="344" ht="15.2" spans="1:15">
      <c r="A344" s="73">
        <v>44978</v>
      </c>
      <c r="B344" s="73" t="s">
        <v>792</v>
      </c>
      <c r="C344" s="75" t="s">
        <v>173</v>
      </c>
      <c r="D344" s="74">
        <v>1.7</v>
      </c>
      <c r="E344" s="74">
        <v>950</v>
      </c>
      <c r="F344" s="74">
        <v>321.47</v>
      </c>
      <c r="G344" s="82">
        <f t="shared" si="31"/>
        <v>50</v>
      </c>
      <c r="H344" s="77">
        <f t="shared" si="32"/>
        <v>807.5</v>
      </c>
      <c r="I344" s="84">
        <v>769.047619047619</v>
      </c>
      <c r="J344" s="84">
        <v>38.452380952381</v>
      </c>
      <c r="K344" s="74">
        <v>807.5</v>
      </c>
      <c r="L344" s="85"/>
      <c r="M344" s="85"/>
      <c r="N344" s="85">
        <f t="shared" si="30"/>
        <v>261.001</v>
      </c>
      <c r="O344" s="88"/>
    </row>
    <row r="345" ht="15.2" spans="1:15">
      <c r="A345" s="73">
        <v>44978</v>
      </c>
      <c r="B345" s="96" t="s">
        <v>792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914.285714285714</v>
      </c>
      <c r="J345" s="84">
        <v>45.7142857142857</v>
      </c>
      <c r="K345" s="74">
        <v>960</v>
      </c>
      <c r="L345" s="86"/>
      <c r="M345" s="85"/>
      <c r="N345" s="85">
        <f t="shared" si="30"/>
        <v>304</v>
      </c>
      <c r="O345" s="88"/>
    </row>
    <row r="346" ht="15.2" spans="1:15">
      <c r="A346" s="73">
        <v>44978</v>
      </c>
      <c r="B346" s="73" t="s">
        <v>792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678.095238095238</v>
      </c>
      <c r="J346" s="84">
        <v>33.9047619047619</v>
      </c>
      <c r="K346" s="74">
        <v>712</v>
      </c>
      <c r="L346" s="85"/>
      <c r="M346" s="85">
        <v>3087</v>
      </c>
      <c r="N346" s="85">
        <f t="shared" si="30"/>
        <v>201.6</v>
      </c>
      <c r="O346" s="88"/>
    </row>
    <row r="347" ht="15.2" spans="1:15">
      <c r="A347" s="73">
        <v>44978</v>
      </c>
      <c r="B347" s="73" t="s">
        <v>793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</v>
      </c>
      <c r="J347" s="84">
        <v>39.8809523809524</v>
      </c>
      <c r="K347" s="74">
        <v>837.5</v>
      </c>
      <c r="L347" s="85"/>
      <c r="M347" s="85"/>
      <c r="N347" s="85">
        <f t="shared" si="30"/>
        <v>213.75</v>
      </c>
      <c r="O347" s="88"/>
    </row>
    <row r="348" ht="15.2" spans="1:15">
      <c r="A348" s="73">
        <v>44978</v>
      </c>
      <c r="B348" s="96" t="s">
        <v>793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</v>
      </c>
      <c r="J348" s="84">
        <v>54.8571428571429</v>
      </c>
      <c r="K348" s="74">
        <v>1152</v>
      </c>
      <c r="L348" s="86">
        <v>0.5</v>
      </c>
      <c r="M348" s="85">
        <v>1990</v>
      </c>
      <c r="N348" s="85">
        <f t="shared" si="30"/>
        <v>379.2</v>
      </c>
      <c r="O348" s="88"/>
    </row>
    <row r="349" ht="15.2" spans="1:15">
      <c r="A349" s="73">
        <v>44978</v>
      </c>
      <c r="B349" s="96" t="s">
        <v>794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</v>
      </c>
      <c r="J349" s="84">
        <v>52.8571428571429</v>
      </c>
      <c r="K349" s="85">
        <v>1110</v>
      </c>
      <c r="L349" s="86"/>
      <c r="M349" s="85"/>
      <c r="N349" s="85">
        <f t="shared" si="30"/>
        <v>373.2</v>
      </c>
      <c r="O349" s="88"/>
    </row>
    <row r="350" ht="15.2" spans="1:15">
      <c r="A350" s="73">
        <v>44978</v>
      </c>
      <c r="B350" s="73" t="s">
        <v>794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</v>
      </c>
      <c r="J350" s="84">
        <v>31.2380952380952</v>
      </c>
      <c r="K350" s="85">
        <v>656</v>
      </c>
      <c r="L350" s="85"/>
      <c r="M350" s="85">
        <v>1766</v>
      </c>
      <c r="N350" s="85">
        <f t="shared" si="30"/>
        <v>177.6</v>
      </c>
      <c r="O350" s="88"/>
    </row>
    <row r="351" ht="15.2" spans="1:15">
      <c r="A351" s="73">
        <v>44978</v>
      </c>
      <c r="B351" s="73" t="s">
        <v>795</v>
      </c>
      <c r="C351" s="104" t="s">
        <v>18</v>
      </c>
      <c r="D351" s="74">
        <v>1.6</v>
      </c>
      <c r="E351" s="85">
        <v>890</v>
      </c>
      <c r="F351" s="74">
        <v>321.47</v>
      </c>
      <c r="G351" s="82">
        <f t="shared" si="31"/>
        <v>50</v>
      </c>
      <c r="H351" s="77">
        <f t="shared" si="32"/>
        <v>712</v>
      </c>
      <c r="I351" s="84">
        <v>678.095238095238</v>
      </c>
      <c r="J351" s="84">
        <v>33.9047619047619</v>
      </c>
      <c r="K351" s="85">
        <v>712</v>
      </c>
      <c r="L351" s="85"/>
      <c r="M351" s="85"/>
      <c r="N351" s="85">
        <f t="shared" si="30"/>
        <v>197.648</v>
      </c>
      <c r="O351" s="88"/>
    </row>
    <row r="352" ht="15.2" spans="1:15">
      <c r="A352" s="73">
        <v>44978</v>
      </c>
      <c r="B352" s="96" t="s">
        <v>795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471.428571428571</v>
      </c>
      <c r="J352" s="84">
        <v>23.5714285714286</v>
      </c>
      <c r="K352" s="85">
        <v>495</v>
      </c>
      <c r="L352" s="86"/>
      <c r="M352" s="85">
        <v>1207</v>
      </c>
      <c r="N352" s="85">
        <f t="shared" si="30"/>
        <v>158.4</v>
      </c>
      <c r="O352" s="88"/>
    </row>
    <row r="353" ht="15.2" spans="1:15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32.8428571428571</v>
      </c>
      <c r="K353" s="77">
        <v>689.7</v>
      </c>
      <c r="L353" s="85">
        <v>0.3</v>
      </c>
      <c r="M353" s="85">
        <v>690</v>
      </c>
      <c r="N353" s="85">
        <f t="shared" si="30"/>
        <v>-827.64</v>
      </c>
      <c r="O353" s="88"/>
    </row>
    <row r="354" ht="15.2" spans="1:15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</v>
      </c>
      <c r="J354" s="84">
        <v>37.0952380952381</v>
      </c>
      <c r="K354" s="74">
        <v>779</v>
      </c>
      <c r="L354" s="85"/>
      <c r="M354" s="85"/>
      <c r="N354" s="85">
        <f t="shared" si="30"/>
        <v>210.9</v>
      </c>
      <c r="O354" s="88"/>
    </row>
    <row r="355" ht="15.2" spans="1:15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</v>
      </c>
      <c r="J355" s="84">
        <v>22.2857142857143</v>
      </c>
      <c r="K355" s="74">
        <v>468</v>
      </c>
      <c r="L355" s="86"/>
      <c r="M355" s="85"/>
      <c r="N355" s="85">
        <f t="shared" si="30"/>
        <v>109.2</v>
      </c>
      <c r="O355" s="88"/>
    </row>
    <row r="356" ht="15.2" spans="1:15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</v>
      </c>
      <c r="H356" s="77">
        <f t="shared" si="34"/>
        <v>1586</v>
      </c>
      <c r="I356" s="84">
        <v>1511.42857142857</v>
      </c>
      <c r="J356" s="84">
        <v>75.5714285714286</v>
      </c>
      <c r="K356" s="74">
        <v>1587</v>
      </c>
      <c r="L356" s="85"/>
      <c r="M356" s="85"/>
      <c r="N356" s="85">
        <f t="shared" si="30"/>
        <v>391.71</v>
      </c>
      <c r="O356" s="88"/>
    </row>
    <row r="357" ht="15.2" spans="1:15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</v>
      </c>
      <c r="J357" s="84">
        <v>35.2857142857143</v>
      </c>
      <c r="K357" s="74">
        <v>741</v>
      </c>
      <c r="L357" s="86"/>
      <c r="M357" s="85"/>
      <c r="N357" s="85">
        <f t="shared" si="30"/>
        <v>222.3</v>
      </c>
      <c r="O357" s="88"/>
    </row>
    <row r="358" ht="15.2" spans="1:15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</v>
      </c>
      <c r="J358" s="84">
        <v>52.4761904761905</v>
      </c>
      <c r="K358" s="74">
        <v>1102</v>
      </c>
      <c r="L358" s="85"/>
      <c r="M358" s="85">
        <v>4677</v>
      </c>
      <c r="N358" s="85">
        <f t="shared" si="30"/>
        <v>343.9</v>
      </c>
      <c r="O358" s="88"/>
    </row>
    <row r="359" ht="15.2" spans="1:15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137.619047619048</v>
      </c>
      <c r="J359" s="84">
        <v>6.88095238095238</v>
      </c>
      <c r="K359" s="77">
        <v>144.5</v>
      </c>
      <c r="L359" s="85"/>
      <c r="M359" s="85">
        <v>145</v>
      </c>
      <c r="N359" s="85">
        <f t="shared" si="30"/>
        <v>-46.24</v>
      </c>
      <c r="O359" s="88"/>
    </row>
    <row r="360" ht="15.2" spans="1:15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36.8571428571429</v>
      </c>
      <c r="K360" s="74">
        <v>774</v>
      </c>
      <c r="L360" s="85"/>
      <c r="M360" s="85"/>
      <c r="N360" s="85">
        <f t="shared" si="30"/>
        <v>283.2</v>
      </c>
      <c r="O360" s="88"/>
    </row>
    <row r="361" ht="15.2" spans="1:15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</v>
      </c>
      <c r="J361" s="84">
        <v>27.4285714285714</v>
      </c>
      <c r="K361" s="74">
        <v>576</v>
      </c>
      <c r="L361" s="86"/>
      <c r="M361" s="85">
        <v>1350</v>
      </c>
      <c r="N361" s="85">
        <f t="shared" si="30"/>
        <v>157.2</v>
      </c>
      <c r="O361" s="88"/>
    </row>
    <row r="362" ht="15.2" spans="1:15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</v>
      </c>
      <c r="J362" s="84">
        <v>66.2857142857143</v>
      </c>
      <c r="K362" s="74">
        <v>1392</v>
      </c>
      <c r="L362" s="86"/>
      <c r="M362" s="85"/>
      <c r="N362" s="85">
        <f t="shared" si="30"/>
        <v>297.6</v>
      </c>
      <c r="O362" s="88"/>
    </row>
    <row r="363" ht="15.2" spans="1:15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</v>
      </c>
      <c r="J363" s="84">
        <v>79.8571428571429</v>
      </c>
      <c r="K363" s="74">
        <v>1677</v>
      </c>
      <c r="L363" s="85"/>
      <c r="M363" s="85"/>
      <c r="N363" s="85">
        <f t="shared" si="30"/>
        <v>286.39</v>
      </c>
      <c r="O363" s="88"/>
    </row>
    <row r="364" ht="15.2" spans="1:15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</v>
      </c>
      <c r="O364" s="88"/>
    </row>
    <row r="365" ht="15.2" spans="1:15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ht="15.2" spans="1:15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584.8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</v>
      </c>
      <c r="K366" s="74">
        <v>1032</v>
      </c>
      <c r="L366" s="86"/>
      <c r="M366" s="85"/>
      <c r="N366" s="85">
        <f t="shared" si="30"/>
        <v>330.24</v>
      </c>
      <c r="O366" s="88"/>
    </row>
    <row r="367" ht="15.2" spans="1:15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</v>
      </c>
      <c r="J367" s="84">
        <v>36.2857142857143</v>
      </c>
      <c r="K367" s="74">
        <v>762</v>
      </c>
      <c r="L367" s="85"/>
      <c r="M367" s="85">
        <v>11551</v>
      </c>
      <c r="N367" s="85">
        <f t="shared" ref="N367:N421" si="35">K367-(D367*F367)</f>
        <v>214.8</v>
      </c>
      <c r="O367" s="88"/>
    </row>
    <row r="368" ht="15.2" spans="1:15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1302.85714285714</v>
      </c>
      <c r="J368" s="84">
        <v>65.1428571428572</v>
      </c>
      <c r="K368" s="74">
        <v>1368</v>
      </c>
      <c r="L368" s="85"/>
      <c r="M368" s="85"/>
      <c r="N368" s="85">
        <f t="shared" si="35"/>
        <v>382.4</v>
      </c>
      <c r="O368" s="88"/>
    </row>
    <row r="369" ht="15.2" spans="1:15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50.8571428571429</v>
      </c>
      <c r="K369" s="74">
        <v>1068</v>
      </c>
      <c r="L369" s="86"/>
      <c r="M369" s="85"/>
      <c r="N369" s="85">
        <f t="shared" si="35"/>
        <v>351.6</v>
      </c>
      <c r="O369" s="88"/>
    </row>
    <row r="370" ht="15.2" spans="1:15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586.666666666667</v>
      </c>
      <c r="J370" s="84">
        <v>29.3333333333333</v>
      </c>
      <c r="K370" s="74">
        <v>616</v>
      </c>
      <c r="L370" s="85"/>
      <c r="M370" s="85"/>
      <c r="N370" s="85">
        <f t="shared" si="35"/>
        <v>177.6</v>
      </c>
      <c r="O370" s="88"/>
    </row>
    <row r="371" ht="15.2" spans="1:15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</v>
      </c>
      <c r="J371" s="84">
        <v>43.4285714285714</v>
      </c>
      <c r="K371" s="74">
        <v>912</v>
      </c>
      <c r="L371" s="86"/>
      <c r="M371" s="85"/>
      <c r="N371" s="85">
        <f t="shared" si="35"/>
        <v>337.6</v>
      </c>
      <c r="O371" s="88"/>
    </row>
    <row r="372" ht="15.2" spans="1:15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</v>
      </c>
      <c r="J372" s="84">
        <v>53.6666666666667</v>
      </c>
      <c r="K372" s="74">
        <v>1127</v>
      </c>
      <c r="L372" s="85"/>
      <c r="M372" s="85"/>
      <c r="N372" s="85">
        <f t="shared" si="35"/>
        <v>408.8</v>
      </c>
      <c r="O372" s="88"/>
    </row>
    <row r="373" ht="15.2" spans="1:15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</v>
      </c>
      <c r="H373" s="81">
        <f t="shared" si="34"/>
        <v>1589</v>
      </c>
      <c r="I373" s="84">
        <v>1514.28571428571</v>
      </c>
      <c r="J373" s="84">
        <v>75.7142857142857</v>
      </c>
      <c r="K373" s="74">
        <v>1590</v>
      </c>
      <c r="L373" s="86"/>
      <c r="M373" s="85"/>
      <c r="N373" s="85">
        <f t="shared" si="35"/>
        <v>449.3</v>
      </c>
      <c r="O373" s="88"/>
    </row>
    <row r="374" ht="15.2" spans="1:15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523.809523809524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ht="15.2" spans="1:15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49.9883040935673</v>
      </c>
      <c r="H375" s="81">
        <f t="shared" si="34"/>
        <v>1068.5</v>
      </c>
      <c r="I375" s="84">
        <v>1018.09523809524</v>
      </c>
      <c r="J375" s="84">
        <v>50.9047619047619</v>
      </c>
      <c r="K375" s="74">
        <v>1069</v>
      </c>
      <c r="L375" s="86"/>
      <c r="M375" s="85"/>
      <c r="N375" s="85">
        <f t="shared" si="35"/>
        <v>225.25</v>
      </c>
      <c r="O375" s="88"/>
    </row>
    <row r="376" ht="15.2" spans="1:15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</v>
      </c>
      <c r="O376" s="88"/>
    </row>
    <row r="377" ht="15.2" spans="1:15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1242.85714285714</v>
      </c>
      <c r="J377" s="84">
        <v>62.1428571428571</v>
      </c>
      <c r="K377" s="74">
        <v>1305</v>
      </c>
      <c r="L377" s="86"/>
      <c r="M377" s="85"/>
      <c r="N377" s="85">
        <f t="shared" si="35"/>
        <v>477</v>
      </c>
      <c r="O377" s="88"/>
    </row>
    <row r="378" ht="15.2" spans="1:15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50.017371163868</v>
      </c>
      <c r="H378" s="77">
        <f t="shared" si="34"/>
        <v>1079.75</v>
      </c>
      <c r="I378" s="84">
        <v>1027.61904761905</v>
      </c>
      <c r="J378" s="84">
        <v>51.3809523809524</v>
      </c>
      <c r="K378" s="74">
        <v>1079</v>
      </c>
      <c r="L378" s="85"/>
      <c r="M378" s="85"/>
      <c r="N378" s="85">
        <f t="shared" si="35"/>
        <v>-345.775</v>
      </c>
      <c r="O378" s="88"/>
    </row>
    <row r="379" ht="15.2" spans="1:15">
      <c r="A379" s="73">
        <v>44980</v>
      </c>
      <c r="B379" s="76" t="s">
        <v>59</v>
      </c>
      <c r="C379" s="75" t="s">
        <v>375</v>
      </c>
      <c r="D379" s="76">
        <v>2.2</v>
      </c>
      <c r="E379" s="74">
        <v>1155</v>
      </c>
      <c r="F379" s="76">
        <v>525</v>
      </c>
      <c r="G379" s="82">
        <f t="shared" si="33"/>
        <v>49.9803227075954</v>
      </c>
      <c r="H379" s="81">
        <f t="shared" si="34"/>
        <v>1270</v>
      </c>
      <c r="I379" s="84">
        <v>1210.47619047619</v>
      </c>
      <c r="J379" s="84">
        <v>60.5238095238095</v>
      </c>
      <c r="K379" s="74">
        <v>1271</v>
      </c>
      <c r="L379" s="86"/>
      <c r="M379" s="85"/>
      <c r="N379" s="85">
        <f t="shared" si="35"/>
        <v>116</v>
      </c>
      <c r="O379" s="88"/>
    </row>
    <row r="380" ht="15.2" spans="1:15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55.6190476190476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ht="15.2" spans="1:15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-774.69</v>
      </c>
      <c r="O381" s="88"/>
    </row>
    <row r="382" ht="15.2" spans="1:15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</v>
      </c>
      <c r="J382" s="84">
        <v>0.980509745127436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ht="15.2" spans="1:15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714.285714285714</v>
      </c>
      <c r="J383" s="84">
        <v>35.7142857142857</v>
      </c>
      <c r="K383" s="74">
        <v>750</v>
      </c>
      <c r="L383" s="85"/>
      <c r="M383" s="85"/>
      <c r="N383" s="85">
        <f t="shared" si="35"/>
        <v>220.5</v>
      </c>
      <c r="O383" s="88"/>
    </row>
    <row r="384" ht="15.2" spans="1:15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</v>
      </c>
      <c r="J384" s="84">
        <v>36.7857142857143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ht="15.2" spans="1:15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-774.69</v>
      </c>
      <c r="O385" s="88"/>
    </row>
    <row r="386" ht="15.2" spans="1:15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</v>
      </c>
      <c r="O386" s="88"/>
    </row>
    <row r="387" ht="15.2" spans="1:15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50</v>
      </c>
      <c r="H387" s="77">
        <f t="shared" si="34"/>
        <v>973</v>
      </c>
      <c r="I387" s="84">
        <v>926.666666666667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</v>
      </c>
      <c r="O387" s="88"/>
    </row>
    <row r="388" ht="15.2" spans="1:15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</v>
      </c>
      <c r="J388" s="84">
        <v>19.9833333333333</v>
      </c>
      <c r="K388" s="74">
        <v>419.65</v>
      </c>
      <c r="L388" s="85"/>
      <c r="M388" s="85"/>
      <c r="N388" s="85">
        <f t="shared" si="35"/>
        <v>-371.69</v>
      </c>
      <c r="O388" s="88"/>
    </row>
    <row r="389" ht="15.2" spans="1:15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1253.34</v>
      </c>
      <c r="G389" s="82">
        <f t="shared" si="33"/>
        <v>65</v>
      </c>
      <c r="H389" s="81">
        <f t="shared" si="34"/>
        <v>1234.35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-588.69</v>
      </c>
      <c r="O389" s="88"/>
    </row>
    <row r="390" ht="15.2" spans="1:15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65</v>
      </c>
      <c r="H390" s="81">
        <f t="shared" si="34"/>
        <v>1299.35</v>
      </c>
      <c r="I390" s="84">
        <v>666.333333333333</v>
      </c>
      <c r="J390" s="84">
        <v>33.3166666666667</v>
      </c>
      <c r="K390" s="74">
        <v>699.65</v>
      </c>
      <c r="L390" s="86">
        <v>0.35</v>
      </c>
      <c r="M390" s="85">
        <v>700</v>
      </c>
      <c r="N390" s="85">
        <f t="shared" si="35"/>
        <v>-619.69</v>
      </c>
      <c r="O390" s="88"/>
    </row>
    <row r="391" ht="15.2" spans="1:15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296.34</v>
      </c>
      <c r="G391" s="82">
        <f t="shared" si="33"/>
        <v>50</v>
      </c>
      <c r="H391" s="81">
        <f t="shared" si="34"/>
        <v>224.5</v>
      </c>
      <c r="I391" s="84">
        <v>213.809523809524</v>
      </c>
      <c r="J391" s="84">
        <v>10.6904761904762</v>
      </c>
      <c r="K391" s="74">
        <v>224.5</v>
      </c>
      <c r="L391" s="86"/>
      <c r="M391" s="85"/>
      <c r="N391" s="85">
        <f t="shared" si="35"/>
        <v>-71.84</v>
      </c>
      <c r="O391" s="88"/>
    </row>
    <row r="392" ht="15.2" spans="1:15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296.34</v>
      </c>
      <c r="G392" s="82">
        <f t="shared" si="33"/>
        <v>50</v>
      </c>
      <c r="H392" s="77">
        <f t="shared" si="34"/>
        <v>224.5</v>
      </c>
      <c r="I392" s="84">
        <v>213.809523809524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-71.84</v>
      </c>
      <c r="O392" s="88"/>
    </row>
    <row r="393" s="68" customFormat="1" ht="15.2" spans="1:15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</v>
      </c>
      <c r="O393" s="112"/>
    </row>
    <row r="394" ht="15.2" spans="1:15">
      <c r="A394" s="73">
        <v>44981</v>
      </c>
      <c r="B394" s="74" t="s">
        <v>25</v>
      </c>
      <c r="C394" s="75" t="s">
        <v>26</v>
      </c>
      <c r="D394" s="74">
        <v>1.15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487.6</v>
      </c>
      <c r="I394" s="84">
        <v>411.809523809524</v>
      </c>
      <c r="J394" s="84">
        <v>20.5904761904762</v>
      </c>
      <c r="K394" s="77">
        <v>432.4</v>
      </c>
      <c r="L394" s="85">
        <v>-0.4</v>
      </c>
      <c r="M394" s="85">
        <v>432</v>
      </c>
      <c r="N394" s="85">
        <f t="shared" si="35"/>
        <v>100.05</v>
      </c>
      <c r="O394" s="88"/>
    </row>
    <row r="395" ht="15.2" spans="1:15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49.7854077253219</v>
      </c>
      <c r="H395" s="77">
        <f t="shared" si="34"/>
        <v>928</v>
      </c>
      <c r="I395" s="84">
        <v>891.428571428571</v>
      </c>
      <c r="J395" s="84">
        <v>44.5714285714286</v>
      </c>
      <c r="K395" s="77">
        <v>936</v>
      </c>
      <c r="L395" s="85"/>
      <c r="M395" s="85">
        <v>936</v>
      </c>
      <c r="N395" s="85">
        <f t="shared" si="35"/>
        <v>264.72</v>
      </c>
      <c r="O395" s="88"/>
    </row>
    <row r="396" ht="15.2" spans="1:15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466.333333333333</v>
      </c>
      <c r="J396" s="84">
        <v>23.3166666666667</v>
      </c>
      <c r="K396" s="77">
        <v>489.65</v>
      </c>
      <c r="L396" s="85">
        <v>0.35</v>
      </c>
      <c r="M396" s="85">
        <v>490</v>
      </c>
      <c r="N396" s="85">
        <f t="shared" si="35"/>
        <v>-433.69</v>
      </c>
      <c r="O396" s="88"/>
    </row>
    <row r="397" ht="15.2" spans="1:15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-216.69</v>
      </c>
      <c r="O397" s="88"/>
    </row>
    <row r="398" ht="15.2" spans="1:15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</v>
      </c>
      <c r="J398" s="84">
        <v>24.9833333333333</v>
      </c>
      <c r="K398" s="74">
        <v>524.65</v>
      </c>
      <c r="L398" s="86"/>
      <c r="M398" s="85"/>
      <c r="N398" s="85">
        <f t="shared" si="35"/>
        <v>-464.69</v>
      </c>
      <c r="O398" s="88"/>
    </row>
    <row r="399" ht="15.2" spans="1:15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316.333333333333</v>
      </c>
      <c r="J399" s="84">
        <v>15.8166666666667</v>
      </c>
      <c r="K399" s="74">
        <v>332.15</v>
      </c>
      <c r="L399" s="85"/>
      <c r="M399" s="85"/>
      <c r="N399" s="85">
        <f t="shared" si="35"/>
        <v>-294.19</v>
      </c>
      <c r="O399" s="88"/>
    </row>
    <row r="400" ht="15.2" spans="1:15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</v>
      </c>
      <c r="J400" s="84">
        <v>14.9833333333333</v>
      </c>
      <c r="K400" s="74">
        <v>314.65</v>
      </c>
      <c r="L400" s="86"/>
      <c r="M400" s="85"/>
      <c r="N400" s="85">
        <f t="shared" si="35"/>
        <v>-278.69</v>
      </c>
      <c r="O400" s="88"/>
    </row>
    <row r="401" ht="15.2" spans="1:15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1187.34</v>
      </c>
      <c r="G401" s="82">
        <f t="shared" si="36"/>
        <v>65</v>
      </c>
      <c r="H401" s="77">
        <f t="shared" si="37"/>
        <v>1169.35</v>
      </c>
      <c r="I401" s="84">
        <v>599.666666666667</v>
      </c>
      <c r="J401" s="84">
        <v>29.9833333333333</v>
      </c>
      <c r="K401" s="74">
        <v>629.65</v>
      </c>
      <c r="L401" s="85">
        <v>0.25</v>
      </c>
      <c r="M401" s="85">
        <v>2046</v>
      </c>
      <c r="N401" s="85">
        <f t="shared" si="35"/>
        <v>-557.69</v>
      </c>
      <c r="O401" s="88"/>
    </row>
    <row r="402" ht="15.2" spans="1:15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738.095238095238</v>
      </c>
      <c r="J402" s="84">
        <v>36.9047619047619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ht="15.2" spans="1:15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-774.69</v>
      </c>
      <c r="O403" s="88"/>
    </row>
    <row r="404" ht="15.2" spans="1:15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65</v>
      </c>
      <c r="H404" s="81">
        <f t="shared" si="39"/>
        <v>1299.35</v>
      </c>
      <c r="I404" s="84">
        <v>666.333333333333</v>
      </c>
      <c r="J404" s="84">
        <v>33.3166666666667</v>
      </c>
      <c r="K404" s="74">
        <v>699.65</v>
      </c>
      <c r="L404" s="86">
        <v>0.7</v>
      </c>
      <c r="M404" s="85">
        <v>1575</v>
      </c>
      <c r="N404" s="85">
        <f t="shared" si="35"/>
        <v>-619.69</v>
      </c>
      <c r="O404" s="88"/>
    </row>
    <row r="405" ht="15.2" spans="1:15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</v>
      </c>
      <c r="H405" s="81">
        <f t="shared" si="39"/>
        <v>960.5</v>
      </c>
      <c r="I405" s="84">
        <v>930.952380952381</v>
      </c>
      <c r="J405" s="84">
        <v>46.5476190476191</v>
      </c>
      <c r="K405" s="74">
        <v>977.5</v>
      </c>
      <c r="L405" s="86"/>
      <c r="M405" s="85"/>
      <c r="N405" s="85">
        <f t="shared" si="35"/>
        <v>295.8</v>
      </c>
      <c r="O405" s="88"/>
    </row>
    <row r="406" ht="15.2" spans="1:15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67.6</v>
      </c>
      <c r="O406" s="88"/>
    </row>
    <row r="407" ht="15.2" spans="1:15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</v>
      </c>
      <c r="J407" s="84">
        <v>31.2380952380952</v>
      </c>
      <c r="K407" s="74">
        <v>656</v>
      </c>
      <c r="L407" s="85"/>
      <c r="M407" s="85"/>
      <c r="N407" s="85">
        <f t="shared" si="35"/>
        <v>177.6</v>
      </c>
      <c r="O407" s="88"/>
    </row>
    <row r="408" ht="15.2" spans="1:15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998.095238095238</v>
      </c>
      <c r="J408" s="84">
        <v>49.9047619047619</v>
      </c>
      <c r="K408" s="74">
        <v>1048</v>
      </c>
      <c r="L408" s="86"/>
      <c r="M408" s="85"/>
      <c r="N408" s="85">
        <f t="shared" si="35"/>
        <v>249.6</v>
      </c>
      <c r="O408" s="88"/>
    </row>
    <row r="409" ht="15.2" spans="1:15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</v>
      </c>
      <c r="J409" s="84">
        <v>219.404761904762</v>
      </c>
      <c r="K409" s="74">
        <v>4607.5</v>
      </c>
      <c r="L409" s="85"/>
      <c r="M409" s="85"/>
      <c r="N409" s="85">
        <f t="shared" si="35"/>
        <v>1531.21</v>
      </c>
      <c r="O409" s="88"/>
    </row>
    <row r="410" ht="15.2" spans="1:15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978.095238095238</v>
      </c>
      <c r="J410" s="84">
        <v>48.9047619047619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ht="15.2" spans="1:15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2523.99</v>
      </c>
      <c r="O411" s="88"/>
    </row>
    <row r="412" ht="15.2" spans="1:15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65</v>
      </c>
      <c r="H412" s="77">
        <f t="shared" si="39"/>
        <v>1299.35</v>
      </c>
      <c r="I412" s="84">
        <v>666.333333333333</v>
      </c>
      <c r="J412" s="84">
        <v>33.3166666666667</v>
      </c>
      <c r="K412" s="77">
        <v>699.65</v>
      </c>
      <c r="L412" s="85">
        <v>0.7</v>
      </c>
      <c r="M412" s="85">
        <v>1575</v>
      </c>
      <c r="N412" s="85">
        <f t="shared" si="35"/>
        <v>2018.99</v>
      </c>
      <c r="O412" s="88"/>
    </row>
    <row r="413" ht="15.2" spans="1:15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65</v>
      </c>
      <c r="H413" s="77">
        <f t="shared" si="39"/>
        <v>1299.35</v>
      </c>
      <c r="I413" s="84">
        <v>666.333333333333</v>
      </c>
      <c r="J413" s="84">
        <v>33.3166666666667</v>
      </c>
      <c r="K413" s="74">
        <v>699.65</v>
      </c>
      <c r="L413" s="85"/>
      <c r="M413" s="85"/>
      <c r="N413" s="85">
        <f t="shared" si="35"/>
        <v>-619.69</v>
      </c>
      <c r="O413" s="88"/>
    </row>
    <row r="414" ht="15.2" spans="1:15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-867.69</v>
      </c>
      <c r="O414" s="88"/>
    </row>
    <row r="415" ht="15.2" spans="1:15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</v>
      </c>
      <c r="K415" s="74">
        <v>1379.5</v>
      </c>
      <c r="L415" s="86">
        <v>0.5</v>
      </c>
      <c r="M415" s="85">
        <v>1380</v>
      </c>
      <c r="N415" s="85">
        <f t="shared" si="35"/>
        <v>505.3</v>
      </c>
      <c r="O415" s="88"/>
    </row>
    <row r="416" ht="15.2" spans="1:15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-867.69</v>
      </c>
      <c r="O416" s="88"/>
    </row>
    <row r="417" ht="15.2" spans="1:15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1187.34</v>
      </c>
      <c r="G417" s="82">
        <f t="shared" si="38"/>
        <v>65</v>
      </c>
      <c r="H417" s="77">
        <f t="shared" si="39"/>
        <v>1169.35</v>
      </c>
      <c r="I417" s="84">
        <v>599.666666666667</v>
      </c>
      <c r="J417" s="84">
        <v>29.9833333333333</v>
      </c>
      <c r="K417" s="74">
        <v>629.65</v>
      </c>
      <c r="L417" s="85"/>
      <c r="M417" s="85"/>
      <c r="N417" s="85">
        <f t="shared" si="35"/>
        <v>-557.69</v>
      </c>
      <c r="O417" s="88"/>
    </row>
    <row r="418" ht="15.2" spans="1:15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65</v>
      </c>
      <c r="H418" s="81">
        <f t="shared" si="39"/>
        <v>1299.35</v>
      </c>
      <c r="I418" s="84">
        <v>666.333333333333</v>
      </c>
      <c r="J418" s="84">
        <v>33.3166666666667</v>
      </c>
      <c r="K418" s="74">
        <v>699.65</v>
      </c>
      <c r="L418" s="86"/>
      <c r="M418" s="85"/>
      <c r="N418" s="85">
        <f t="shared" si="35"/>
        <v>-619.69</v>
      </c>
      <c r="O418" s="88"/>
    </row>
    <row r="419" ht="15.2" spans="1:15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1187.34</v>
      </c>
      <c r="G419" s="82">
        <f t="shared" si="38"/>
        <v>65</v>
      </c>
      <c r="H419" s="77">
        <f t="shared" si="39"/>
        <v>1169.35</v>
      </c>
      <c r="I419" s="84">
        <v>599.666666666667</v>
      </c>
      <c r="J419" s="84">
        <v>29.9833333333333</v>
      </c>
      <c r="K419" s="74">
        <v>629.65</v>
      </c>
      <c r="L419" s="85">
        <v>0.4</v>
      </c>
      <c r="M419" s="85">
        <v>2939</v>
      </c>
      <c r="N419" s="85">
        <f t="shared" si="35"/>
        <v>-557.69</v>
      </c>
      <c r="O419" s="88"/>
    </row>
    <row r="420" ht="15.2" spans="1:15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-681.69</v>
      </c>
      <c r="O420" s="88"/>
    </row>
    <row r="421" ht="15.2" spans="1:15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1187.34</v>
      </c>
      <c r="G421" s="82">
        <f t="shared" si="38"/>
        <v>65</v>
      </c>
      <c r="H421" s="81">
        <f t="shared" si="39"/>
        <v>1169.35</v>
      </c>
      <c r="I421" s="84">
        <v>599.666666666667</v>
      </c>
      <c r="J421" s="84">
        <v>29.9833333333333</v>
      </c>
      <c r="K421" s="74">
        <v>629.65</v>
      </c>
      <c r="L421" s="86">
        <v>0.7</v>
      </c>
      <c r="M421" s="85">
        <v>1400</v>
      </c>
      <c r="N421" s="85">
        <f t="shared" si="35"/>
        <v>-557.69</v>
      </c>
      <c r="O421" s="88"/>
    </row>
    <row r="422" ht="15.2" spans="1:15">
      <c r="A422" s="73">
        <v>44985</v>
      </c>
      <c r="B422" s="76" t="s">
        <v>40</v>
      </c>
      <c r="C422" s="75" t="s">
        <v>41</v>
      </c>
      <c r="D422" s="76">
        <v>2.2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1162.85714285714</v>
      </c>
      <c r="J422" s="84">
        <v>58.1428571428571</v>
      </c>
      <c r="K422" s="77">
        <v>1221</v>
      </c>
      <c r="L422" s="86"/>
      <c r="M422" s="85">
        <v>1221</v>
      </c>
      <c r="N422" s="85">
        <f t="shared" ref="N422:N469" si="42">K422-(D422*F422)</f>
        <v>473</v>
      </c>
      <c r="O422" s="88"/>
    </row>
    <row r="423" ht="15.2" spans="1:15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ht="15.2" spans="1:15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ht="15.2" spans="1:15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-681.69</v>
      </c>
      <c r="O425" s="88"/>
    </row>
    <row r="426" ht="15.2" spans="1:15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</v>
      </c>
      <c r="H426" s="77">
        <f t="shared" si="41"/>
        <v>231.2</v>
      </c>
      <c r="I426" s="84">
        <v>880.761904761905</v>
      </c>
      <c r="J426" s="84">
        <v>44.0380952380952</v>
      </c>
      <c r="K426" s="77">
        <v>924.8</v>
      </c>
      <c r="L426" s="85">
        <v>0.25</v>
      </c>
      <c r="M426" s="85">
        <v>3444</v>
      </c>
      <c r="N426" s="85">
        <f t="shared" si="42"/>
        <v>161.84</v>
      </c>
      <c r="O426" s="88"/>
    </row>
    <row r="427" ht="15.2" spans="1:15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</v>
      </c>
      <c r="H427" s="77">
        <f t="shared" si="41"/>
        <v>3950.37</v>
      </c>
      <c r="I427" s="84">
        <v>3762.26666666667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</v>
      </c>
      <c r="O427" s="88"/>
    </row>
    <row r="428" ht="15.2" spans="1:15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290.78</v>
      </c>
      <c r="G428" s="82">
        <f t="shared" si="40"/>
        <v>50</v>
      </c>
      <c r="H428" s="77">
        <f t="shared" si="41"/>
        <v>224.5</v>
      </c>
      <c r="I428" s="84">
        <v>213.809523809524</v>
      </c>
      <c r="J428" s="84">
        <v>10.6904761904762</v>
      </c>
      <c r="K428" s="77">
        <v>224.5</v>
      </c>
      <c r="L428" s="85"/>
      <c r="M428" s="85"/>
      <c r="N428" s="85">
        <f t="shared" si="42"/>
        <v>-66.28</v>
      </c>
      <c r="O428" s="88"/>
    </row>
    <row r="429" ht="15.2" spans="1:15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290.78</v>
      </c>
      <c r="G429" s="82">
        <f t="shared" si="40"/>
        <v>50</v>
      </c>
      <c r="H429" s="81">
        <f t="shared" si="41"/>
        <v>224.5</v>
      </c>
      <c r="I429" s="84">
        <v>213.809523809524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-66.28</v>
      </c>
      <c r="O429" s="88"/>
    </row>
    <row r="430" ht="15.2" spans="1:15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55.6190476190476</v>
      </c>
      <c r="K430" s="77">
        <v>1168</v>
      </c>
      <c r="L430" s="86"/>
      <c r="M430" s="85"/>
      <c r="N430" s="85">
        <f t="shared" si="42"/>
        <v>328</v>
      </c>
      <c r="O430" s="88"/>
    </row>
    <row r="431" ht="15.2" spans="1:15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55.6190476190476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ht="15.2" spans="1:15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1354.28571428571</v>
      </c>
      <c r="J432" s="84">
        <v>67.7142857142857</v>
      </c>
      <c r="K432" s="77">
        <v>1422</v>
      </c>
      <c r="L432" s="85"/>
      <c r="M432" s="85"/>
      <c r="N432" s="85">
        <f t="shared" si="42"/>
        <v>499.2</v>
      </c>
      <c r="O432" s="88"/>
    </row>
    <row r="433" ht="15.2" spans="1:15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50</v>
      </c>
      <c r="H433" s="81">
        <f t="shared" si="41"/>
        <v>1022</v>
      </c>
      <c r="I433" s="84">
        <v>973.333333333333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ht="15.2" spans="1:15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</v>
      </c>
      <c r="J434" s="84">
        <v>53.3571428571429</v>
      </c>
      <c r="K434" s="77">
        <v>1120.5</v>
      </c>
      <c r="L434" s="85">
        <v>0.5</v>
      </c>
      <c r="M434" s="85">
        <v>3565</v>
      </c>
      <c r="N434" s="85">
        <f t="shared" si="42"/>
        <v>449.55</v>
      </c>
      <c r="O434" s="88"/>
    </row>
    <row r="435" ht="15.2" spans="1:15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466.333333333333</v>
      </c>
      <c r="J435" s="84">
        <v>23.3166666666667</v>
      </c>
      <c r="K435" s="77">
        <v>489.65</v>
      </c>
      <c r="L435" s="85">
        <v>0.35</v>
      </c>
      <c r="M435" s="85">
        <v>490</v>
      </c>
      <c r="N435" s="85">
        <f t="shared" si="42"/>
        <v>-419.18</v>
      </c>
      <c r="O435" s="88"/>
    </row>
    <row r="436" ht="15.2" spans="1:15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65</v>
      </c>
      <c r="H436" s="77">
        <f t="shared" ref="H436:H444" si="44">D436*E436-K436</f>
        <v>1234.35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</v>
      </c>
      <c r="O436" s="88"/>
    </row>
    <row r="437" ht="15.2" spans="1:15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ht="15.2" spans="1:15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</v>
      </c>
      <c r="J438" s="84">
        <v>38.3166666666667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ht="15.2" spans="1:15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</v>
      </c>
      <c r="H439" s="81">
        <f t="shared" si="44"/>
        <v>1004.887</v>
      </c>
      <c r="I439" s="84">
        <v>957.047619047619</v>
      </c>
      <c r="J439" s="84">
        <v>47.852380952381</v>
      </c>
      <c r="K439" s="77">
        <v>1004.9</v>
      </c>
      <c r="L439" s="86">
        <v>0.1</v>
      </c>
      <c r="M439" s="85">
        <v>1005</v>
      </c>
      <c r="N439" s="85">
        <f t="shared" si="42"/>
        <v>239.2</v>
      </c>
      <c r="O439" s="88"/>
    </row>
    <row r="440" ht="15.2" spans="1:15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2285.7525</v>
      </c>
      <c r="O440" s="88"/>
    </row>
    <row r="441" ht="15.2" spans="1:15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</v>
      </c>
      <c r="O441" s="88"/>
    </row>
    <row r="442" ht="15.2" spans="1:15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62.5714285714286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ht="15.2" spans="1:15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65</v>
      </c>
      <c r="H443" s="77">
        <f t="shared" si="44"/>
        <v>1299.35</v>
      </c>
      <c r="I443" s="84">
        <v>666.333333333333</v>
      </c>
      <c r="J443" s="84">
        <v>33.3166666666667</v>
      </c>
      <c r="K443" s="77">
        <v>699.65</v>
      </c>
      <c r="L443" s="85">
        <v>0.35</v>
      </c>
      <c r="M443" s="85">
        <v>700</v>
      </c>
      <c r="N443" s="85">
        <f t="shared" si="42"/>
        <v>-514.03</v>
      </c>
      <c r="O443" s="88"/>
    </row>
    <row r="444" ht="15.2" spans="1:15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</v>
      </c>
      <c r="J444" s="84">
        <v>42.2857142857143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ht="15.2" spans="1:15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</v>
      </c>
      <c r="J445" s="84">
        <v>24.9833333333333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ht="15.2" spans="1:15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507.619047619048</v>
      </c>
      <c r="J446" s="84">
        <v>25.3809523809524</v>
      </c>
      <c r="K446" s="77">
        <v>533</v>
      </c>
      <c r="L446" s="85"/>
      <c r="M446" s="85">
        <v>533</v>
      </c>
      <c r="N446" s="85">
        <f t="shared" si="42"/>
        <v>144.3</v>
      </c>
      <c r="O446" s="88"/>
    </row>
    <row r="447" ht="15.2" spans="1:15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</v>
      </c>
      <c r="J447" s="84">
        <v>38.3166666666667</v>
      </c>
      <c r="K447" s="77">
        <v>804.65</v>
      </c>
      <c r="L447" s="85"/>
      <c r="M447" s="85"/>
      <c r="N447" s="85">
        <f t="shared" si="42"/>
        <v>-591.17</v>
      </c>
      <c r="O447" s="88"/>
    </row>
    <row r="448" ht="15.2" spans="1:15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ht="15.2" spans="1:15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</v>
      </c>
      <c r="K449" s="77">
        <v>1048.05</v>
      </c>
      <c r="L449" s="85"/>
      <c r="M449" s="85"/>
      <c r="N449" s="85">
        <f t="shared" si="42"/>
        <v>482.29</v>
      </c>
      <c r="O449" s="88"/>
    </row>
    <row r="450" ht="15.2" spans="1:15">
      <c r="A450" s="73">
        <v>44989</v>
      </c>
      <c r="B450" s="76" t="s">
        <v>393</v>
      </c>
      <c r="C450" s="75" t="s">
        <v>396</v>
      </c>
      <c r="D450" s="76">
        <v>2.2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</v>
      </c>
      <c r="K450" s="77">
        <v>1098.9</v>
      </c>
      <c r="L450" s="86"/>
      <c r="M450" s="85"/>
      <c r="N450" s="85">
        <f t="shared" si="42"/>
        <v>1098.9</v>
      </c>
      <c r="O450" s="88"/>
    </row>
    <row r="451" ht="15.2" spans="1:15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1259.1</v>
      </c>
      <c r="G451" s="82">
        <f t="shared" si="45"/>
        <v>55</v>
      </c>
      <c r="H451" s="77">
        <f t="shared" si="46"/>
        <v>2811.6</v>
      </c>
      <c r="I451" s="84">
        <v>2190.85714285714</v>
      </c>
      <c r="J451" s="84">
        <v>109.542857142857</v>
      </c>
      <c r="K451" s="77">
        <v>2300.4</v>
      </c>
      <c r="L451" s="85"/>
      <c r="M451" s="85"/>
      <c r="N451" s="85">
        <f t="shared" si="42"/>
        <v>789.48</v>
      </c>
      <c r="O451" s="88"/>
    </row>
    <row r="452" ht="15.2" spans="1:15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466.333333333333</v>
      </c>
      <c r="J452" s="84">
        <v>23.3166666666667</v>
      </c>
      <c r="K452" s="77">
        <v>489.65</v>
      </c>
      <c r="L452" s="86"/>
      <c r="M452" s="85"/>
      <c r="N452" s="85">
        <f t="shared" si="42"/>
        <v>-414.78</v>
      </c>
      <c r="O452" s="88"/>
    </row>
    <row r="453" ht="15.2" spans="1:15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</v>
      </c>
      <c r="H453" s="77">
        <f t="shared" si="46"/>
        <v>1148.4</v>
      </c>
      <c r="I453" s="84">
        <v>894.857142857143</v>
      </c>
      <c r="J453" s="84">
        <v>44.7428571428571</v>
      </c>
      <c r="K453" s="77">
        <v>939.6</v>
      </c>
      <c r="L453" s="85">
        <v>0.25</v>
      </c>
      <c r="M453" s="85">
        <v>8288</v>
      </c>
      <c r="N453" s="85">
        <f t="shared" si="42"/>
        <v>160.8</v>
      </c>
      <c r="O453" s="88"/>
    </row>
    <row r="454" ht="15.2" spans="1:15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65</v>
      </c>
      <c r="H454" s="77">
        <f t="shared" si="46"/>
        <v>1299.35</v>
      </c>
      <c r="I454" s="84">
        <v>666.333333333333</v>
      </c>
      <c r="J454" s="84">
        <v>33.3166666666667</v>
      </c>
      <c r="K454" s="77">
        <v>699.65</v>
      </c>
      <c r="L454" s="85"/>
      <c r="M454" s="85"/>
      <c r="N454" s="85">
        <f t="shared" si="42"/>
        <v>-580.58</v>
      </c>
      <c r="O454" s="88"/>
    </row>
    <row r="455" ht="15.2" spans="1:15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</v>
      </c>
      <c r="J455" s="84">
        <v>55.8571428571429</v>
      </c>
      <c r="K455" s="77">
        <v>1173</v>
      </c>
      <c r="L455" s="86">
        <v>0.35</v>
      </c>
      <c r="M455" s="85">
        <v>1873</v>
      </c>
      <c r="N455" s="85">
        <f t="shared" si="42"/>
        <v>355.3</v>
      </c>
      <c r="O455" s="88"/>
    </row>
    <row r="456" ht="15.2" spans="1:15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</v>
      </c>
      <c r="J456" s="84">
        <v>17.1333333333333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ht="15.2" spans="1:15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</v>
      </c>
      <c r="J457" s="84">
        <v>55.8571428571429</v>
      </c>
      <c r="K457" s="77">
        <v>1173</v>
      </c>
      <c r="L457" s="86"/>
      <c r="M457" s="85">
        <v>1173</v>
      </c>
      <c r="N457" s="85">
        <f t="shared" si="42"/>
        <v>355.3</v>
      </c>
      <c r="O457" s="88"/>
    </row>
    <row r="458" ht="15.2" spans="1:15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</v>
      </c>
      <c r="J458" s="84">
        <v>465.42380952381</v>
      </c>
      <c r="K458" s="77">
        <v>9773.9</v>
      </c>
      <c r="L458" s="86"/>
      <c r="M458" s="85"/>
      <c r="N458" s="85">
        <f t="shared" si="42"/>
        <v>2871.9</v>
      </c>
      <c r="O458" s="88"/>
    </row>
    <row r="459" ht="15.2" spans="1:15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</v>
      </c>
      <c r="H459" s="77">
        <f t="shared" si="46"/>
        <v>10111.795</v>
      </c>
      <c r="I459" s="84">
        <v>7264.95238095238</v>
      </c>
      <c r="J459" s="84">
        <v>363.247619047619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ht="15.2" spans="1:15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ht="15.2" spans="1:15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</v>
      </c>
      <c r="J461" s="84">
        <v>19.9833333333333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ht="15.2" spans="1:15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213.809523809524</v>
      </c>
      <c r="J462" s="84">
        <v>10.6904761904762</v>
      </c>
      <c r="K462" s="77">
        <v>224.5</v>
      </c>
      <c r="L462" s="86"/>
      <c r="M462" s="85"/>
      <c r="N462" s="85">
        <f t="shared" si="42"/>
        <v>-70.52</v>
      </c>
      <c r="O462" s="88"/>
    </row>
    <row r="463" ht="15.2" spans="1:15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290.78</v>
      </c>
      <c r="G463" s="82">
        <f t="shared" si="45"/>
        <v>50</v>
      </c>
      <c r="H463" s="77">
        <f t="shared" si="46"/>
        <v>224.5</v>
      </c>
      <c r="I463" s="84">
        <v>213.809523809524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-66.28</v>
      </c>
      <c r="O463" s="88"/>
    </row>
    <row r="464" ht="15.2" spans="1:15">
      <c r="A464" s="73">
        <v>44989</v>
      </c>
      <c r="B464" s="73" t="s">
        <v>84</v>
      </c>
      <c r="C464" s="75" t="s">
        <v>85</v>
      </c>
      <c r="D464" s="74">
        <v>1.1</v>
      </c>
      <c r="E464" s="77">
        <v>650</v>
      </c>
      <c r="F464" s="78">
        <v>263</v>
      </c>
      <c r="G464" s="82">
        <f t="shared" si="45"/>
        <v>50</v>
      </c>
      <c r="H464" s="77">
        <f t="shared" si="46"/>
        <v>357.5</v>
      </c>
      <c r="I464" s="84">
        <v>340.47619047619</v>
      </c>
      <c r="J464" s="84">
        <v>17.0238095238095</v>
      </c>
      <c r="K464" s="77">
        <v>357.5</v>
      </c>
      <c r="L464" s="85">
        <v>0.5</v>
      </c>
      <c r="M464" s="85">
        <v>358</v>
      </c>
      <c r="N464" s="85">
        <f t="shared" si="42"/>
        <v>68.2</v>
      </c>
      <c r="O464" s="88"/>
    </row>
    <row r="465" ht="15.2" spans="1:15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</v>
      </c>
      <c r="J465" s="84">
        <v>22.2857142857143</v>
      </c>
      <c r="K465" s="77">
        <v>468</v>
      </c>
      <c r="L465" s="85"/>
      <c r="M465" s="85"/>
      <c r="N465" s="85">
        <f t="shared" si="42"/>
        <v>109.2</v>
      </c>
      <c r="O465" s="88"/>
    </row>
    <row r="466" ht="15.2" spans="1:15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32.8428571428571</v>
      </c>
      <c r="K466" s="77">
        <v>689.7</v>
      </c>
      <c r="L466" s="86">
        <v>0.3</v>
      </c>
      <c r="M466" s="85">
        <v>1158</v>
      </c>
      <c r="N466" s="85">
        <f t="shared" si="42"/>
        <v>-827.64</v>
      </c>
      <c r="O466" s="88"/>
    </row>
    <row r="467" ht="15.2" spans="1:15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1295.84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-526.19</v>
      </c>
      <c r="O467" s="88"/>
    </row>
    <row r="468" ht="15.2" spans="1:15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49.9987301587302</v>
      </c>
      <c r="H468" s="81">
        <f t="shared" si="46"/>
        <v>2165.57</v>
      </c>
      <c r="I468" s="84">
        <v>2062.55238095238</v>
      </c>
      <c r="J468" s="84">
        <v>103.127619047619</v>
      </c>
      <c r="K468" s="77">
        <v>2165.68</v>
      </c>
      <c r="L468" s="86"/>
      <c r="M468" s="85"/>
      <c r="N468" s="85">
        <f t="shared" si="42"/>
        <v>1166.675</v>
      </c>
      <c r="O468" s="88"/>
    </row>
    <row r="469" ht="15.2" spans="1:15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1462.85714285714</v>
      </c>
      <c r="J469" s="84">
        <v>73.1428571428572</v>
      </c>
      <c r="K469" s="77">
        <v>1536</v>
      </c>
      <c r="L469" s="85"/>
      <c r="M469" s="85"/>
      <c r="N469" s="85">
        <f t="shared" si="42"/>
        <v>540</v>
      </c>
      <c r="O469" s="88"/>
    </row>
    <row r="470" ht="15.2" spans="1:15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ht="15.2" spans="1:15">
      <c r="A471" s="113">
        <v>44991.7083564815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</v>
      </c>
      <c r="O471" s="88"/>
    </row>
    <row r="472" ht="15.2" spans="1:15">
      <c r="A472" s="113">
        <v>44995.6896180556</v>
      </c>
      <c r="B472" s="114" t="s">
        <v>621</v>
      </c>
      <c r="C472" s="115" t="s">
        <v>686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31.92</v>
      </c>
      <c r="O472" s="88"/>
    </row>
    <row r="473" ht="15.2" spans="1:15">
      <c r="A473" s="113">
        <v>44995.6896180556</v>
      </c>
      <c r="B473" s="114" t="s">
        <v>621</v>
      </c>
      <c r="C473" s="115" t="s">
        <v>687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387.52380952381</v>
      </c>
      <c r="J473" s="121">
        <v>19.3761904761905</v>
      </c>
      <c r="K473" s="88">
        <v>406.9</v>
      </c>
      <c r="L473" s="88"/>
      <c r="M473" s="88"/>
      <c r="N473" s="85">
        <f t="shared" si="47"/>
        <v>24.4999999999999</v>
      </c>
      <c r="O473" s="88"/>
    </row>
    <row r="474" ht="15.2" spans="1:15">
      <c r="A474" s="113">
        <v>44995.6896180556</v>
      </c>
      <c r="B474" s="114" t="s">
        <v>621</v>
      </c>
      <c r="C474" s="115" t="s">
        <v>796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</v>
      </c>
      <c r="K474" s="88">
        <v>753.48</v>
      </c>
      <c r="L474" s="88"/>
      <c r="M474" s="88"/>
      <c r="N474" s="85">
        <f t="shared" si="47"/>
        <v>43.08</v>
      </c>
      <c r="O474" s="88"/>
    </row>
    <row r="475" ht="15.2" spans="1:15">
      <c r="A475" s="113">
        <v>44995.8298032407</v>
      </c>
      <c r="B475" s="114" t="s">
        <v>624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</v>
      </c>
      <c r="J475" s="121">
        <v>43.8095238095238</v>
      </c>
      <c r="K475" s="88">
        <v>920</v>
      </c>
      <c r="L475" s="88">
        <v>0</v>
      </c>
      <c r="M475" s="88">
        <v>920</v>
      </c>
      <c r="N475" s="85">
        <f t="shared" si="47"/>
        <v>275.2</v>
      </c>
      <c r="O475" s="88"/>
    </row>
    <row r="476" ht="15.2" spans="1:15">
      <c r="A476" s="113">
        <v>44995.8689467593</v>
      </c>
      <c r="B476" s="114" t="s">
        <v>625</v>
      </c>
      <c r="C476" s="115" t="s">
        <v>689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1041.66666666667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ht="15.2" spans="1:15">
      <c r="A477" s="113">
        <v>44995.8689583333</v>
      </c>
      <c r="B477" s="114" t="s">
        <v>625</v>
      </c>
      <c r="C477" s="115" t="s">
        <v>690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577.380952380952</v>
      </c>
      <c r="J477" s="121">
        <v>28.8690476190476</v>
      </c>
      <c r="K477" s="88">
        <v>606.25</v>
      </c>
      <c r="L477" s="88"/>
      <c r="M477" s="88"/>
      <c r="N477" s="85">
        <f t="shared" si="47"/>
        <v>170</v>
      </c>
      <c r="O477" s="88"/>
    </row>
    <row r="478" ht="15.2" spans="1:15">
      <c r="A478" s="113">
        <v>44995.8689583333</v>
      </c>
      <c r="B478" s="114" t="s">
        <v>625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</v>
      </c>
      <c r="J478" s="121">
        <v>34.5238095238095</v>
      </c>
      <c r="K478" s="88">
        <v>725</v>
      </c>
      <c r="L478" s="88"/>
      <c r="M478" s="88"/>
      <c r="N478" s="85">
        <f t="shared" si="47"/>
        <v>155</v>
      </c>
      <c r="O478" s="88"/>
    </row>
    <row r="479" ht="15.2" spans="1:15">
      <c r="A479" s="113">
        <v>44995.8706134259</v>
      </c>
      <c r="B479" s="114" t="s">
        <v>626</v>
      </c>
      <c r="C479" s="115" t="s">
        <v>691</v>
      </c>
      <c r="D479" s="114">
        <v>1.1</v>
      </c>
      <c r="E479" s="88">
        <v>1490</v>
      </c>
      <c r="F479" s="118">
        <v>399</v>
      </c>
      <c r="G479" s="118">
        <v>50</v>
      </c>
      <c r="H479" s="88"/>
      <c r="I479" s="121">
        <v>780.47619047619</v>
      </c>
      <c r="J479" s="121">
        <v>39.0238095238095</v>
      </c>
      <c r="K479" s="88">
        <v>819.5</v>
      </c>
      <c r="L479" s="88">
        <v>0</v>
      </c>
      <c r="M479" s="88">
        <v>4065</v>
      </c>
      <c r="N479" s="85">
        <f t="shared" si="47"/>
        <v>380.6</v>
      </c>
      <c r="O479" s="88"/>
    </row>
    <row r="480" ht="15.2" spans="1:15">
      <c r="A480" s="113">
        <v>44995.8706134259</v>
      </c>
      <c r="B480" s="114" t="s">
        <v>626</v>
      </c>
      <c r="C480" s="115" t="s">
        <v>692</v>
      </c>
      <c r="D480" s="114">
        <v>1.1</v>
      </c>
      <c r="E480" s="88">
        <v>5900</v>
      </c>
      <c r="F480" s="118">
        <v>1485</v>
      </c>
      <c r="G480" s="118">
        <v>50</v>
      </c>
      <c r="H480" s="88"/>
      <c r="I480" s="121">
        <v>3090.47619047619</v>
      </c>
      <c r="J480" s="121">
        <v>154.52380952381</v>
      </c>
      <c r="K480" s="88">
        <v>3245</v>
      </c>
      <c r="L480" s="88"/>
      <c r="M480" s="88"/>
      <c r="N480" s="85">
        <f t="shared" si="47"/>
        <v>1611.5</v>
      </c>
      <c r="O480" s="88"/>
    </row>
    <row r="481" ht="15.2" spans="1:15">
      <c r="A481" s="113">
        <v>44996.6223032407</v>
      </c>
      <c r="B481" s="114" t="s">
        <v>628</v>
      </c>
      <c r="C481" s="115" t="s">
        <v>693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36.8571428571429</v>
      </c>
      <c r="K481" s="88">
        <v>774</v>
      </c>
      <c r="L481" s="88">
        <v>0</v>
      </c>
      <c r="M481" s="88">
        <v>3934</v>
      </c>
      <c r="N481" s="85">
        <f t="shared" si="47"/>
        <v>283.2</v>
      </c>
      <c r="O481" s="88"/>
    </row>
    <row r="482" ht="15.2" spans="1:15">
      <c r="A482" s="113">
        <v>44996.6223148148</v>
      </c>
      <c r="B482" s="114" t="s">
        <v>628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</v>
      </c>
      <c r="K482" s="88">
        <v>1432</v>
      </c>
      <c r="L482" s="88"/>
      <c r="M482" s="88"/>
      <c r="N482" s="85">
        <f t="shared" si="47"/>
        <v>529.6</v>
      </c>
      <c r="O482" s="88"/>
    </row>
    <row r="483" ht="15.2" spans="1:15">
      <c r="A483" s="113">
        <v>44996.6223148148</v>
      </c>
      <c r="B483" s="114" t="s">
        <v>628</v>
      </c>
      <c r="C483" s="115" t="s">
        <v>694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</v>
      </c>
      <c r="J483" s="121">
        <v>35.4285714285714</v>
      </c>
      <c r="K483" s="88">
        <v>744</v>
      </c>
      <c r="L483" s="88"/>
      <c r="M483" s="88"/>
      <c r="N483" s="85">
        <f t="shared" si="47"/>
        <v>345.6</v>
      </c>
      <c r="O483" s="88"/>
    </row>
    <row r="484" ht="15.2" spans="1:15">
      <c r="A484" s="113">
        <v>44996.6223148148</v>
      </c>
      <c r="B484" s="114" t="s">
        <v>628</v>
      </c>
      <c r="C484" s="115" t="s">
        <v>695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46.8571428571429</v>
      </c>
      <c r="K484" s="88">
        <v>984</v>
      </c>
      <c r="L484" s="88"/>
      <c r="M484" s="88"/>
      <c r="N484" s="85">
        <f t="shared" si="47"/>
        <v>299.2</v>
      </c>
      <c r="O484" s="88"/>
    </row>
    <row r="485" ht="15.2" spans="1:15">
      <c r="A485" s="113">
        <v>44996.642037037</v>
      </c>
      <c r="B485" s="114" t="s">
        <v>629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</v>
      </c>
      <c r="K485" s="88">
        <v>990</v>
      </c>
      <c r="L485" s="88">
        <v>0</v>
      </c>
      <c r="M485" s="88">
        <v>990</v>
      </c>
      <c r="N485" s="85">
        <f t="shared" si="47"/>
        <v>272.4</v>
      </c>
      <c r="O485" s="88"/>
    </row>
    <row r="486" ht="15.2" spans="1:15">
      <c r="A486" s="113">
        <v>44996.642037037</v>
      </c>
      <c r="B486" s="114" t="s">
        <v>632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ht="15.2" spans="1:15">
      <c r="A487" s="113">
        <v>44996.642037037</v>
      </c>
      <c r="B487" s="114" t="s">
        <v>632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ht="15.2" spans="1:15">
      <c r="A488" s="113">
        <v>44996.7337731481</v>
      </c>
      <c r="B488" s="114" t="s">
        <v>634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ht="15.2" spans="1:15">
      <c r="A489" s="113">
        <v>44996.7662615741</v>
      </c>
      <c r="B489" s="114" t="s">
        <v>635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</v>
      </c>
      <c r="J489" s="121">
        <v>123.752380952381</v>
      </c>
      <c r="K489" s="88">
        <v>2598.8</v>
      </c>
      <c r="L489" s="88">
        <v>1.2</v>
      </c>
      <c r="M489" s="88">
        <v>2600</v>
      </c>
      <c r="N489" s="88">
        <f t="shared" si="49"/>
        <v>498.8</v>
      </c>
      <c r="O489" s="88"/>
    </row>
    <row r="490" ht="15.2" spans="1:15">
      <c r="A490" s="113">
        <v>44996.8444328704</v>
      </c>
      <c r="B490" s="114" t="s">
        <v>637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</v>
      </c>
      <c r="J490" s="121">
        <v>52.2857142857143</v>
      </c>
      <c r="K490" s="88">
        <v>1098</v>
      </c>
      <c r="L490" s="88">
        <v>0</v>
      </c>
      <c r="M490" s="88">
        <v>8082</v>
      </c>
      <c r="N490" s="88">
        <f t="shared" si="49"/>
        <v>259.2</v>
      </c>
      <c r="O490" s="88"/>
    </row>
    <row r="491" ht="15.2" spans="1:15">
      <c r="A491" s="113">
        <v>44996.8444328704</v>
      </c>
      <c r="B491" s="114" t="s">
        <v>637</v>
      </c>
      <c r="C491" s="115" t="s">
        <v>696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</v>
      </c>
      <c r="J491" s="121">
        <v>42.2857142857143</v>
      </c>
      <c r="K491" s="88">
        <v>888</v>
      </c>
      <c r="L491" s="88"/>
      <c r="M491" s="88"/>
      <c r="N491" s="88">
        <f t="shared" si="49"/>
        <v>260.4</v>
      </c>
      <c r="O491" s="88"/>
    </row>
    <row r="492" ht="15.2" spans="1:15">
      <c r="A492" s="113">
        <v>44996.8444444444</v>
      </c>
      <c r="B492" s="114" t="s">
        <v>637</v>
      </c>
      <c r="C492" s="115" t="s">
        <v>692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</v>
      </c>
      <c r="J492" s="121">
        <v>168.571428571429</v>
      </c>
      <c r="K492" s="88">
        <v>3540</v>
      </c>
      <c r="L492" s="88"/>
      <c r="M492" s="88"/>
      <c r="N492" s="88">
        <f t="shared" si="49"/>
        <v>1758</v>
      </c>
      <c r="O492" s="88"/>
    </row>
    <row r="493" ht="15.2" spans="1:15">
      <c r="A493" s="113">
        <v>44996.8444444444</v>
      </c>
      <c r="B493" s="114" t="s">
        <v>637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</v>
      </c>
      <c r="J493" s="121">
        <v>121.714285714286</v>
      </c>
      <c r="K493" s="88">
        <v>2556</v>
      </c>
      <c r="L493" s="88"/>
      <c r="M493" s="88"/>
      <c r="N493" s="88">
        <f t="shared" si="49"/>
        <v>1045.2</v>
      </c>
      <c r="O493" s="88"/>
    </row>
    <row r="494" ht="15.2" spans="1:15">
      <c r="A494" s="113">
        <v>44997.5577546296</v>
      </c>
      <c r="B494" s="114" t="s">
        <v>638</v>
      </c>
      <c r="C494" s="115" t="s">
        <v>697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</v>
      </c>
      <c r="O494" s="88"/>
    </row>
    <row r="495" ht="15.2" spans="1:15">
      <c r="A495" s="113">
        <v>44999.5070833333</v>
      </c>
      <c r="B495" s="114" t="s">
        <v>639</v>
      </c>
      <c r="C495" s="115" t="s">
        <v>686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754.285714285714</v>
      </c>
      <c r="J495" s="121">
        <v>37.7142857142857</v>
      </c>
      <c r="K495" s="88">
        <v>792</v>
      </c>
      <c r="L495" s="88">
        <v>0</v>
      </c>
      <c r="M495" s="88">
        <v>2566</v>
      </c>
      <c r="N495" s="88">
        <f t="shared" si="50"/>
        <v>254.4</v>
      </c>
      <c r="O495" s="88"/>
    </row>
    <row r="496" ht="15.2" spans="1:15">
      <c r="A496" s="113">
        <v>44999.5070833333</v>
      </c>
      <c r="B496" s="114" t="s">
        <v>639</v>
      </c>
      <c r="C496" s="115" t="s">
        <v>698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</v>
      </c>
      <c r="O496" s="88"/>
    </row>
    <row r="497" ht="15.2" spans="1:15">
      <c r="A497" s="113">
        <v>44999.5070949074</v>
      </c>
      <c r="B497" s="114" t="s">
        <v>639</v>
      </c>
      <c r="C497" s="115" t="s">
        <v>699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569.52380952381</v>
      </c>
      <c r="J497" s="121">
        <v>28.4761904761905</v>
      </c>
      <c r="K497" s="88">
        <v>598</v>
      </c>
      <c r="L497" s="88"/>
      <c r="M497" s="88"/>
      <c r="N497" s="88">
        <f t="shared" si="50"/>
        <v>124.8</v>
      </c>
      <c r="O497" s="88"/>
    </row>
    <row r="498" ht="15.2" spans="1:15">
      <c r="A498" s="113">
        <v>44999.8104861111</v>
      </c>
      <c r="B498" s="114" t="s">
        <v>641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833.809523809524</v>
      </c>
      <c r="J498" s="121">
        <v>41.6904761904762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ht="15.2" spans="1:15">
      <c r="A499" s="113">
        <v>44999.8104861111</v>
      </c>
      <c r="B499" s="114" t="s">
        <v>641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</v>
      </c>
      <c r="J499" s="121">
        <v>36.0238095238095</v>
      </c>
      <c r="K499" s="88">
        <v>756.5</v>
      </c>
      <c r="L499" s="88"/>
      <c r="M499" s="88"/>
      <c r="N499" s="88">
        <f t="shared" si="50"/>
        <v>214.2</v>
      </c>
      <c r="O499" s="88"/>
    </row>
    <row r="500" ht="15.2" spans="1:15">
      <c r="A500" s="113">
        <v>45000.813599537</v>
      </c>
      <c r="B500" s="114" t="s">
        <v>644</v>
      </c>
      <c r="C500" s="115" t="s">
        <v>701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3884.57142857143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</v>
      </c>
      <c r="O500" s="88"/>
    </row>
    <row r="501" ht="15.2" spans="1:15">
      <c r="A501" s="113">
        <v>45000.8398842593</v>
      </c>
      <c r="B501" s="114" t="s">
        <v>646</v>
      </c>
      <c r="C501" s="115" t="s">
        <v>702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714.285714285714</v>
      </c>
      <c r="J501" s="121">
        <v>35.7142857142857</v>
      </c>
      <c r="K501" s="88">
        <v>750</v>
      </c>
      <c r="L501" s="88">
        <v>0</v>
      </c>
      <c r="M501" s="88">
        <v>750</v>
      </c>
      <c r="N501" s="88">
        <f t="shared" si="51"/>
        <v>232.8</v>
      </c>
      <c r="O501" s="88"/>
    </row>
    <row r="502" ht="15.2" spans="1:15">
      <c r="A502" s="113">
        <v>45000.8565509259</v>
      </c>
      <c r="B502" s="114" t="s">
        <v>647</v>
      </c>
      <c r="C502" s="115" t="s">
        <v>688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513.809523809524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154.7</v>
      </c>
      <c r="O502" s="88"/>
    </row>
    <row r="503" ht="15.2" spans="1:15">
      <c r="A503" s="113">
        <v>45000.8565509259</v>
      </c>
      <c r="B503" s="114" t="s">
        <v>647</v>
      </c>
      <c r="C503" s="115" t="s">
        <v>703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ht="15.2" spans="1:15">
      <c r="A504" s="113">
        <v>45001.5439467593</v>
      </c>
      <c r="B504" s="114" t="s">
        <v>648</v>
      </c>
      <c r="C504" s="115" t="s">
        <v>704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</v>
      </c>
      <c r="J504" s="121">
        <v>34.2857142857143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ht="15.2" spans="1:15">
      <c r="A505" s="113">
        <v>45001.5439583333</v>
      </c>
      <c r="B505" s="114" t="s">
        <v>648</v>
      </c>
      <c r="C505" s="115" t="s">
        <v>705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ht="15.2" spans="1:15">
      <c r="A506" s="113">
        <v>45001.5439583333</v>
      </c>
      <c r="B506" s="114" t="s">
        <v>648</v>
      </c>
      <c r="C506" s="115" t="s">
        <v>706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</v>
      </c>
      <c r="O506" s="88"/>
    </row>
    <row r="507" ht="15.2" spans="1:15">
      <c r="A507" s="113">
        <v>45001.5439583333</v>
      </c>
      <c r="B507" s="114" t="s">
        <v>648</v>
      </c>
      <c r="C507" s="115" t="s">
        <v>707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</v>
      </c>
      <c r="K507" s="88">
        <v>958.5</v>
      </c>
      <c r="L507" s="88"/>
      <c r="M507" s="88"/>
      <c r="N507" s="88">
        <f t="shared" si="52"/>
        <v>255.15</v>
      </c>
      <c r="O507" s="88"/>
    </row>
    <row r="508" ht="15.2" spans="1:15">
      <c r="A508" s="113">
        <v>45001.5439699074</v>
      </c>
      <c r="B508" s="114" t="s">
        <v>648</v>
      </c>
      <c r="C508" s="115" t="s">
        <v>708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</v>
      </c>
      <c r="O508" s="88"/>
    </row>
    <row r="509" ht="15.2" spans="1:15">
      <c r="A509" s="113">
        <v>45001.5439699074</v>
      </c>
      <c r="B509" s="114" t="s">
        <v>648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ht="15.2" spans="1:15">
      <c r="A510" s="113">
        <v>45001.5439814815</v>
      </c>
      <c r="B510" s="114" t="s">
        <v>648</v>
      </c>
      <c r="C510" s="115" t="s">
        <v>709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</v>
      </c>
      <c r="J510" s="121">
        <v>40.6666666666667</v>
      </c>
      <c r="K510" s="88">
        <v>854</v>
      </c>
      <c r="L510" s="88"/>
      <c r="M510" s="88"/>
      <c r="N510" s="88">
        <f t="shared" si="52"/>
        <v>254.8</v>
      </c>
      <c r="O510" s="88"/>
    </row>
    <row r="511" ht="15.2" spans="1:15">
      <c r="A511" s="113">
        <v>45001.7117013889</v>
      </c>
      <c r="B511" s="114" t="s">
        <v>650</v>
      </c>
      <c r="C511" s="115" t="s">
        <v>710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41.8571428571429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ht="15.2" spans="1:15">
      <c r="A512" s="113">
        <v>45001.711712963</v>
      </c>
      <c r="B512" s="114" t="s">
        <v>650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</v>
      </c>
      <c r="J512" s="121">
        <v>54.8571428571429</v>
      </c>
      <c r="K512" s="88">
        <v>1152</v>
      </c>
      <c r="L512" s="88"/>
      <c r="M512" s="88"/>
      <c r="N512" s="88">
        <f t="shared" si="52"/>
        <v>312</v>
      </c>
      <c r="O512" s="88"/>
    </row>
    <row r="513" ht="15.2" spans="1:15">
      <c r="A513" s="113">
        <v>45001.7995601852</v>
      </c>
      <c r="B513" s="114" t="s">
        <v>651</v>
      </c>
      <c r="C513" s="115" t="s">
        <v>711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1478.09523809524</v>
      </c>
      <c r="J513" s="121">
        <v>73.9047619047619</v>
      </c>
      <c r="K513" s="88">
        <v>1552</v>
      </c>
      <c r="L513" s="88">
        <v>0.25</v>
      </c>
      <c r="M513" s="88">
        <v>6323</v>
      </c>
      <c r="N513" s="88">
        <f t="shared" si="52"/>
        <v>545.6</v>
      </c>
      <c r="O513" s="88"/>
    </row>
    <row r="514" ht="15.2" spans="1:15">
      <c r="A514" s="113">
        <v>45001.7995601852</v>
      </c>
      <c r="B514" s="114" t="s">
        <v>651</v>
      </c>
      <c r="C514" s="115" t="s">
        <v>713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</v>
      </c>
      <c r="O514" s="88"/>
    </row>
    <row r="515" ht="15.2" spans="1:15">
      <c r="A515" s="113">
        <v>45001.829849537</v>
      </c>
      <c r="B515" s="114" t="s">
        <v>654</v>
      </c>
      <c r="C515" s="115" t="s">
        <v>714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1238.09523809524</v>
      </c>
      <c r="J515" s="121">
        <v>61.9047619047619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ht="15.2" spans="1:15">
      <c r="A516" s="113">
        <v>45002.4969675926</v>
      </c>
      <c r="B516" s="114" t="s">
        <v>655</v>
      </c>
      <c r="C516" s="115" t="s">
        <v>692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2528.57142857143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ht="15.2" spans="1:15">
      <c r="A517" s="113">
        <v>45003.6276157407</v>
      </c>
      <c r="B517" s="114" t="s">
        <v>662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ht="15.2" spans="1:15">
      <c r="A518" s="113">
        <v>45003.6276273148</v>
      </c>
      <c r="B518" s="114" t="s">
        <v>662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</v>
      </c>
      <c r="J518" s="121">
        <v>33.9285714285714</v>
      </c>
      <c r="K518" s="88">
        <v>712.5</v>
      </c>
      <c r="L518" s="88"/>
      <c r="M518" s="88"/>
      <c r="N518" s="88">
        <f t="shared" si="53"/>
        <v>241.5</v>
      </c>
      <c r="O518" s="88"/>
    </row>
    <row r="519" ht="15.2" spans="1:15">
      <c r="A519" s="113">
        <v>45003.6276273148</v>
      </c>
      <c r="B519" s="114" t="s">
        <v>662</v>
      </c>
      <c r="C519" s="115" t="s">
        <v>715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</v>
      </c>
      <c r="J519" s="121">
        <v>56.5476190476191</v>
      </c>
      <c r="K519" s="88">
        <v>1187.5</v>
      </c>
      <c r="L519" s="88"/>
      <c r="M519" s="88"/>
      <c r="N519" s="88">
        <f t="shared" si="53"/>
        <v>400</v>
      </c>
      <c r="O519" s="88"/>
    </row>
    <row r="520" ht="15.2" spans="1:15">
      <c r="A520" s="113">
        <v>45003.8194907407</v>
      </c>
      <c r="B520" s="114" t="s">
        <v>664</v>
      </c>
      <c r="C520" s="115" t="s">
        <v>716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</v>
      </c>
      <c r="O520" s="88"/>
    </row>
    <row r="521" ht="15.2" spans="1:15">
      <c r="A521" s="113">
        <v>45005.5936458333</v>
      </c>
      <c r="B521" s="114" t="s">
        <v>665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</v>
      </c>
      <c r="K521" s="88">
        <v>1111.5</v>
      </c>
      <c r="L521" s="88">
        <v>-0.13</v>
      </c>
      <c r="M521" s="88">
        <v>4696</v>
      </c>
      <c r="N521" s="88">
        <f t="shared" si="54"/>
        <v>310.7</v>
      </c>
      <c r="O521" s="88"/>
    </row>
    <row r="522" ht="15.2" spans="1:15">
      <c r="A522" s="113">
        <v>45005.5936458333</v>
      </c>
      <c r="B522" s="114" t="s">
        <v>665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1060.47619047619</v>
      </c>
      <c r="J522" s="121">
        <v>53.0238095238095</v>
      </c>
      <c r="K522" s="88">
        <v>1113.5</v>
      </c>
      <c r="L522" s="88"/>
      <c r="M522" s="88"/>
      <c r="N522" s="88">
        <f t="shared" si="54"/>
        <v>1113.5</v>
      </c>
      <c r="O522" s="88"/>
    </row>
    <row r="523" ht="15.2" spans="1:15">
      <c r="A523" s="113">
        <v>45005.5936458333</v>
      </c>
      <c r="B523" s="114" t="s">
        <v>665</v>
      </c>
      <c r="C523" s="115" t="s">
        <v>717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74.0714285714286</v>
      </c>
      <c r="K523" s="88">
        <v>1555.5</v>
      </c>
      <c r="L523" s="88"/>
      <c r="M523" s="88"/>
      <c r="N523" s="88">
        <f t="shared" si="54"/>
        <v>431.8</v>
      </c>
      <c r="O523" s="88"/>
    </row>
    <row r="524" ht="15.2" spans="1:15">
      <c r="A524" s="113">
        <v>45005.5936574074</v>
      </c>
      <c r="B524" s="114" t="s">
        <v>665</v>
      </c>
      <c r="C524" s="115" t="s">
        <v>718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</v>
      </c>
      <c r="J524" s="121">
        <v>43.6014285714286</v>
      </c>
      <c r="K524" s="88">
        <v>915.63</v>
      </c>
      <c r="L524" s="88"/>
      <c r="M524" s="88"/>
      <c r="N524" s="88">
        <f t="shared" si="54"/>
        <v>259.38</v>
      </c>
      <c r="O524" s="119"/>
    </row>
    <row r="525" ht="15.2" spans="1:15">
      <c r="A525" s="113">
        <v>45006.7209027778</v>
      </c>
      <c r="B525" s="114" t="s">
        <v>666</v>
      </c>
      <c r="C525" s="115" t="s">
        <v>719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</v>
      </c>
      <c r="J525" s="121">
        <v>28.2857142857143</v>
      </c>
      <c r="K525" s="88">
        <v>594</v>
      </c>
      <c r="L525" s="88">
        <v>0</v>
      </c>
      <c r="M525" s="88">
        <v>3252</v>
      </c>
      <c r="N525" s="88">
        <f t="shared" si="54"/>
        <v>279.6</v>
      </c>
      <c r="O525" s="88"/>
    </row>
    <row r="526" ht="15.2" spans="1:15">
      <c r="A526" s="113">
        <v>45006.7209027778</v>
      </c>
      <c r="B526" s="114" t="s">
        <v>666</v>
      </c>
      <c r="C526" s="115" t="s">
        <v>720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</v>
      </c>
      <c r="J526" s="121">
        <v>74.2857142857143</v>
      </c>
      <c r="K526" s="88">
        <v>1560</v>
      </c>
      <c r="L526" s="88"/>
      <c r="M526" s="88"/>
      <c r="N526" s="88">
        <f t="shared" si="54"/>
        <v>534.4</v>
      </c>
      <c r="O526" s="88"/>
    </row>
    <row r="527" ht="15.2" spans="1:15">
      <c r="A527" s="113">
        <v>45006.7209027778</v>
      </c>
      <c r="B527" s="114" t="s">
        <v>666</v>
      </c>
      <c r="C527" s="115" t="s">
        <v>721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</v>
      </c>
      <c r="J527" s="121">
        <v>27.4285714285714</v>
      </c>
      <c r="K527" s="88">
        <v>576</v>
      </c>
      <c r="L527" s="88"/>
      <c r="M527" s="88"/>
      <c r="N527" s="88">
        <f t="shared" si="54"/>
        <v>152</v>
      </c>
      <c r="O527" s="88"/>
    </row>
    <row r="528" ht="15.2" spans="1:15">
      <c r="A528" s="113">
        <v>45006.7209143518</v>
      </c>
      <c r="B528" s="114" t="s">
        <v>666</v>
      </c>
      <c r="C528" s="115" t="s">
        <v>722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103.2</v>
      </c>
      <c r="O528" s="88"/>
    </row>
    <row r="529" ht="15.2" spans="1:15">
      <c r="A529" s="113">
        <v>45006.7347453704</v>
      </c>
      <c r="B529" s="114" t="s">
        <v>667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724.285714285714</v>
      </c>
      <c r="J529" s="121">
        <v>36.2142857142857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ht="15.2" spans="1:15">
      <c r="A530" s="113">
        <v>45006.7347453704</v>
      </c>
      <c r="B530" s="114" t="s">
        <v>667</v>
      </c>
      <c r="C530" s="115" t="s">
        <v>723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700.952380952381</v>
      </c>
      <c r="J530" s="121">
        <v>35.0476190476191</v>
      </c>
      <c r="K530" s="88">
        <v>736</v>
      </c>
      <c r="L530" s="88"/>
      <c r="M530" s="88"/>
      <c r="N530" s="88">
        <f t="shared" si="54"/>
        <v>153.6</v>
      </c>
      <c r="O530" s="88"/>
    </row>
    <row r="531" ht="15.2" spans="1:15">
      <c r="A531" s="113">
        <v>45006.7347453704</v>
      </c>
      <c r="B531" s="114" t="s">
        <v>667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</v>
      </c>
      <c r="J531" s="121">
        <v>10.1190476190476</v>
      </c>
      <c r="K531" s="88">
        <v>212.5</v>
      </c>
      <c r="L531" s="88"/>
      <c r="M531" s="88"/>
      <c r="N531" s="88">
        <f t="shared" si="54"/>
        <v>-67.5</v>
      </c>
      <c r="O531" s="88"/>
    </row>
    <row r="532" ht="15.2" spans="1:15">
      <c r="A532" s="113">
        <v>45006.8210069444</v>
      </c>
      <c r="B532" s="114" t="s">
        <v>668</v>
      </c>
      <c r="C532" s="115" t="s">
        <v>724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</v>
      </c>
      <c r="J532" s="121">
        <v>38.0952380952381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ht="15.2" spans="1:15">
      <c r="A533" s="113">
        <v>45007.5503125</v>
      </c>
      <c r="B533" s="114" t="s">
        <v>669</v>
      </c>
      <c r="C533" s="115" t="s">
        <v>725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</v>
      </c>
      <c r="O533" s="88"/>
    </row>
    <row r="534" ht="15.2" spans="1:15">
      <c r="A534" s="113">
        <v>45007.6274768518</v>
      </c>
      <c r="B534" s="114" t="s">
        <v>670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</v>
      </c>
      <c r="O534" s="88"/>
    </row>
    <row r="535" ht="15.2" spans="1:15">
      <c r="A535" s="113">
        <v>45007.6274884259</v>
      </c>
      <c r="B535" s="114" t="s">
        <v>670</v>
      </c>
      <c r="C535" s="115" t="s">
        <v>726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</v>
      </c>
      <c r="J535" s="121">
        <v>44.2857142857143</v>
      </c>
      <c r="K535" s="88">
        <v>930</v>
      </c>
      <c r="L535" s="88"/>
      <c r="M535" s="88"/>
      <c r="N535" s="88">
        <f t="shared" si="55"/>
        <v>264</v>
      </c>
      <c r="O535" s="88"/>
    </row>
    <row r="536" ht="15.2" spans="1:15">
      <c r="A536" s="113">
        <v>45007.6274884259</v>
      </c>
      <c r="B536" s="114" t="s">
        <v>670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409.904761904762</v>
      </c>
      <c r="J536" s="121">
        <v>20.4952380952381</v>
      </c>
      <c r="K536" s="88">
        <v>430.4</v>
      </c>
      <c r="L536" s="88"/>
      <c r="M536" s="88"/>
      <c r="N536" s="88">
        <f t="shared" si="55"/>
        <v>74.4</v>
      </c>
      <c r="O536" s="88"/>
    </row>
    <row r="537" ht="15.2" spans="1:15">
      <c r="A537" s="113">
        <v>45007.8253703704</v>
      </c>
      <c r="B537" s="114" t="s">
        <v>672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998.095238095238</v>
      </c>
      <c r="J537" s="121">
        <v>49.9047619047619</v>
      </c>
      <c r="K537" s="88">
        <v>1048</v>
      </c>
      <c r="L537" s="88">
        <v>0</v>
      </c>
      <c r="M537" s="88">
        <v>1048</v>
      </c>
      <c r="N537" s="88">
        <f t="shared" si="55"/>
        <v>249.6</v>
      </c>
      <c r="O537" s="88"/>
    </row>
    <row r="538" ht="15.2" spans="1:15">
      <c r="A538" s="113">
        <v>45007.8388773148</v>
      </c>
      <c r="B538" s="114" t="s">
        <v>674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</v>
      </c>
      <c r="J538" s="121">
        <v>35.4285714285714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ht="15.2" spans="1:15">
      <c r="A539" s="113">
        <v>45007.8388773148</v>
      </c>
      <c r="B539" s="114" t="s">
        <v>674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1354.28571428571</v>
      </c>
      <c r="J539" s="121">
        <v>67.7142857142857</v>
      </c>
      <c r="K539" s="88">
        <v>1422</v>
      </c>
      <c r="L539" s="88"/>
      <c r="M539" s="88"/>
      <c r="N539" s="88">
        <f t="shared" si="55"/>
        <v>499.2</v>
      </c>
      <c r="O539" s="88"/>
    </row>
    <row r="540" ht="15.2" spans="1:15">
      <c r="A540" s="113">
        <v>45007.8388773148</v>
      </c>
      <c r="B540" s="114" t="s">
        <v>674</v>
      </c>
      <c r="C540" s="115" t="s">
        <v>727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</v>
      </c>
      <c r="O540" s="88"/>
    </row>
    <row r="541" ht="15.2" spans="1:15">
      <c r="A541" s="113">
        <v>45008.8277662037</v>
      </c>
      <c r="B541" s="114" t="s">
        <v>676</v>
      </c>
      <c r="C541" s="115" t="s">
        <v>728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522.6</v>
      </c>
      <c r="O541" s="88"/>
    </row>
    <row r="542" ht="15.2" spans="1:15">
      <c r="A542" s="113">
        <v>45019.5628472222</v>
      </c>
      <c r="B542" s="114" t="s">
        <v>679</v>
      </c>
      <c r="C542" s="115" t="s">
        <v>729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421.2</v>
      </c>
      <c r="O542" s="88"/>
    </row>
    <row r="543" ht="15.2" spans="1:15">
      <c r="A543" s="113">
        <v>45019.5658101852</v>
      </c>
      <c r="B543" s="114" t="s">
        <v>681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</v>
      </c>
      <c r="J543" s="121">
        <v>10.1190476190476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ht="15.2" spans="1:15">
      <c r="A544" s="113">
        <v>45019.6151967593</v>
      </c>
      <c r="B544" s="114" t="s">
        <v>682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</v>
      </c>
      <c r="J544" s="121">
        <v>22.2857142857143</v>
      </c>
      <c r="K544" s="88">
        <v>468</v>
      </c>
      <c r="L544" s="88">
        <v>0</v>
      </c>
      <c r="M544" s="88">
        <v>468</v>
      </c>
      <c r="N544" s="88">
        <f t="shared" si="56"/>
        <v>109.2</v>
      </c>
      <c r="O544" s="88"/>
    </row>
    <row r="545" ht="15.2" spans="1:15">
      <c r="A545" s="113">
        <v>45021.8233449074</v>
      </c>
      <c r="B545" s="114" t="s">
        <v>684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ht="15.2" spans="1:15">
      <c r="A546" s="113">
        <v>45021.840474537</v>
      </c>
      <c r="B546" s="114" t="s">
        <v>430</v>
      </c>
      <c r="C546" s="115" t="s">
        <v>731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794.285714285714</v>
      </c>
      <c r="J546" s="121">
        <v>39.7142857142857</v>
      </c>
      <c r="K546" s="88">
        <v>834</v>
      </c>
      <c r="L546" s="88">
        <v>0</v>
      </c>
      <c r="M546" s="88">
        <v>1994</v>
      </c>
      <c r="N546" s="88">
        <f t="shared" si="56"/>
        <v>243.6</v>
      </c>
      <c r="O546" s="88"/>
    </row>
    <row r="547" ht="15.2" spans="1:15">
      <c r="A547" s="113">
        <v>45021.840474537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55.2380952380952</v>
      </c>
      <c r="K547" s="88">
        <v>1160</v>
      </c>
      <c r="L547" s="88"/>
      <c r="M547" s="88"/>
      <c r="N547" s="88">
        <f t="shared" si="56"/>
        <v>424</v>
      </c>
      <c r="O547" s="88"/>
    </row>
    <row r="548" ht="15.2" spans="1:15">
      <c r="A548" s="123" t="s">
        <v>405</v>
      </c>
      <c r="B548" s="123">
        <f>SUBTOTAL(103,ProfitLossTable[InvoiceNo])</f>
        <v>546</v>
      </c>
      <c r="C548" s="123"/>
      <c r="D548" s="123"/>
      <c r="E548" s="123"/>
      <c r="F548" s="71"/>
      <c r="G548" s="71"/>
      <c r="H548" s="123"/>
      <c r="I548" s="83">
        <f>SUBTOTAL(109,ProfitLossTable[BasicPrice])</f>
        <v>529722.709160567</v>
      </c>
      <c r="J548" s="83">
        <f>SUBTOTAL(109,ProfitLossTable[TaxAmount])</f>
        <v>28206.8608394326</v>
      </c>
      <c r="K548" s="124">
        <f>SUBTOTAL(109,ProfitLossTable[SalePrice])</f>
        <v>561786.970000001</v>
      </c>
      <c r="L548" s="124">
        <f>SUBTOTAL(109,ProfitLossTable[RoundOff])</f>
        <v>-0.670000000000007</v>
      </c>
      <c r="M548" s="124">
        <f>SUBTOTAL(109,ProfitLossTable[BilAmount])</f>
        <v>572004</v>
      </c>
      <c r="N548" s="124">
        <f>SUBTOTAL(109,ProfitLossTable[Profit/Loss])</f>
        <v>6032.69949999993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{2ff6f27f-c4b9-489b-a75d-8feb2b289f6a}</x14:id>
        </ext>
      </extLst>
    </cfRule>
  </conditionalFormatting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f6f27f-c4b9-489b-a75d-8feb2b289f6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E1"/>
  <sheetViews>
    <sheetView workbookViewId="0">
      <selection activeCell="A1" sqref="A1:E2"/>
    </sheetView>
  </sheetViews>
  <sheetFormatPr defaultColWidth="9" defaultRowHeight="14" outlineLevelCol="4"/>
  <cols>
    <col min="2" max="2" width="13.890625" customWidth="1"/>
    <col min="3" max="3" width="10.5546875" customWidth="1"/>
  </cols>
  <sheetData>
    <row r="1" spans="1:5">
      <c r="A1" s="37" t="s">
        <v>424</v>
      </c>
      <c r="B1" s="37" t="s">
        <v>797</v>
      </c>
      <c r="C1" s="37" t="s">
        <v>798</v>
      </c>
      <c r="D1" s="37" t="s">
        <v>799</v>
      </c>
      <c r="E1" s="37" t="s">
        <v>800</v>
      </c>
    </row>
  </sheetData>
  <pageMargins left="0.7" right="0.7" top="0.75" bottom="0.75" header="0.3" footer="0.3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6346"/>
  <sheetViews>
    <sheetView workbookViewId="0">
      <pane ySplit="1" topLeftCell="A2" activePane="bottomLeft" state="frozen"/>
      <selection/>
      <selection pane="bottomLeft" activeCell="N2" sqref="N2:N5"/>
    </sheetView>
  </sheetViews>
  <sheetFormatPr defaultColWidth="9" defaultRowHeight="14"/>
  <cols>
    <col min="1" max="1" width="19.335937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59375" customWidth="1"/>
    <col min="8" max="8" width="10.6640625" customWidth="1"/>
    <col min="9" max="9" width="11" customWidth="1"/>
    <col min="10" max="10" width="13.6640625" customWidth="1"/>
    <col min="14" max="14" width="25.4453125" style="55" customWidth="1"/>
  </cols>
  <sheetData>
    <row r="1" spans="1:10">
      <c r="A1" s="56" t="s">
        <v>2</v>
      </c>
      <c r="B1" s="57" t="s">
        <v>5</v>
      </c>
      <c r="C1" s="57" t="s">
        <v>4</v>
      </c>
      <c r="D1" s="57" t="s">
        <v>733</v>
      </c>
      <c r="E1" s="57" t="s">
        <v>426</v>
      </c>
      <c r="F1" s="57" t="s">
        <v>734</v>
      </c>
      <c r="G1" s="57" t="s">
        <v>735</v>
      </c>
      <c r="H1" s="57" t="s">
        <v>736</v>
      </c>
      <c r="I1" s="57" t="s">
        <v>737</v>
      </c>
      <c r="J1" s="57" t="s">
        <v>738</v>
      </c>
    </row>
    <row r="2" ht="15.2" spans="1:14">
      <c r="A2" s="58" t="s">
        <v>122</v>
      </c>
      <c r="B2" s="59">
        <v>345</v>
      </c>
      <c r="C2" s="59">
        <v>810</v>
      </c>
      <c r="D2" s="59" t="s">
        <v>801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ht="15.2" spans="1:14">
      <c r="A3" s="58" t="s">
        <v>126</v>
      </c>
      <c r="B3" s="59">
        <v>369</v>
      </c>
      <c r="C3" s="59">
        <v>880</v>
      </c>
      <c r="D3" s="59" t="s">
        <v>801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ht="15.2" spans="1:14">
      <c r="A4" s="58" t="s">
        <v>802</v>
      </c>
      <c r="B4" s="59">
        <v>286.3</v>
      </c>
      <c r="C4" s="59">
        <v>859</v>
      </c>
      <c r="D4" s="59" t="s">
        <v>801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ht="15.2" spans="1:14">
      <c r="A5" s="58">
        <v>8907378922830</v>
      </c>
      <c r="B5" s="59">
        <v>1444.92</v>
      </c>
      <c r="C5" s="59">
        <v>2199</v>
      </c>
      <c r="D5" s="59" t="s">
        <v>803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ht="15.2" spans="1:10">
      <c r="A6" s="58" t="s">
        <v>804</v>
      </c>
      <c r="B6" s="59">
        <v>433.84</v>
      </c>
      <c r="C6" s="59">
        <v>638</v>
      </c>
      <c r="D6" s="59" t="s">
        <v>803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</row>
    <row r="7" ht="15.2" spans="1:10">
      <c r="A7" s="58" t="s">
        <v>805</v>
      </c>
      <c r="B7" s="59">
        <v>1158.92</v>
      </c>
      <c r="C7" s="59">
        <v>1799</v>
      </c>
      <c r="D7" s="59" t="s">
        <v>803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</row>
    <row r="8" ht="15.2" spans="1:10">
      <c r="A8" s="58" t="s">
        <v>806</v>
      </c>
      <c r="B8" s="59">
        <v>5892.27</v>
      </c>
      <c r="C8" s="59">
        <v>9999</v>
      </c>
      <c r="D8" s="59" t="s">
        <v>803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</row>
    <row r="9" ht="15.2" spans="1:10">
      <c r="A9" s="58" t="s">
        <v>807</v>
      </c>
      <c r="B9" s="59">
        <v>722.13</v>
      </c>
      <c r="C9" s="59">
        <v>1099</v>
      </c>
      <c r="D9" s="59" t="s">
        <v>803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</row>
    <row r="10" ht="15.2" spans="1:10">
      <c r="A10" s="58" t="s">
        <v>808</v>
      </c>
      <c r="B10" s="59">
        <v>595</v>
      </c>
      <c r="C10" s="59">
        <v>1299</v>
      </c>
      <c r="D10" s="59" t="s">
        <v>801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ht="15.2" spans="1:10">
      <c r="A11" s="58" t="s">
        <v>809</v>
      </c>
      <c r="B11" s="59">
        <v>586</v>
      </c>
      <c r="C11" s="59">
        <v>1301</v>
      </c>
      <c r="D11" s="59" t="s">
        <v>801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910.7</v>
      </c>
    </row>
    <row r="12" ht="15.2" spans="1:10">
      <c r="A12" s="58">
        <v>8907538866905</v>
      </c>
      <c r="B12" s="59">
        <v>3035.11</v>
      </c>
      <c r="C12" s="59">
        <v>4999</v>
      </c>
      <c r="D12" s="59" t="s">
        <v>803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ht="15.2" spans="1:10">
      <c r="A13" s="58" t="s">
        <v>810</v>
      </c>
      <c r="B13" s="59">
        <v>1472.63</v>
      </c>
      <c r="C13" s="59">
        <v>2499</v>
      </c>
      <c r="D13" s="59" t="s">
        <v>803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ht="15.2" spans="1:10">
      <c r="A14" s="58" t="s">
        <v>811</v>
      </c>
      <c r="B14" s="59">
        <v>1313.5</v>
      </c>
      <c r="C14" s="59">
        <v>1999</v>
      </c>
      <c r="D14" s="59" t="s">
        <v>803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ht="15.2" spans="1:10">
      <c r="A15" s="58">
        <v>8907378345325</v>
      </c>
      <c r="B15" s="59">
        <v>1510.63</v>
      </c>
      <c r="C15" s="59">
        <v>2299</v>
      </c>
      <c r="D15" s="59" t="s">
        <v>803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ht="15.2" spans="1:10">
      <c r="A16" s="58" t="s">
        <v>812</v>
      </c>
      <c r="B16" s="59">
        <v>1116.38</v>
      </c>
      <c r="C16" s="59">
        <v>1699</v>
      </c>
      <c r="D16" s="59" t="s">
        <v>803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ht="15.2" spans="1:10">
      <c r="A17" s="58" t="s">
        <v>813</v>
      </c>
      <c r="B17" s="59">
        <v>1576.34</v>
      </c>
      <c r="C17" s="59">
        <v>2399</v>
      </c>
      <c r="D17" s="59" t="s">
        <v>803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ht="15.2" spans="1:10">
      <c r="A18" s="58" t="s">
        <v>814</v>
      </c>
      <c r="B18" s="59">
        <v>0</v>
      </c>
      <c r="C18" s="59">
        <v>0</v>
      </c>
      <c r="D18" s="59" t="s">
        <v>815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ht="15.2" spans="1:10">
      <c r="A19" s="58" t="s">
        <v>816</v>
      </c>
      <c r="B19" s="59">
        <v>1649.41</v>
      </c>
      <c r="C19" s="59">
        <v>2799</v>
      </c>
      <c r="D19" s="59" t="s">
        <v>803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ht="15.2" spans="1:10">
      <c r="A20" s="58">
        <v>8907538860972</v>
      </c>
      <c r="B20" s="59">
        <v>8499.39</v>
      </c>
      <c r="C20" s="59">
        <v>13999</v>
      </c>
      <c r="D20" s="59" t="s">
        <v>803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ht="15.2" spans="1:10">
      <c r="A21" s="58" t="s">
        <v>817</v>
      </c>
      <c r="B21" s="59">
        <v>554</v>
      </c>
      <c r="C21" s="59">
        <v>1224</v>
      </c>
      <c r="D21" s="59" t="s">
        <v>801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</v>
      </c>
      <c r="J21" s="60">
        <f t="shared" si="1"/>
        <v>122.4</v>
      </c>
    </row>
    <row r="22" ht="15.2" spans="1:10">
      <c r="A22" s="58" t="s">
        <v>818</v>
      </c>
      <c r="B22" s="59">
        <v>452.69</v>
      </c>
      <c r="C22" s="59">
        <v>699</v>
      </c>
      <c r="D22" s="59" t="s">
        <v>803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ht="15.2" spans="1:10">
      <c r="A23" s="58" t="s">
        <v>819</v>
      </c>
      <c r="B23" s="59">
        <v>1456.54</v>
      </c>
      <c r="C23" s="59">
        <v>2399</v>
      </c>
      <c r="D23" s="59" t="s">
        <v>803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ht="15.2" spans="1:10">
      <c r="A24" s="58" t="s">
        <v>820</v>
      </c>
      <c r="B24" s="59">
        <v>1213.68</v>
      </c>
      <c r="C24" s="59">
        <v>1999</v>
      </c>
      <c r="D24" s="59" t="s">
        <v>803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ht="15.2" spans="1:10">
      <c r="A25" s="58">
        <v>8907686276366</v>
      </c>
      <c r="B25" s="59">
        <v>517.45</v>
      </c>
      <c r="C25" s="59">
        <v>799</v>
      </c>
      <c r="D25" s="59" t="s">
        <v>803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ht="15.2" spans="1:10">
      <c r="A26" s="58" t="s">
        <v>821</v>
      </c>
      <c r="B26" s="59">
        <v>1395.82</v>
      </c>
      <c r="C26" s="59">
        <v>2299</v>
      </c>
      <c r="D26" s="59" t="s">
        <v>803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ht="15.2" spans="1:10">
      <c r="A27" s="58" t="s">
        <v>822</v>
      </c>
      <c r="B27" s="59">
        <v>399</v>
      </c>
      <c r="C27" s="59">
        <v>892</v>
      </c>
      <c r="D27" s="59" t="s">
        <v>801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</v>
      </c>
      <c r="J27" s="60">
        <f t="shared" si="1"/>
        <v>713.6</v>
      </c>
    </row>
    <row r="28" ht="15.2" spans="1:10">
      <c r="A28" s="58" t="s">
        <v>823</v>
      </c>
      <c r="B28" s="59">
        <v>1313.5</v>
      </c>
      <c r="C28" s="59">
        <v>1999</v>
      </c>
      <c r="D28" s="59" t="s">
        <v>803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ht="15.2" spans="1:10">
      <c r="A29" s="58" t="s">
        <v>824</v>
      </c>
      <c r="B29" s="59">
        <v>3226.55</v>
      </c>
      <c r="C29" s="59">
        <v>5599</v>
      </c>
      <c r="D29" s="59" t="s">
        <v>803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ht="15.2" spans="1:10">
      <c r="A30" s="58" t="s">
        <v>825</v>
      </c>
      <c r="B30" s="59">
        <v>1247.8</v>
      </c>
      <c r="C30" s="59">
        <v>1899</v>
      </c>
      <c r="D30" s="59" t="s">
        <v>803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ht="15.2" spans="1:10">
      <c r="A31" s="58" t="s">
        <v>826</v>
      </c>
      <c r="B31" s="59">
        <v>1699.39</v>
      </c>
      <c r="C31" s="59">
        <v>2799</v>
      </c>
      <c r="D31" s="59" t="s">
        <v>803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ht="15.2" spans="1:10">
      <c r="A32" s="58" t="s">
        <v>827</v>
      </c>
      <c r="B32" s="59">
        <v>461</v>
      </c>
      <c r="C32" s="59">
        <v>1165</v>
      </c>
      <c r="D32" s="59" t="s">
        <v>801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</v>
      </c>
      <c r="J32" s="60">
        <f t="shared" si="1"/>
        <v>3611.5</v>
      </c>
    </row>
    <row r="33" ht="15.2" spans="1:10">
      <c r="A33" s="58" t="s">
        <v>828</v>
      </c>
      <c r="B33" s="59">
        <v>906.75</v>
      </c>
      <c r="C33" s="59">
        <v>1399</v>
      </c>
      <c r="D33" s="59" t="s">
        <v>803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ht="15.2" spans="1:10">
      <c r="A34" s="58" t="s">
        <v>829</v>
      </c>
      <c r="B34" s="59">
        <v>881</v>
      </c>
      <c r="C34" s="59">
        <v>2207</v>
      </c>
      <c r="D34" s="59" t="s">
        <v>801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</v>
      </c>
      <c r="J34" s="60">
        <f t="shared" si="1"/>
        <v>17435.3</v>
      </c>
    </row>
    <row r="35" ht="15.2" spans="1:10">
      <c r="A35" s="58" t="s">
        <v>830</v>
      </c>
      <c r="B35" s="59">
        <v>949</v>
      </c>
      <c r="C35" s="59">
        <v>1993</v>
      </c>
      <c r="D35" s="59" t="s">
        <v>801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ht="15.2" spans="1:10">
      <c r="A36" s="58" t="s">
        <v>831</v>
      </c>
      <c r="B36" s="59">
        <v>1182.09</v>
      </c>
      <c r="C36" s="59">
        <v>1799</v>
      </c>
      <c r="D36" s="59" t="s">
        <v>803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1182.09</v>
      </c>
      <c r="J36" s="60">
        <f t="shared" si="1"/>
        <v>1799</v>
      </c>
    </row>
    <row r="37" ht="15.2" spans="1:10">
      <c r="A37" s="58" t="s">
        <v>832</v>
      </c>
      <c r="B37" s="59">
        <v>370</v>
      </c>
      <c r="C37" s="59">
        <v>802</v>
      </c>
      <c r="D37" s="59" t="s">
        <v>801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ht="15.2" spans="1:10">
      <c r="A38" s="58" t="s">
        <v>833</v>
      </c>
      <c r="B38" s="59">
        <v>2233.41</v>
      </c>
      <c r="C38" s="59">
        <v>3399</v>
      </c>
      <c r="D38" s="59" t="s">
        <v>803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ht="15.2" spans="1:10">
      <c r="A39" s="58" t="s">
        <v>834</v>
      </c>
      <c r="B39" s="59">
        <v>787.84</v>
      </c>
      <c r="C39" s="59">
        <v>1199</v>
      </c>
      <c r="D39" s="59" t="s">
        <v>803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ht="15.2" spans="1:10">
      <c r="A40" s="58" t="s">
        <v>835</v>
      </c>
      <c r="B40" s="59">
        <v>1773.46</v>
      </c>
      <c r="C40" s="59">
        <v>2699</v>
      </c>
      <c r="D40" s="59" t="s">
        <v>803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ht="15.2" spans="1:10">
      <c r="A41" s="58" t="s">
        <v>836</v>
      </c>
      <c r="B41" s="59">
        <v>1416.6</v>
      </c>
      <c r="C41" s="59">
        <v>2199</v>
      </c>
      <c r="D41" s="59" t="s">
        <v>803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ht="15.2" spans="1:10">
      <c r="A42" s="58" t="s">
        <v>837</v>
      </c>
      <c r="B42" s="59">
        <v>1379.21</v>
      </c>
      <c r="C42" s="59">
        <v>2099</v>
      </c>
      <c r="D42" s="59" t="s">
        <v>803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ht="15.2" spans="1:10">
      <c r="A43" s="58" t="s">
        <v>838</v>
      </c>
      <c r="B43" s="59">
        <v>1116.38</v>
      </c>
      <c r="C43" s="59">
        <v>1699</v>
      </c>
      <c r="D43" s="59" t="s">
        <v>803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ht="15.2" spans="1:10">
      <c r="A44" s="58" t="s">
        <v>839</v>
      </c>
      <c r="B44" s="59">
        <v>984.96</v>
      </c>
      <c r="C44" s="59">
        <v>1499</v>
      </c>
      <c r="D44" s="59" t="s">
        <v>803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ht="15.2" spans="1:10">
      <c r="A45" s="58" t="s">
        <v>840</v>
      </c>
      <c r="B45" s="59">
        <v>1576.34</v>
      </c>
      <c r="C45" s="59">
        <v>2399</v>
      </c>
      <c r="D45" s="59" t="s">
        <v>803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ht="15.2" spans="1:10">
      <c r="A46" s="58" t="s">
        <v>841</v>
      </c>
      <c r="B46" s="59">
        <v>1092.25</v>
      </c>
      <c r="C46" s="59">
        <v>1799</v>
      </c>
      <c r="D46" s="59" t="s">
        <v>803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ht="15.2" spans="1:10">
      <c r="A47" s="58" t="s">
        <v>842</v>
      </c>
      <c r="B47" s="59">
        <v>306</v>
      </c>
      <c r="C47" s="59">
        <v>720</v>
      </c>
      <c r="D47" s="59" t="s">
        <v>801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ht="15.2" spans="1:10">
      <c r="A48" s="58" t="s">
        <v>843</v>
      </c>
      <c r="B48" s="59">
        <v>327</v>
      </c>
      <c r="C48" s="59">
        <v>815</v>
      </c>
      <c r="D48" s="59" t="s">
        <v>801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ht="15.2" spans="1:10">
      <c r="A49" s="58" t="s">
        <v>844</v>
      </c>
      <c r="B49" s="59">
        <v>399</v>
      </c>
      <c r="C49" s="59">
        <v>838</v>
      </c>
      <c r="D49" s="59" t="s">
        <v>801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3830.4</v>
      </c>
      <c r="J49" s="60">
        <f t="shared" si="1"/>
        <v>8044.8</v>
      </c>
    </row>
    <row r="50" ht="15.2" spans="1:10">
      <c r="A50" s="58" t="s">
        <v>845</v>
      </c>
      <c r="B50" s="59">
        <v>1576.34</v>
      </c>
      <c r="C50" s="59">
        <v>2399</v>
      </c>
      <c r="D50" s="59" t="s">
        <v>803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ht="15.2" spans="1:10">
      <c r="A51" s="58" t="s">
        <v>846</v>
      </c>
      <c r="B51" s="59">
        <v>1349</v>
      </c>
      <c r="C51" s="59">
        <v>3060</v>
      </c>
      <c r="D51" s="59" t="s">
        <v>801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ht="15.2" spans="1:10">
      <c r="A52" s="58" t="s">
        <v>847</v>
      </c>
      <c r="B52" s="59">
        <v>1295.84</v>
      </c>
      <c r="C52" s="59">
        <v>2199</v>
      </c>
      <c r="D52" s="59" t="s">
        <v>803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1295.84</v>
      </c>
      <c r="J52" s="60">
        <f t="shared" si="1"/>
        <v>2199</v>
      </c>
    </row>
    <row r="53" ht="15.2" spans="1:10">
      <c r="A53" s="58" t="s">
        <v>848</v>
      </c>
      <c r="B53" s="59">
        <v>970.78</v>
      </c>
      <c r="C53" s="59">
        <v>1499</v>
      </c>
      <c r="D53" s="59" t="s">
        <v>803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ht="15.2" spans="1:10">
      <c r="A54" s="58" t="s">
        <v>849</v>
      </c>
      <c r="B54" s="59">
        <v>0</v>
      </c>
      <c r="C54" s="59">
        <v>0</v>
      </c>
      <c r="D54" s="59" t="s">
        <v>815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ht="15.2" spans="1:10">
      <c r="A55" s="58" t="s">
        <v>850</v>
      </c>
      <c r="B55" s="59">
        <v>525</v>
      </c>
      <c r="C55" s="59">
        <v>1102</v>
      </c>
      <c r="D55" s="59" t="s">
        <v>801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ht="15.2" spans="1:10">
      <c r="A56" s="58" t="s">
        <v>851</v>
      </c>
      <c r="B56" s="59">
        <v>1274.39</v>
      </c>
      <c r="C56" s="59">
        <v>2099</v>
      </c>
      <c r="D56" s="59" t="s">
        <v>803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</v>
      </c>
      <c r="J56" s="60">
        <f t="shared" si="1"/>
        <v>2099</v>
      </c>
    </row>
    <row r="57" ht="15.2" spans="1:10">
      <c r="A57" s="58" t="s">
        <v>852</v>
      </c>
      <c r="B57" s="59">
        <v>970.78</v>
      </c>
      <c r="C57" s="59">
        <v>1499</v>
      </c>
      <c r="D57" s="59" t="s">
        <v>803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ht="15.2" spans="1:10">
      <c r="A58" s="58" t="s">
        <v>853</v>
      </c>
      <c r="B58" s="59">
        <v>1213.68</v>
      </c>
      <c r="C58" s="59">
        <v>1999</v>
      </c>
      <c r="D58" s="59" t="s">
        <v>803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ht="15.2" spans="1:10">
      <c r="A59" s="58" t="s">
        <v>854</v>
      </c>
      <c r="B59" s="59">
        <v>451</v>
      </c>
      <c r="C59" s="59">
        <v>1057</v>
      </c>
      <c r="D59" s="59" t="s">
        <v>801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ht="15.2" spans="1:10">
      <c r="A60" s="58" t="s">
        <v>855</v>
      </c>
      <c r="B60" s="59">
        <v>460</v>
      </c>
      <c r="C60" s="59">
        <v>1157</v>
      </c>
      <c r="D60" s="59" t="s">
        <v>801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</v>
      </c>
    </row>
    <row r="61" ht="15.2" spans="1:10">
      <c r="A61" s="58" t="s">
        <v>856</v>
      </c>
      <c r="B61" s="59">
        <v>1287.76</v>
      </c>
      <c r="C61" s="59">
        <v>1999</v>
      </c>
      <c r="D61" s="59" t="s">
        <v>803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ht="15.2" spans="1:10">
      <c r="A62" s="58" t="s">
        <v>857</v>
      </c>
      <c r="B62" s="59">
        <v>635</v>
      </c>
      <c r="C62" s="59">
        <v>1380</v>
      </c>
      <c r="D62" s="59" t="s">
        <v>801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ht="15.2" spans="1:10">
      <c r="A63" s="58" t="s">
        <v>858</v>
      </c>
      <c r="B63" s="59">
        <v>1213.68</v>
      </c>
      <c r="C63" s="59">
        <v>1999</v>
      </c>
      <c r="D63" s="59" t="s">
        <v>803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ht="15.2" spans="1:10">
      <c r="A64" s="58" t="s">
        <v>859</v>
      </c>
      <c r="B64" s="59">
        <v>1379.21</v>
      </c>
      <c r="C64" s="59">
        <v>2099</v>
      </c>
      <c r="D64" s="59" t="s">
        <v>803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ht="15.2" spans="1:10">
      <c r="A65" s="58" t="s">
        <v>313</v>
      </c>
      <c r="B65" s="59">
        <v>426</v>
      </c>
      <c r="C65" s="59">
        <v>1057</v>
      </c>
      <c r="D65" s="59" t="s">
        <v>801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ht="15.2" spans="1:10">
      <c r="A66" s="58" t="s">
        <v>860</v>
      </c>
      <c r="B66" s="59">
        <v>3535.13</v>
      </c>
      <c r="C66" s="59">
        <v>5999</v>
      </c>
      <c r="D66" s="59" t="s">
        <v>803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ht="15.2" spans="1:10">
      <c r="A67" s="58" t="s">
        <v>861</v>
      </c>
      <c r="B67" s="59">
        <v>1576.34</v>
      </c>
      <c r="C67" s="59">
        <v>2399</v>
      </c>
      <c r="D67" s="59" t="s">
        <v>803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ht="15.2" spans="1:10">
      <c r="A68" s="58" t="s">
        <v>862</v>
      </c>
      <c r="B68" s="59">
        <v>1354.77</v>
      </c>
      <c r="C68" s="59">
        <v>2299</v>
      </c>
      <c r="D68" s="59" t="s">
        <v>803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ht="15.2" spans="1:10">
      <c r="A69" s="58" t="s">
        <v>863</v>
      </c>
      <c r="B69" s="59">
        <v>4249.39</v>
      </c>
      <c r="C69" s="59">
        <v>6999</v>
      </c>
      <c r="D69" s="59" t="s">
        <v>803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</v>
      </c>
      <c r="J69" s="60">
        <f t="shared" si="6"/>
        <v>13998</v>
      </c>
    </row>
    <row r="70" ht="15.2" spans="1:10">
      <c r="A70" s="58" t="s">
        <v>864</v>
      </c>
      <c r="B70" s="59">
        <v>666</v>
      </c>
      <c r="C70" s="59">
        <v>1546</v>
      </c>
      <c r="D70" s="59" t="s">
        <v>801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ht="15.2" spans="1:10">
      <c r="A71" s="58" t="s">
        <v>865</v>
      </c>
      <c r="B71" s="59">
        <v>1707.76</v>
      </c>
      <c r="C71" s="59">
        <v>2599</v>
      </c>
      <c r="D71" s="59" t="s">
        <v>803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ht="15.2" spans="1:10">
      <c r="A72" s="58" t="s">
        <v>866</v>
      </c>
      <c r="B72" s="59">
        <v>322</v>
      </c>
      <c r="C72" s="59">
        <v>719</v>
      </c>
      <c r="D72" s="59" t="s">
        <v>801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</v>
      </c>
      <c r="J72" s="60">
        <f t="shared" si="6"/>
        <v>143.8</v>
      </c>
    </row>
    <row r="73" ht="15.2" spans="1:10">
      <c r="A73" s="58" t="s">
        <v>867</v>
      </c>
      <c r="B73" s="59">
        <v>908.83</v>
      </c>
      <c r="C73" s="59">
        <v>1399</v>
      </c>
      <c r="D73" s="59" t="s">
        <v>803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ht="15.2" spans="1:10">
      <c r="A74" s="58" t="s">
        <v>868</v>
      </c>
      <c r="B74" s="59">
        <v>1820.82</v>
      </c>
      <c r="C74" s="59">
        <v>2899</v>
      </c>
      <c r="D74" s="59" t="s">
        <v>803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ht="15.2" spans="1:10">
      <c r="A75" s="58" t="s">
        <v>869</v>
      </c>
      <c r="B75" s="59">
        <v>1274.4</v>
      </c>
      <c r="C75" s="59">
        <v>2099</v>
      </c>
      <c r="D75" s="59" t="s">
        <v>803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</v>
      </c>
      <c r="J75" s="60">
        <f t="shared" si="6"/>
        <v>6297</v>
      </c>
    </row>
    <row r="76" ht="15.2" spans="1:10">
      <c r="A76" s="58" t="s">
        <v>870</v>
      </c>
      <c r="B76" s="59">
        <v>281</v>
      </c>
      <c r="C76" s="59">
        <v>620</v>
      </c>
      <c r="D76" s="59" t="s">
        <v>801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2191.8</v>
      </c>
      <c r="J76" s="60">
        <f t="shared" si="6"/>
        <v>4836</v>
      </c>
    </row>
    <row r="77" ht="15.2" spans="1:10">
      <c r="A77" s="58" t="s">
        <v>871</v>
      </c>
      <c r="B77" s="59">
        <v>590.71</v>
      </c>
      <c r="C77" s="59">
        <v>899</v>
      </c>
      <c r="D77" s="59" t="s">
        <v>803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ht="15.2" spans="1:10">
      <c r="A78" s="58" t="s">
        <v>872</v>
      </c>
      <c r="B78" s="59">
        <v>1533.45</v>
      </c>
      <c r="C78" s="59">
        <v>2399</v>
      </c>
      <c r="D78" s="59" t="s">
        <v>803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ht="15.2" spans="1:10">
      <c r="A79" s="58" t="s">
        <v>873</v>
      </c>
      <c r="B79" s="59">
        <v>5302.98</v>
      </c>
      <c r="C79" s="59">
        <v>8999</v>
      </c>
      <c r="D79" s="59" t="s">
        <v>803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ht="15.2" spans="1:10">
      <c r="A80" s="58" t="s">
        <v>874</v>
      </c>
      <c r="B80" s="59">
        <v>1335.11</v>
      </c>
      <c r="C80" s="59">
        <v>2199</v>
      </c>
      <c r="D80" s="59" t="s">
        <v>803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ht="15.2" spans="1:10">
      <c r="A81" s="58" t="s">
        <v>875</v>
      </c>
      <c r="B81" s="59">
        <v>375.5</v>
      </c>
      <c r="C81" s="59">
        <v>1141</v>
      </c>
      <c r="D81" s="59" t="s">
        <v>801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ht="15.2" spans="1:10">
      <c r="A82" s="58" t="s">
        <v>876</v>
      </c>
      <c r="B82" s="59">
        <v>317</v>
      </c>
      <c r="C82" s="59">
        <v>754</v>
      </c>
      <c r="D82" s="59" t="s">
        <v>801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ht="15.2" spans="1:10">
      <c r="A83" s="58" t="s">
        <v>877</v>
      </c>
      <c r="B83" s="59">
        <v>1649.41</v>
      </c>
      <c r="C83" s="59">
        <v>2799</v>
      </c>
      <c r="D83" s="59" t="s">
        <v>803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ht="15.2" spans="1:10">
      <c r="A84" s="58" t="s">
        <v>878</v>
      </c>
      <c r="B84" s="59">
        <v>1247.8</v>
      </c>
      <c r="C84" s="59">
        <v>1899</v>
      </c>
      <c r="D84" s="59" t="s">
        <v>803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ht="15.2" spans="1:10">
      <c r="A85" s="58" t="s">
        <v>879</v>
      </c>
      <c r="B85" s="59">
        <v>1152.96</v>
      </c>
      <c r="C85" s="59">
        <v>1899</v>
      </c>
      <c r="D85" s="59" t="s">
        <v>803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ht="15.2" spans="1:10">
      <c r="A86" s="58" t="s">
        <v>880</v>
      </c>
      <c r="B86" s="59">
        <v>525</v>
      </c>
      <c r="C86" s="59">
        <v>799</v>
      </c>
      <c r="D86" s="59" t="s">
        <v>803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ht="15.2" spans="1:10">
      <c r="A87" s="58" t="s">
        <v>881</v>
      </c>
      <c r="B87" s="59">
        <v>1313.5</v>
      </c>
      <c r="C87" s="59">
        <v>1999</v>
      </c>
      <c r="D87" s="59" t="s">
        <v>803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ht="15.2" spans="1:10">
      <c r="A88" s="58" t="s">
        <v>882</v>
      </c>
      <c r="B88" s="59">
        <v>661.2</v>
      </c>
      <c r="C88" s="59">
        <v>1748</v>
      </c>
      <c r="D88" s="59" t="s">
        <v>801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ht="15.2" spans="1:10">
      <c r="A89" s="58" t="s">
        <v>691</v>
      </c>
      <c r="B89" s="59">
        <v>399</v>
      </c>
      <c r="C89" s="59">
        <v>1199</v>
      </c>
      <c r="D89" s="59" t="s">
        <v>801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</v>
      </c>
      <c r="J89" s="60">
        <f t="shared" si="6"/>
        <v>3716.9</v>
      </c>
    </row>
    <row r="90" ht="15.2" spans="1:10">
      <c r="A90" s="58" t="s">
        <v>883</v>
      </c>
      <c r="B90" s="59">
        <v>984.96</v>
      </c>
      <c r="C90" s="59">
        <v>1499</v>
      </c>
      <c r="D90" s="59" t="s">
        <v>803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ht="15.2" spans="1:10">
      <c r="A91" s="58" t="s">
        <v>884</v>
      </c>
      <c r="B91" s="59">
        <v>1517.25</v>
      </c>
      <c r="C91" s="59">
        <v>2499</v>
      </c>
      <c r="D91" s="59" t="s">
        <v>803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ht="15.2" spans="1:10">
      <c r="A92" s="58" t="s">
        <v>885</v>
      </c>
      <c r="B92" s="59">
        <v>1313.5</v>
      </c>
      <c r="C92" s="59">
        <v>1999</v>
      </c>
      <c r="D92" s="59" t="s">
        <v>803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ht="15.2" spans="1:10">
      <c r="A93" s="58" t="s">
        <v>886</v>
      </c>
      <c r="B93" s="59">
        <v>1379.21</v>
      </c>
      <c r="C93" s="59">
        <v>2099</v>
      </c>
      <c r="D93" s="59" t="s">
        <v>803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ht="15.2" spans="1:10">
      <c r="A94" s="58" t="s">
        <v>887</v>
      </c>
      <c r="B94" s="59">
        <v>292.9</v>
      </c>
      <c r="C94" s="59">
        <v>911</v>
      </c>
      <c r="D94" s="59" t="s">
        <v>801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87.87</v>
      </c>
      <c r="J94" s="60">
        <f t="shared" si="6"/>
        <v>273.3</v>
      </c>
    </row>
    <row r="95" ht="15.2" spans="1:10">
      <c r="A95" s="58" t="s">
        <v>888</v>
      </c>
      <c r="B95" s="59">
        <v>4249.39</v>
      </c>
      <c r="C95" s="59">
        <v>6999</v>
      </c>
      <c r="D95" s="59" t="s">
        <v>803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ht="15.2" spans="1:10">
      <c r="A96" s="58" t="s">
        <v>889</v>
      </c>
      <c r="B96" s="59">
        <v>2102</v>
      </c>
      <c r="C96" s="59">
        <v>3199</v>
      </c>
      <c r="D96" s="59" t="s">
        <v>803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ht="15.2" spans="1:10">
      <c r="A97" s="58" t="s">
        <v>890</v>
      </c>
      <c r="B97" s="59">
        <v>1576.34</v>
      </c>
      <c r="C97" s="59">
        <v>2399</v>
      </c>
      <c r="D97" s="59" t="s">
        <v>803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ht="15.2" spans="1:10">
      <c r="A98" s="58" t="s">
        <v>891</v>
      </c>
      <c r="B98" s="59">
        <v>1577.96</v>
      </c>
      <c r="C98" s="59">
        <v>2599</v>
      </c>
      <c r="D98" s="59" t="s">
        <v>803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ht="15.2" spans="1:10">
      <c r="A99" s="58" t="s">
        <v>892</v>
      </c>
      <c r="B99" s="59">
        <v>2102</v>
      </c>
      <c r="C99" s="59">
        <v>3199</v>
      </c>
      <c r="D99" s="59" t="s">
        <v>803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ht="15.2" spans="1:10">
      <c r="A100" s="58" t="s">
        <v>893</v>
      </c>
      <c r="B100" s="59">
        <v>853.55</v>
      </c>
      <c r="C100" s="59">
        <v>1299</v>
      </c>
      <c r="D100" s="59" t="s">
        <v>803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ht="15.2" spans="1:10">
      <c r="A101" s="58" t="s">
        <v>894</v>
      </c>
      <c r="B101" s="59">
        <v>336.5</v>
      </c>
      <c r="C101" s="59">
        <v>982</v>
      </c>
      <c r="D101" s="59" t="s">
        <v>801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</v>
      </c>
      <c r="J101" s="60">
        <f t="shared" si="6"/>
        <v>1522.1</v>
      </c>
    </row>
    <row r="102" ht="15.2" spans="1:10">
      <c r="A102" s="58" t="s">
        <v>895</v>
      </c>
      <c r="B102" s="59">
        <v>1178</v>
      </c>
      <c r="C102" s="59">
        <v>3048</v>
      </c>
      <c r="D102" s="59" t="s">
        <v>801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ht="15.2" spans="1:10">
      <c r="A103" s="58" t="s">
        <v>896</v>
      </c>
      <c r="B103" s="59">
        <v>1517.25</v>
      </c>
      <c r="C103" s="59">
        <v>2499</v>
      </c>
      <c r="D103" s="59" t="s">
        <v>803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ht="15.2" spans="1:10">
      <c r="A104" s="58" t="s">
        <v>294</v>
      </c>
      <c r="B104" s="59">
        <v>625</v>
      </c>
      <c r="C104" s="59">
        <v>1393</v>
      </c>
      <c r="D104" s="59" t="s">
        <v>801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ht="15.2" spans="1:10">
      <c r="A105" s="58" t="s">
        <v>897</v>
      </c>
      <c r="B105" s="59">
        <v>1274.39</v>
      </c>
      <c r="C105" s="59">
        <v>2099</v>
      </c>
      <c r="D105" s="59" t="s">
        <v>803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ht="15.2" spans="1:10">
      <c r="A106" s="58" t="s">
        <v>898</v>
      </c>
      <c r="B106" s="59">
        <v>1313.5</v>
      </c>
      <c r="C106" s="59">
        <v>1999</v>
      </c>
      <c r="D106" s="59" t="s">
        <v>803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ht="15.2" spans="1:10">
      <c r="A107" s="58" t="s">
        <v>899</v>
      </c>
      <c r="B107" s="59">
        <v>8499.39</v>
      </c>
      <c r="C107" s="59">
        <v>13999</v>
      </c>
      <c r="D107" s="59" t="s">
        <v>803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ht="15.2" spans="1:10">
      <c r="A108" s="58" t="s">
        <v>900</v>
      </c>
      <c r="B108" s="59">
        <v>1970.58</v>
      </c>
      <c r="C108" s="59">
        <v>2999</v>
      </c>
      <c r="D108" s="59" t="s">
        <v>803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ht="15.2" spans="1:10">
      <c r="A109" s="58" t="s">
        <v>901</v>
      </c>
      <c r="B109" s="59">
        <v>4249.39</v>
      </c>
      <c r="C109" s="59">
        <v>6999</v>
      </c>
      <c r="D109" s="59" t="s">
        <v>803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</v>
      </c>
      <c r="J109" s="60">
        <f t="shared" si="6"/>
        <v>13998</v>
      </c>
    </row>
    <row r="110" ht="15.2" spans="1:10">
      <c r="A110" s="58" t="s">
        <v>902</v>
      </c>
      <c r="B110" s="59">
        <v>1456.54</v>
      </c>
      <c r="C110" s="59">
        <v>2399</v>
      </c>
      <c r="D110" s="59" t="s">
        <v>803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ht="15.2" spans="1:10">
      <c r="A111" s="58" t="s">
        <v>903</v>
      </c>
      <c r="B111" s="59">
        <v>1379.21</v>
      </c>
      <c r="C111" s="59">
        <v>2099</v>
      </c>
      <c r="D111" s="59" t="s">
        <v>803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ht="15.2" spans="1:10">
      <c r="A112" s="58" t="s">
        <v>904</v>
      </c>
      <c r="B112" s="59">
        <v>1379.21</v>
      </c>
      <c r="C112" s="59">
        <v>2099</v>
      </c>
      <c r="D112" s="59" t="s">
        <v>803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ht="15.2" spans="1:10">
      <c r="A113" s="58" t="s">
        <v>905</v>
      </c>
      <c r="B113" s="59">
        <v>901.24</v>
      </c>
      <c r="C113" s="59">
        <v>1399</v>
      </c>
      <c r="D113" s="59" t="s">
        <v>803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ht="15.2" spans="1:10">
      <c r="A114" s="58" t="s">
        <v>906</v>
      </c>
      <c r="B114" s="59">
        <v>394</v>
      </c>
      <c r="C114" s="59">
        <v>913</v>
      </c>
      <c r="D114" s="59" t="s">
        <v>801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</v>
      </c>
      <c r="J114" s="60">
        <f t="shared" si="6"/>
        <v>1460.8</v>
      </c>
    </row>
    <row r="115" ht="15.2" spans="1:10">
      <c r="A115" s="58" t="s">
        <v>907</v>
      </c>
      <c r="B115" s="59">
        <v>970.78</v>
      </c>
      <c r="C115" s="59">
        <v>1499</v>
      </c>
      <c r="D115" s="59" t="s">
        <v>803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ht="15.2" spans="1:10">
      <c r="A116" s="58" t="s">
        <v>908</v>
      </c>
      <c r="B116" s="59">
        <v>1395.82</v>
      </c>
      <c r="C116" s="59">
        <v>2299</v>
      </c>
      <c r="D116" s="59" t="s">
        <v>803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ht="15.2" spans="1:10">
      <c r="A117" s="58" t="s">
        <v>909</v>
      </c>
      <c r="B117" s="59">
        <v>1481.02</v>
      </c>
      <c r="C117" s="59">
        <v>2299</v>
      </c>
      <c r="D117" s="59" t="s">
        <v>803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ht="15.2" spans="1:10">
      <c r="A118" s="58" t="s">
        <v>910</v>
      </c>
      <c r="B118" s="59">
        <v>487</v>
      </c>
      <c r="C118" s="59">
        <v>1105</v>
      </c>
      <c r="D118" s="59" t="s">
        <v>801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ht="15.2" spans="1:10">
      <c r="A119" s="58" t="s">
        <v>911</v>
      </c>
      <c r="B119" s="59">
        <v>973</v>
      </c>
      <c r="C119" s="59">
        <v>2306</v>
      </c>
      <c r="D119" s="59" t="s">
        <v>801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</v>
      </c>
      <c r="J119" s="60">
        <f t="shared" si="6"/>
        <v>230.6</v>
      </c>
    </row>
    <row r="120" ht="15.2" spans="1:10">
      <c r="A120" s="58" t="s">
        <v>912</v>
      </c>
      <c r="B120" s="59">
        <v>656.42</v>
      </c>
      <c r="C120" s="59">
        <v>999</v>
      </c>
      <c r="D120" s="59" t="s">
        <v>803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ht="15.2" spans="1:10">
      <c r="A121" s="58" t="s">
        <v>913</v>
      </c>
      <c r="B121" s="59">
        <v>949</v>
      </c>
      <c r="C121" s="59">
        <v>2145</v>
      </c>
      <c r="D121" s="59" t="s">
        <v>801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ht="15.2" spans="1:10">
      <c r="A122" s="58" t="s">
        <v>914</v>
      </c>
      <c r="B122" s="59">
        <v>555</v>
      </c>
      <c r="C122" s="59">
        <v>1166</v>
      </c>
      <c r="D122" s="59" t="s">
        <v>801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408.1</v>
      </c>
    </row>
    <row r="123" ht="15.2" spans="1:10">
      <c r="A123" s="58" t="s">
        <v>915</v>
      </c>
      <c r="B123" s="59">
        <v>1182.09</v>
      </c>
      <c r="C123" s="59">
        <v>1799</v>
      </c>
      <c r="D123" s="59" t="s">
        <v>803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1182.09</v>
      </c>
      <c r="J123" s="60">
        <f t="shared" si="6"/>
        <v>1799</v>
      </c>
    </row>
    <row r="124" ht="15.2" spans="1:10">
      <c r="A124" s="58" t="s">
        <v>916</v>
      </c>
      <c r="B124" s="59">
        <v>499</v>
      </c>
      <c r="C124" s="59">
        <v>1117</v>
      </c>
      <c r="D124" s="59" t="s">
        <v>801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</v>
      </c>
    </row>
    <row r="125" ht="15.2" spans="1:10">
      <c r="A125" s="58" t="s">
        <v>917</v>
      </c>
      <c r="B125" s="59">
        <v>1456.54</v>
      </c>
      <c r="C125" s="59">
        <v>2399</v>
      </c>
      <c r="D125" s="59" t="s">
        <v>803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ht="15.2" spans="1:10">
      <c r="A126" s="58" t="s">
        <v>918</v>
      </c>
      <c r="B126" s="59">
        <v>286</v>
      </c>
      <c r="C126" s="59">
        <v>675</v>
      </c>
      <c r="D126" s="59" t="s">
        <v>801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ht="15.2" spans="1:10">
      <c r="A127" s="58" t="s">
        <v>919</v>
      </c>
      <c r="B127" s="59">
        <v>461</v>
      </c>
      <c r="C127" s="59">
        <v>1098</v>
      </c>
      <c r="D127" s="59" t="s">
        <v>801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ht="15.2" spans="1:10">
      <c r="A128" s="58" t="s">
        <v>920</v>
      </c>
      <c r="B128" s="59">
        <v>1444.92</v>
      </c>
      <c r="C128" s="59">
        <v>2199</v>
      </c>
      <c r="D128" s="59" t="s">
        <v>803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ht="15.2" spans="1:10">
      <c r="A129" s="58" t="s">
        <v>921</v>
      </c>
      <c r="B129" s="59">
        <v>1577.96</v>
      </c>
      <c r="C129" s="59">
        <v>2599</v>
      </c>
      <c r="D129" s="59" t="s">
        <v>803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ht="15.2" spans="1:10">
      <c r="A130" s="58" t="s">
        <v>922</v>
      </c>
      <c r="B130" s="59">
        <v>915.65</v>
      </c>
      <c r="C130" s="59">
        <v>1399</v>
      </c>
      <c r="D130" s="59" t="s">
        <v>803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ht="15.2" spans="1:10">
      <c r="A131" s="58" t="s">
        <v>923</v>
      </c>
      <c r="B131" s="59">
        <v>1820.82</v>
      </c>
      <c r="C131" s="59">
        <v>2899</v>
      </c>
      <c r="D131" s="59" t="s">
        <v>803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ht="15.2" spans="1:10">
      <c r="A132" s="58" t="s">
        <v>924</v>
      </c>
      <c r="B132" s="59">
        <v>570.86</v>
      </c>
      <c r="C132" s="59">
        <v>2360</v>
      </c>
      <c r="D132" s="59" t="s">
        <v>801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ht="15.2" spans="1:10">
      <c r="A133" s="58" t="s">
        <v>925</v>
      </c>
      <c r="B133" s="59">
        <v>1177.98</v>
      </c>
      <c r="C133" s="59">
        <v>1999</v>
      </c>
      <c r="D133" s="59" t="s">
        <v>803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ht="15.2" spans="1:10">
      <c r="A134" s="58" t="s">
        <v>926</v>
      </c>
      <c r="B134" s="59">
        <v>970.78</v>
      </c>
      <c r="C134" s="59">
        <v>1499</v>
      </c>
      <c r="D134" s="59" t="s">
        <v>803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ht="15.2" spans="1:10">
      <c r="A135" s="58" t="s">
        <v>927</v>
      </c>
      <c r="B135" s="59">
        <v>1517.25</v>
      </c>
      <c r="C135" s="59">
        <v>2499</v>
      </c>
      <c r="D135" s="59" t="s">
        <v>803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ht="15.2" spans="1:10">
      <c r="A136" s="58" t="s">
        <v>928</v>
      </c>
      <c r="B136" s="59">
        <v>1699.39</v>
      </c>
      <c r="C136" s="59">
        <v>2799</v>
      </c>
      <c r="D136" s="59" t="s">
        <v>803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ht="15.2" spans="1:10">
      <c r="A137" s="58" t="s">
        <v>929</v>
      </c>
      <c r="B137" s="59">
        <v>273</v>
      </c>
      <c r="C137" s="59">
        <v>650</v>
      </c>
      <c r="D137" s="59" t="s">
        <v>801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ht="15.2" spans="1:10">
      <c r="A138" s="58" t="s">
        <v>930</v>
      </c>
      <c r="B138" s="59">
        <v>646.97</v>
      </c>
      <c r="C138" s="59">
        <v>999</v>
      </c>
      <c r="D138" s="59" t="s">
        <v>803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ht="15.2" spans="1:10">
      <c r="A139" s="58" t="s">
        <v>931</v>
      </c>
      <c r="B139" s="59">
        <v>1839.16</v>
      </c>
      <c r="C139" s="59">
        <v>2799</v>
      </c>
      <c r="D139" s="59" t="s">
        <v>803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ht="15.2" spans="1:10">
      <c r="A140" s="58" t="s">
        <v>261</v>
      </c>
      <c r="B140" s="59">
        <v>499</v>
      </c>
      <c r="C140" s="59">
        <v>1048</v>
      </c>
      <c r="D140" s="59" t="s">
        <v>801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ht="15.2" spans="1:10">
      <c r="A141" s="58" t="s">
        <v>932</v>
      </c>
      <c r="B141" s="59">
        <v>340.8</v>
      </c>
      <c r="C141" s="59">
        <v>680</v>
      </c>
      <c r="D141" s="59" t="s">
        <v>801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ht="15.2" spans="1:10">
      <c r="A142" s="58" t="s">
        <v>933</v>
      </c>
      <c r="B142" s="59">
        <v>1379.21</v>
      </c>
      <c r="C142" s="59">
        <v>2099</v>
      </c>
      <c r="D142" s="59" t="s">
        <v>803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ht="15.2" spans="1:10">
      <c r="A143" s="58" t="s">
        <v>934</v>
      </c>
      <c r="B143" s="59">
        <v>1904.87</v>
      </c>
      <c r="C143" s="59">
        <v>2899</v>
      </c>
      <c r="D143" s="59" t="s">
        <v>803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ht="15.2" spans="1:10">
      <c r="A144" s="58" t="s">
        <v>935</v>
      </c>
      <c r="B144" s="59">
        <v>1395.82</v>
      </c>
      <c r="C144" s="59">
        <v>2299</v>
      </c>
      <c r="D144" s="59" t="s">
        <v>803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ht="15.2" spans="1:10">
      <c r="A145" s="58" t="s">
        <v>936</v>
      </c>
      <c r="B145" s="59">
        <v>483</v>
      </c>
      <c r="C145" s="59">
        <v>1149</v>
      </c>
      <c r="D145" s="59" t="s">
        <v>801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</v>
      </c>
      <c r="J145" s="60">
        <f t="shared" si="9"/>
        <v>9077.1</v>
      </c>
    </row>
    <row r="146" ht="15.2" spans="1:10">
      <c r="A146" s="58" t="s">
        <v>937</v>
      </c>
      <c r="B146" s="59">
        <v>841</v>
      </c>
      <c r="C146" s="59">
        <v>1992</v>
      </c>
      <c r="D146" s="59" t="s">
        <v>801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ht="15.2" spans="1:10">
      <c r="A147" s="58" t="s">
        <v>938</v>
      </c>
      <c r="B147" s="59">
        <v>1116.38</v>
      </c>
      <c r="C147" s="59">
        <v>1699</v>
      </c>
      <c r="D147" s="59" t="s">
        <v>803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ht="15.2" spans="1:10">
      <c r="A148" s="58" t="s">
        <v>939</v>
      </c>
      <c r="B148" s="59">
        <v>206.3</v>
      </c>
      <c r="C148" s="59">
        <v>537</v>
      </c>
      <c r="D148" s="59" t="s">
        <v>801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</v>
      </c>
      <c r="J148" s="60">
        <f t="shared" si="9"/>
        <v>214.8</v>
      </c>
    </row>
    <row r="149" ht="15.2" spans="1:10">
      <c r="A149" s="58" t="s">
        <v>940</v>
      </c>
      <c r="B149" s="59">
        <v>1274.39</v>
      </c>
      <c r="C149" s="59">
        <v>2099</v>
      </c>
      <c r="D149" s="59" t="s">
        <v>803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ht="15.2" spans="1:10">
      <c r="A150" s="58" t="s">
        <v>941</v>
      </c>
      <c r="B150" s="59">
        <v>509</v>
      </c>
      <c r="C150" s="59">
        <v>1172</v>
      </c>
      <c r="D150" s="59" t="s">
        <v>801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ht="15.2" spans="1:10">
      <c r="A151" s="58" t="s">
        <v>942</v>
      </c>
      <c r="B151" s="59">
        <v>1313.5</v>
      </c>
      <c r="C151" s="59">
        <v>1999</v>
      </c>
      <c r="D151" s="59" t="s">
        <v>803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ht="15.2" spans="1:10">
      <c r="A152" s="58" t="s">
        <v>943</v>
      </c>
      <c r="B152" s="59">
        <v>1699.39</v>
      </c>
      <c r="C152" s="59">
        <v>2799</v>
      </c>
      <c r="D152" s="59" t="s">
        <v>803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ht="15.2" spans="1:10">
      <c r="A153" s="58" t="s">
        <v>944</v>
      </c>
      <c r="B153" s="59">
        <v>1820.82</v>
      </c>
      <c r="C153" s="59">
        <v>2999</v>
      </c>
      <c r="D153" s="59" t="s">
        <v>803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ht="15.2" spans="1:10">
      <c r="A154" s="58" t="s">
        <v>945</v>
      </c>
      <c r="B154" s="59">
        <v>383</v>
      </c>
      <c r="C154" s="59">
        <v>907</v>
      </c>
      <c r="D154" s="59" t="s">
        <v>801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</v>
      </c>
      <c r="J154" s="60">
        <f t="shared" si="9"/>
        <v>4262.9</v>
      </c>
    </row>
    <row r="155" ht="15.2" spans="1:10">
      <c r="A155" s="58" t="s">
        <v>946</v>
      </c>
      <c r="B155" s="59">
        <v>1576.34</v>
      </c>
      <c r="C155" s="59">
        <v>2399</v>
      </c>
      <c r="D155" s="59" t="s">
        <v>803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ht="15.2" spans="1:10">
      <c r="A156" s="58" t="s">
        <v>947</v>
      </c>
      <c r="B156" s="59">
        <v>1379.21</v>
      </c>
      <c r="C156" s="59">
        <v>2099</v>
      </c>
      <c r="D156" s="59" t="s">
        <v>803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ht="15.2" spans="1:10">
      <c r="A157" s="58" t="s">
        <v>948</v>
      </c>
      <c r="B157" s="59">
        <v>1416.6</v>
      </c>
      <c r="C157" s="59">
        <v>2199</v>
      </c>
      <c r="D157" s="59" t="s">
        <v>803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ht="15.2" spans="1:10">
      <c r="A158" s="58" t="s">
        <v>949</v>
      </c>
      <c r="B158" s="59">
        <v>1472.63</v>
      </c>
      <c r="C158" s="59">
        <v>2499</v>
      </c>
      <c r="D158" s="59" t="s">
        <v>803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ht="15.2" spans="1:10">
      <c r="A159" s="58" t="s">
        <v>950</v>
      </c>
      <c r="B159" s="59">
        <v>1395.82</v>
      </c>
      <c r="C159" s="59">
        <v>2299</v>
      </c>
      <c r="D159" s="59" t="s">
        <v>803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ht="15.2" spans="1:10">
      <c r="A160" s="58" t="s">
        <v>951</v>
      </c>
      <c r="B160" s="59">
        <v>1456.54</v>
      </c>
      <c r="C160" s="59">
        <v>2399</v>
      </c>
      <c r="D160" s="59" t="s">
        <v>803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ht="15.2" spans="1:10">
      <c r="A161" s="58" t="s">
        <v>952</v>
      </c>
      <c r="B161" s="59">
        <v>1638.68</v>
      </c>
      <c r="C161" s="59">
        <v>2699</v>
      </c>
      <c r="D161" s="59" t="s">
        <v>803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ht="15.2" spans="1:10">
      <c r="A162" s="58" t="s">
        <v>953</v>
      </c>
      <c r="B162" s="59">
        <v>1158.92</v>
      </c>
      <c r="C162" s="59">
        <v>1799</v>
      </c>
      <c r="D162" s="59" t="s">
        <v>803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ht="15.2" spans="1:10">
      <c r="A163" s="58" t="s">
        <v>954</v>
      </c>
      <c r="B163" s="59">
        <v>3763.68</v>
      </c>
      <c r="C163" s="59">
        <v>6199</v>
      </c>
      <c r="D163" s="59" t="s">
        <v>803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ht="15.2" spans="1:10">
      <c r="A164" s="58" t="s">
        <v>955</v>
      </c>
      <c r="B164" s="59">
        <v>1699.4</v>
      </c>
      <c r="C164" s="59">
        <v>2699</v>
      </c>
      <c r="D164" s="59" t="s">
        <v>803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ht="15.2" spans="1:10">
      <c r="A165" s="58" t="s">
        <v>956</v>
      </c>
      <c r="B165" s="59">
        <v>830</v>
      </c>
      <c r="C165" s="59">
        <v>1978</v>
      </c>
      <c r="D165" s="59" t="s">
        <v>801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ht="15.2" spans="1:10">
      <c r="A166" s="58" t="s">
        <v>957</v>
      </c>
      <c r="B166" s="59">
        <v>1092.25</v>
      </c>
      <c r="C166" s="59">
        <v>1799</v>
      </c>
      <c r="D166" s="59" t="s">
        <v>803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ht="15.2" spans="1:10">
      <c r="A167" s="58" t="s">
        <v>958</v>
      </c>
      <c r="B167" s="59">
        <v>1274.39</v>
      </c>
      <c r="C167" s="59">
        <v>2099</v>
      </c>
      <c r="D167" s="59" t="s">
        <v>803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ht="15.2" spans="1:10">
      <c r="A168" s="58" t="s">
        <v>959</v>
      </c>
      <c r="B168" s="59">
        <v>1295.84</v>
      </c>
      <c r="C168" s="59">
        <v>2199</v>
      </c>
      <c r="D168" s="59" t="s">
        <v>803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1295.84</v>
      </c>
      <c r="J168" s="60">
        <f t="shared" si="9"/>
        <v>2199</v>
      </c>
    </row>
    <row r="169" ht="15.2" spans="1:10">
      <c r="A169" s="58" t="s">
        <v>960</v>
      </c>
      <c r="B169" s="59">
        <v>1213.68</v>
      </c>
      <c r="C169" s="59">
        <v>1999</v>
      </c>
      <c r="D169" s="59" t="s">
        <v>803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ht="15.2" spans="1:10">
      <c r="A170" s="58" t="s">
        <v>961</v>
      </c>
      <c r="B170" s="59">
        <v>336</v>
      </c>
      <c r="C170" s="59">
        <v>750</v>
      </c>
      <c r="D170" s="59" t="s">
        <v>801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ht="15.2" spans="1:10">
      <c r="A171" s="58" t="s">
        <v>962</v>
      </c>
      <c r="B171" s="59">
        <v>906.02</v>
      </c>
      <c r="C171" s="59">
        <v>1399</v>
      </c>
      <c r="D171" s="59" t="s">
        <v>803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ht="15.2" spans="1:10">
      <c r="A172" s="58" t="s">
        <v>963</v>
      </c>
      <c r="B172" s="59">
        <v>522</v>
      </c>
      <c r="C172" s="59">
        <v>1371</v>
      </c>
      <c r="D172" s="59" t="s">
        <v>801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</v>
      </c>
    </row>
    <row r="173" ht="15.2" spans="1:10">
      <c r="A173" s="58" t="s">
        <v>964</v>
      </c>
      <c r="B173" s="59">
        <v>646.97</v>
      </c>
      <c r="C173" s="59">
        <v>999</v>
      </c>
      <c r="D173" s="59" t="s">
        <v>803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ht="15.2" spans="1:10">
      <c r="A174" s="58" t="s">
        <v>965</v>
      </c>
      <c r="B174" s="59">
        <v>351.5</v>
      </c>
      <c r="C174" s="59">
        <v>1141</v>
      </c>
      <c r="D174" s="59" t="s">
        <v>801</v>
      </c>
      <c r="E174" s="59">
        <v>2.2</v>
      </c>
      <c r="F174" s="59">
        <v>2.2</v>
      </c>
      <c r="G174" s="59">
        <v>0</v>
      </c>
      <c r="H174" s="60">
        <f t="shared" si="10"/>
        <v>2.2</v>
      </c>
      <c r="I174" s="60">
        <f t="shared" si="8"/>
        <v>773.3</v>
      </c>
      <c r="J174" s="60">
        <f t="shared" si="9"/>
        <v>2510.2</v>
      </c>
    </row>
    <row r="175" ht="15.2" spans="1:10">
      <c r="A175" s="58" t="s">
        <v>966</v>
      </c>
      <c r="B175" s="59">
        <v>550</v>
      </c>
      <c r="C175" s="59">
        <v>1231</v>
      </c>
      <c r="D175" s="59" t="s">
        <v>801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ht="15.2" spans="1:10">
      <c r="A176" s="58" t="s">
        <v>967</v>
      </c>
      <c r="B176" s="59">
        <v>1444.92</v>
      </c>
      <c r="C176" s="59">
        <v>2199</v>
      </c>
      <c r="D176" s="59" t="s">
        <v>803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ht="15.2" spans="1:10">
      <c r="A177" s="58" t="s">
        <v>968</v>
      </c>
      <c r="B177" s="59">
        <v>299</v>
      </c>
      <c r="C177" s="59">
        <v>628</v>
      </c>
      <c r="D177" s="59" t="s">
        <v>801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</v>
      </c>
      <c r="J177" s="60">
        <f t="shared" si="9"/>
        <v>847.8</v>
      </c>
    </row>
    <row r="178" ht="15.2" spans="1:10">
      <c r="A178" s="58" t="s">
        <v>969</v>
      </c>
      <c r="B178" s="59">
        <v>6677.96</v>
      </c>
      <c r="C178" s="59">
        <v>10999</v>
      </c>
      <c r="D178" s="59" t="s">
        <v>803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ht="15.2" spans="1:10">
      <c r="A179" s="58" t="s">
        <v>970</v>
      </c>
      <c r="B179" s="59">
        <v>1354.77</v>
      </c>
      <c r="C179" s="59">
        <v>2299</v>
      </c>
      <c r="D179" s="59" t="s">
        <v>803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ht="15.2" spans="1:10">
      <c r="A180" s="58" t="s">
        <v>971</v>
      </c>
      <c r="B180" s="59">
        <v>1970.58</v>
      </c>
      <c r="C180" s="59">
        <v>2999</v>
      </c>
      <c r="D180" s="59" t="s">
        <v>803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ht="15.2" spans="1:10">
      <c r="A181" s="58" t="s">
        <v>972</v>
      </c>
      <c r="B181" s="59">
        <v>595</v>
      </c>
      <c r="C181" s="59">
        <v>1314</v>
      </c>
      <c r="D181" s="59" t="s">
        <v>801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ht="15.2" spans="1:10">
      <c r="A182" s="58" t="s">
        <v>973</v>
      </c>
      <c r="B182" s="59">
        <v>1313.5</v>
      </c>
      <c r="C182" s="59">
        <v>1999</v>
      </c>
      <c r="D182" s="59" t="s">
        <v>803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ht="15.2" spans="1:10">
      <c r="A183" s="58" t="s">
        <v>974</v>
      </c>
      <c r="B183" s="59">
        <v>784</v>
      </c>
      <c r="C183" s="59">
        <v>1867</v>
      </c>
      <c r="D183" s="59" t="s">
        <v>801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ht="15.2" spans="1:10">
      <c r="A184" s="58" t="s">
        <v>975</v>
      </c>
      <c r="B184" s="59">
        <v>1295.84</v>
      </c>
      <c r="C184" s="59">
        <v>2199</v>
      </c>
      <c r="D184" s="59" t="s">
        <v>803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3887.52</v>
      </c>
      <c r="J184" s="60">
        <f t="shared" si="9"/>
        <v>6597</v>
      </c>
    </row>
    <row r="185" ht="15.2" spans="1:10">
      <c r="A185" s="58" t="s">
        <v>976</v>
      </c>
      <c r="B185" s="59">
        <v>8499.39</v>
      </c>
      <c r="C185" s="59">
        <v>13999</v>
      </c>
      <c r="D185" s="59" t="s">
        <v>803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ht="15.2" spans="1:10">
      <c r="A186" s="58" t="s">
        <v>977</v>
      </c>
      <c r="B186" s="59">
        <v>787.84</v>
      </c>
      <c r="C186" s="59">
        <v>1199</v>
      </c>
      <c r="D186" s="59" t="s">
        <v>803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ht="15.2" spans="1:10">
      <c r="A187" s="58" t="s">
        <v>978</v>
      </c>
      <c r="B187" s="59">
        <v>3457.05</v>
      </c>
      <c r="C187" s="59">
        <v>5999</v>
      </c>
      <c r="D187" s="59" t="s">
        <v>803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ht="15.2" spans="1:10">
      <c r="A188" s="58" t="s">
        <v>979</v>
      </c>
      <c r="B188" s="59">
        <v>1444.92</v>
      </c>
      <c r="C188" s="59">
        <v>2199</v>
      </c>
      <c r="D188" s="59" t="s">
        <v>803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ht="15.2" spans="1:10">
      <c r="A189" s="58" t="s">
        <v>980</v>
      </c>
      <c r="B189" s="59">
        <v>1116.38</v>
      </c>
      <c r="C189" s="59">
        <v>1699</v>
      </c>
      <c r="D189" s="59" t="s">
        <v>803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</v>
      </c>
      <c r="J189" s="60">
        <f t="shared" si="9"/>
        <v>5097</v>
      </c>
    </row>
    <row r="190" ht="15.2" spans="1:10">
      <c r="A190" s="58" t="s">
        <v>981</v>
      </c>
      <c r="B190" s="59">
        <v>1119.05</v>
      </c>
      <c r="C190" s="59">
        <v>1899</v>
      </c>
      <c r="D190" s="59" t="s">
        <v>803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ht="15.2" spans="1:10">
      <c r="A191" s="58" t="s">
        <v>982</v>
      </c>
      <c r="B191" s="59">
        <v>2102</v>
      </c>
      <c r="C191" s="59">
        <v>3199</v>
      </c>
      <c r="D191" s="59" t="s">
        <v>803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ht="15.2" spans="1:10">
      <c r="A192" s="58" t="s">
        <v>983</v>
      </c>
      <c r="B192" s="59">
        <v>1545.44</v>
      </c>
      <c r="C192" s="59">
        <v>2399</v>
      </c>
      <c r="D192" s="59" t="s">
        <v>803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ht="15.2" spans="1:10">
      <c r="A193" s="58" t="s">
        <v>984</v>
      </c>
      <c r="B193" s="59">
        <v>1295.84</v>
      </c>
      <c r="C193" s="59">
        <v>2199</v>
      </c>
      <c r="D193" s="59" t="s">
        <v>803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ht="15.2" spans="1:10">
      <c r="A194" s="58" t="s">
        <v>985</v>
      </c>
      <c r="B194" s="59">
        <v>1638.68</v>
      </c>
      <c r="C194" s="59">
        <v>2699</v>
      </c>
      <c r="D194" s="59" t="s">
        <v>803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ht="15.2" spans="1:10">
      <c r="A195" s="58" t="s">
        <v>986</v>
      </c>
      <c r="B195" s="59">
        <v>4856.54</v>
      </c>
      <c r="C195" s="59">
        <v>7999</v>
      </c>
      <c r="D195" s="59" t="s">
        <v>803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ht="15.2" spans="1:10">
      <c r="A196" s="58" t="s">
        <v>987</v>
      </c>
      <c r="B196" s="59">
        <v>4249.39</v>
      </c>
      <c r="C196" s="59">
        <v>6999</v>
      </c>
      <c r="D196" s="59" t="s">
        <v>803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ht="15.2" spans="1:10">
      <c r="A197" s="58" t="s">
        <v>726</v>
      </c>
      <c r="B197" s="59">
        <v>555</v>
      </c>
      <c r="C197" s="59">
        <v>1241</v>
      </c>
      <c r="D197" s="59" t="s">
        <v>801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ht="15.2" spans="1:10">
      <c r="A198" s="58" t="s">
        <v>988</v>
      </c>
      <c r="B198" s="59">
        <v>265</v>
      </c>
      <c r="C198" s="59">
        <v>605</v>
      </c>
      <c r="D198" s="59" t="s">
        <v>801</v>
      </c>
      <c r="E198" s="59">
        <v>9.95</v>
      </c>
      <c r="F198" s="59">
        <v>9.95</v>
      </c>
      <c r="G198" s="59">
        <v>0</v>
      </c>
      <c r="H198" s="60">
        <f t="shared" si="10"/>
        <v>9.95</v>
      </c>
      <c r="I198" s="60">
        <f t="shared" si="11"/>
        <v>2636.75</v>
      </c>
      <c r="J198" s="60">
        <f t="shared" si="12"/>
        <v>6019.75</v>
      </c>
    </row>
    <row r="199" ht="15.2" spans="1:10">
      <c r="A199" s="58" t="s">
        <v>989</v>
      </c>
      <c r="B199" s="59">
        <v>285</v>
      </c>
      <c r="C199" s="59">
        <v>630</v>
      </c>
      <c r="D199" s="59" t="s">
        <v>801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ht="15.2" spans="1:10">
      <c r="A200" s="58" t="s">
        <v>990</v>
      </c>
      <c r="B200" s="59">
        <v>0</v>
      </c>
      <c r="C200" s="59">
        <v>0</v>
      </c>
      <c r="D200" s="59" t="s">
        <v>991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ht="15.2" spans="1:10">
      <c r="A201" s="58" t="s">
        <v>231</v>
      </c>
      <c r="B201" s="59">
        <v>938</v>
      </c>
      <c r="C201" s="59">
        <v>2321</v>
      </c>
      <c r="D201" s="59" t="s">
        <v>801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</v>
      </c>
      <c r="J201" s="60">
        <f t="shared" si="12"/>
        <v>12069.2</v>
      </c>
    </row>
    <row r="202" ht="15.2" spans="1:10">
      <c r="A202" s="58" t="s">
        <v>992</v>
      </c>
      <c r="B202" s="59">
        <v>1092.25</v>
      </c>
      <c r="C202" s="59">
        <v>1799</v>
      </c>
      <c r="D202" s="59" t="s">
        <v>803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ht="15.2" spans="1:10">
      <c r="A203" s="58" t="s">
        <v>993</v>
      </c>
      <c r="B203" s="59">
        <v>2356.55</v>
      </c>
      <c r="C203" s="59">
        <v>3999</v>
      </c>
      <c r="D203" s="59" t="s">
        <v>803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</v>
      </c>
      <c r="J203" s="60">
        <f t="shared" si="12"/>
        <v>3999</v>
      </c>
    </row>
    <row r="204" ht="15.2" spans="1:10">
      <c r="A204" s="58" t="s">
        <v>994</v>
      </c>
      <c r="B204" s="59">
        <v>525</v>
      </c>
      <c r="C204" s="59">
        <v>799</v>
      </c>
      <c r="D204" s="59" t="s">
        <v>803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ht="15.2" spans="1:10">
      <c r="A205" s="58" t="s">
        <v>995</v>
      </c>
      <c r="B205" s="59">
        <v>1177.98</v>
      </c>
      <c r="C205" s="59">
        <v>1999</v>
      </c>
      <c r="D205" s="59" t="s">
        <v>803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ht="15.2" spans="1:10">
      <c r="A206" s="58" t="s">
        <v>996</v>
      </c>
      <c r="B206" s="59">
        <v>352</v>
      </c>
      <c r="C206" s="59">
        <v>873</v>
      </c>
      <c r="D206" s="59" t="s">
        <v>801</v>
      </c>
      <c r="E206" s="59">
        <v>9.3</v>
      </c>
      <c r="F206" s="59">
        <v>9.3</v>
      </c>
      <c r="G206" s="59">
        <v>0</v>
      </c>
      <c r="H206" s="60">
        <f t="shared" si="10"/>
        <v>9.3</v>
      </c>
      <c r="I206" s="60">
        <f t="shared" si="11"/>
        <v>3273.6</v>
      </c>
      <c r="J206" s="60">
        <f t="shared" si="12"/>
        <v>8118.9</v>
      </c>
    </row>
    <row r="207" ht="15.2" spans="1:10">
      <c r="A207" s="58" t="s">
        <v>997</v>
      </c>
      <c r="B207" s="59">
        <v>1444.92</v>
      </c>
      <c r="C207" s="59">
        <v>2199</v>
      </c>
      <c r="D207" s="59" t="s">
        <v>803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ht="15.2" spans="1:10">
      <c r="A208" s="58" t="s">
        <v>998</v>
      </c>
      <c r="B208" s="59">
        <v>1274.39</v>
      </c>
      <c r="C208" s="59">
        <v>2099</v>
      </c>
      <c r="D208" s="59" t="s">
        <v>803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</v>
      </c>
      <c r="J208" s="60">
        <f t="shared" si="12"/>
        <v>4198</v>
      </c>
    </row>
    <row r="209" ht="15.2" spans="1:10">
      <c r="A209" s="58" t="s">
        <v>999</v>
      </c>
      <c r="B209" s="59">
        <v>3535.13</v>
      </c>
      <c r="C209" s="59">
        <v>5999</v>
      </c>
      <c r="D209" s="59" t="s">
        <v>803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ht="15.2" spans="1:10">
      <c r="A210" s="58" t="s">
        <v>1000</v>
      </c>
      <c r="B210" s="59">
        <v>1545.44</v>
      </c>
      <c r="C210" s="59">
        <v>2399</v>
      </c>
      <c r="D210" s="59" t="s">
        <v>803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ht="15.2" spans="1:10">
      <c r="A211" s="58" t="s">
        <v>1001</v>
      </c>
      <c r="B211" s="59">
        <v>1247.8</v>
      </c>
      <c r="C211" s="59">
        <v>1899</v>
      </c>
      <c r="D211" s="59" t="s">
        <v>803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ht="15.2" spans="1:10">
      <c r="A212" s="58" t="s">
        <v>1002</v>
      </c>
      <c r="B212" s="59">
        <v>417</v>
      </c>
      <c r="C212" s="59">
        <v>868</v>
      </c>
      <c r="D212" s="59" t="s">
        <v>801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ht="15.2" spans="1:10">
      <c r="A213" s="58" t="s">
        <v>1003</v>
      </c>
      <c r="B213" s="59">
        <v>582.21</v>
      </c>
      <c r="C213" s="59">
        <v>899</v>
      </c>
      <c r="D213" s="59" t="s">
        <v>803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ht="15.2" spans="1:10">
      <c r="A214" s="58" t="s">
        <v>1004</v>
      </c>
      <c r="B214" s="59">
        <v>425</v>
      </c>
      <c r="C214" s="59">
        <v>951</v>
      </c>
      <c r="D214" s="59" t="s">
        <v>801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ht="15.2" spans="1:10">
      <c r="A215" s="58" t="s">
        <v>1005</v>
      </c>
      <c r="B215" s="59">
        <v>1213.68</v>
      </c>
      <c r="C215" s="59">
        <v>1999</v>
      </c>
      <c r="D215" s="59" t="s">
        <v>803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ht="15.2" spans="1:10">
      <c r="A216" s="58" t="s">
        <v>1006</v>
      </c>
      <c r="B216" s="59">
        <v>1274.4</v>
      </c>
      <c r="C216" s="59">
        <v>2099</v>
      </c>
      <c r="D216" s="59" t="s">
        <v>803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ht="15.2" spans="1:10">
      <c r="A217" s="58" t="s">
        <v>1007</v>
      </c>
      <c r="B217" s="59">
        <v>1517.25</v>
      </c>
      <c r="C217" s="59">
        <v>2499</v>
      </c>
      <c r="D217" s="59" t="s">
        <v>803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ht="15.2" spans="1:10">
      <c r="A218" s="58" t="s">
        <v>1008</v>
      </c>
      <c r="B218" s="59">
        <v>326.2</v>
      </c>
      <c r="C218" s="59">
        <v>670</v>
      </c>
      <c r="D218" s="59" t="s">
        <v>801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ht="15.2" spans="1:10">
      <c r="A219" s="58" t="s">
        <v>1009</v>
      </c>
      <c r="B219" s="59">
        <v>484</v>
      </c>
      <c r="C219" s="59">
        <v>1048</v>
      </c>
      <c r="D219" s="59" t="s">
        <v>801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ht="15.2" spans="1:10">
      <c r="A220" s="58" t="s">
        <v>1010</v>
      </c>
      <c r="B220" s="59">
        <v>415</v>
      </c>
      <c r="C220" s="59">
        <v>989</v>
      </c>
      <c r="D220" s="59" t="s">
        <v>801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ht="15.2" spans="1:10">
      <c r="A221" s="58" t="s">
        <v>1011</v>
      </c>
      <c r="B221" s="59">
        <v>260</v>
      </c>
      <c r="C221" s="59">
        <v>683</v>
      </c>
      <c r="D221" s="59" t="s">
        <v>801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7649.6</v>
      </c>
    </row>
    <row r="222" ht="15.2" spans="1:10">
      <c r="A222" s="58" t="s">
        <v>1012</v>
      </c>
      <c r="B222" s="59">
        <v>1152.96</v>
      </c>
      <c r="C222" s="59">
        <v>1899</v>
      </c>
      <c r="D222" s="59" t="s">
        <v>803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ht="15.2" spans="1:10">
      <c r="A223" s="58" t="s">
        <v>1013</v>
      </c>
      <c r="B223" s="59">
        <v>1247.8</v>
      </c>
      <c r="C223" s="59">
        <v>1899</v>
      </c>
      <c r="D223" s="59" t="s">
        <v>803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ht="15.2" spans="1:10">
      <c r="A224" s="58" t="s">
        <v>1014</v>
      </c>
      <c r="B224" s="59">
        <v>2356.55</v>
      </c>
      <c r="C224" s="59">
        <v>3999</v>
      </c>
      <c r="D224" s="59" t="s">
        <v>803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</v>
      </c>
      <c r="J224" s="60">
        <f t="shared" si="12"/>
        <v>3999</v>
      </c>
    </row>
    <row r="225" ht="15.2" spans="1:10">
      <c r="A225" s="58" t="s">
        <v>1015</v>
      </c>
      <c r="B225" s="59">
        <v>1213.68</v>
      </c>
      <c r="C225" s="59">
        <v>1999</v>
      </c>
      <c r="D225" s="59" t="s">
        <v>803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ht="15.2" spans="1:10">
      <c r="A226" s="58" t="s">
        <v>1016</v>
      </c>
      <c r="B226" s="59">
        <v>2167.7</v>
      </c>
      <c r="C226" s="59">
        <v>3299</v>
      </c>
      <c r="D226" s="59" t="s">
        <v>803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ht="15.2" spans="1:10">
      <c r="A227" s="58" t="s">
        <v>1017</v>
      </c>
      <c r="B227" s="59">
        <v>426</v>
      </c>
      <c r="C227" s="59">
        <v>871</v>
      </c>
      <c r="D227" s="59" t="s">
        <v>801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ht="15.2" spans="1:10">
      <c r="A228" s="58" t="s">
        <v>257</v>
      </c>
      <c r="B228" s="59">
        <v>410</v>
      </c>
      <c r="C228" s="59">
        <v>1040</v>
      </c>
      <c r="D228" s="59" t="s">
        <v>801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ht="15.2" spans="1:10">
      <c r="A229" s="58" t="s">
        <v>1018</v>
      </c>
      <c r="B229" s="59">
        <v>5892.27</v>
      </c>
      <c r="C229" s="59">
        <v>9999</v>
      </c>
      <c r="D229" s="59" t="s">
        <v>803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ht="15.2" spans="1:10">
      <c r="A230" s="58" t="s">
        <v>1019</v>
      </c>
      <c r="B230" s="59">
        <v>1970.58</v>
      </c>
      <c r="C230" s="59">
        <v>2999</v>
      </c>
      <c r="D230" s="59" t="s">
        <v>803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ht="15.2" spans="1:10">
      <c r="A231" s="58" t="s">
        <v>1020</v>
      </c>
      <c r="B231" s="59">
        <v>1707.76</v>
      </c>
      <c r="C231" s="59">
        <v>2599</v>
      </c>
      <c r="D231" s="59" t="s">
        <v>803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ht="15.2" spans="1:10">
      <c r="A232" s="58" t="s">
        <v>1021</v>
      </c>
      <c r="B232" s="59">
        <v>1481.02</v>
      </c>
      <c r="C232" s="59">
        <v>2299</v>
      </c>
      <c r="D232" s="59" t="s">
        <v>803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ht="15.2" spans="1:10">
      <c r="A233" s="58" t="s">
        <v>1022</v>
      </c>
      <c r="B233" s="59">
        <v>374</v>
      </c>
      <c r="C233" s="59">
        <v>951</v>
      </c>
      <c r="D233" s="59" t="s">
        <v>801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</v>
      </c>
      <c r="J233" s="60">
        <f t="shared" si="12"/>
        <v>2948.1</v>
      </c>
    </row>
    <row r="234" ht="15.2" spans="1:10">
      <c r="A234" s="58" t="s">
        <v>1023</v>
      </c>
      <c r="B234" s="59">
        <v>509</v>
      </c>
      <c r="C234" s="59">
        <v>1096</v>
      </c>
      <c r="D234" s="59" t="s">
        <v>801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ht="15.2" spans="1:10">
      <c r="A235" s="58" t="s">
        <v>1024</v>
      </c>
      <c r="B235" s="59">
        <v>1638.68</v>
      </c>
      <c r="C235" s="59">
        <v>2699</v>
      </c>
      <c r="D235" s="59" t="s">
        <v>803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ht="15.2" spans="1:10">
      <c r="A236" s="58" t="s">
        <v>1025</v>
      </c>
      <c r="B236" s="59">
        <v>2849</v>
      </c>
      <c r="C236" s="59">
        <v>6479</v>
      </c>
      <c r="D236" s="59" t="s">
        <v>801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ht="15.2" spans="1:10">
      <c r="A237" s="58" t="s">
        <v>1026</v>
      </c>
      <c r="B237" s="59">
        <v>499</v>
      </c>
      <c r="C237" s="59">
        <v>1048</v>
      </c>
      <c r="D237" s="59" t="s">
        <v>801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ht="15.2" spans="1:10">
      <c r="A238" s="58" t="s">
        <v>1027</v>
      </c>
      <c r="B238" s="59">
        <v>646.97</v>
      </c>
      <c r="C238" s="59">
        <v>999</v>
      </c>
      <c r="D238" s="59" t="s">
        <v>803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ht="15.2" spans="1:10">
      <c r="A239" s="58" t="s">
        <v>1028</v>
      </c>
      <c r="B239" s="59">
        <v>452.37</v>
      </c>
      <c r="C239" s="59">
        <v>999</v>
      </c>
      <c r="D239" s="59" t="s">
        <v>801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</v>
      </c>
      <c r="J239" s="60">
        <f t="shared" si="12"/>
        <v>9390.6</v>
      </c>
    </row>
    <row r="240" ht="15.2" spans="1:10">
      <c r="A240" s="58" t="s">
        <v>1029</v>
      </c>
      <c r="B240" s="59">
        <v>3535.13</v>
      </c>
      <c r="C240" s="59">
        <v>5999</v>
      </c>
      <c r="D240" s="59" t="s">
        <v>803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ht="15.2" spans="1:10">
      <c r="A241" s="58" t="s">
        <v>1030</v>
      </c>
      <c r="B241" s="59">
        <v>299</v>
      </c>
      <c r="C241" s="59">
        <v>660</v>
      </c>
      <c r="D241" s="59" t="s">
        <v>801</v>
      </c>
      <c r="E241" s="59">
        <v>0.55</v>
      </c>
      <c r="F241" s="59">
        <v>0.55</v>
      </c>
      <c r="G241" s="59">
        <v>0</v>
      </c>
      <c r="H241" s="60">
        <f t="shared" si="13"/>
        <v>0.55</v>
      </c>
      <c r="I241" s="60">
        <f t="shared" si="11"/>
        <v>164.45</v>
      </c>
      <c r="J241" s="60">
        <f t="shared" si="12"/>
        <v>363</v>
      </c>
    </row>
    <row r="242" ht="15.2" spans="1:10">
      <c r="A242" s="58" t="s">
        <v>1031</v>
      </c>
      <c r="B242" s="59">
        <v>1881.54</v>
      </c>
      <c r="C242" s="59">
        <v>3099</v>
      </c>
      <c r="D242" s="59" t="s">
        <v>803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ht="15.2" spans="1:10">
      <c r="A243" s="58" t="s">
        <v>1032</v>
      </c>
      <c r="B243" s="59">
        <v>776.49</v>
      </c>
      <c r="C243" s="59">
        <v>1199</v>
      </c>
      <c r="D243" s="59" t="s">
        <v>803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ht="15.2" spans="1:10">
      <c r="A244" s="58" t="s">
        <v>1033</v>
      </c>
      <c r="B244" s="59">
        <v>5463.68</v>
      </c>
      <c r="C244" s="59">
        <v>8999</v>
      </c>
      <c r="D244" s="59" t="s">
        <v>803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ht="15.2" spans="1:10">
      <c r="A245" s="58" t="s">
        <v>1034</v>
      </c>
      <c r="B245" s="59">
        <v>1236.91</v>
      </c>
      <c r="C245" s="59">
        <v>2099</v>
      </c>
      <c r="D245" s="59" t="s">
        <v>803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</v>
      </c>
      <c r="J245" s="60">
        <f t="shared" si="12"/>
        <v>6297</v>
      </c>
    </row>
    <row r="246" ht="15.2" spans="1:10">
      <c r="A246" s="58" t="s">
        <v>1035</v>
      </c>
      <c r="B246" s="59">
        <v>820</v>
      </c>
      <c r="C246" s="59">
        <v>1949</v>
      </c>
      <c r="D246" s="59" t="s">
        <v>801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ht="15.2" spans="1:10">
      <c r="A247" s="58" t="s">
        <v>1036</v>
      </c>
      <c r="B247" s="59">
        <v>1395.82</v>
      </c>
      <c r="C247" s="59">
        <v>2299</v>
      </c>
      <c r="D247" s="59" t="s">
        <v>803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ht="15.2" spans="1:10">
      <c r="A248" s="58" t="s">
        <v>1037</v>
      </c>
      <c r="B248" s="59">
        <v>377</v>
      </c>
      <c r="C248" s="59">
        <v>818</v>
      </c>
      <c r="D248" s="59" t="s">
        <v>801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ht="15.2" spans="1:10">
      <c r="A249" s="58" t="s">
        <v>1038</v>
      </c>
      <c r="B249" s="59">
        <v>1517.25</v>
      </c>
      <c r="C249" s="59">
        <v>2499</v>
      </c>
      <c r="D249" s="59" t="s">
        <v>803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ht="15.2" spans="1:10">
      <c r="A250" s="58" t="s">
        <v>1039</v>
      </c>
      <c r="B250" s="59">
        <v>285</v>
      </c>
      <c r="C250" s="59">
        <v>600</v>
      </c>
      <c r="D250" s="59" t="s">
        <v>801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ht="15.2" spans="1:10">
      <c r="A251" s="58" t="s">
        <v>1040</v>
      </c>
      <c r="B251" s="59">
        <v>1213.68</v>
      </c>
      <c r="C251" s="59">
        <v>1999</v>
      </c>
      <c r="D251" s="59" t="s">
        <v>803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ht="15.2" spans="1:10">
      <c r="A252" s="58" t="s">
        <v>1041</v>
      </c>
      <c r="B252" s="59">
        <v>1274.4</v>
      </c>
      <c r="C252" s="59">
        <v>2099</v>
      </c>
      <c r="D252" s="59" t="s">
        <v>803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ht="15.2" spans="1:10">
      <c r="A253" s="58" t="s">
        <v>1042</v>
      </c>
      <c r="B253" s="59">
        <v>870</v>
      </c>
      <c r="C253" s="59">
        <v>2217</v>
      </c>
      <c r="D253" s="59" t="s">
        <v>801</v>
      </c>
      <c r="E253" s="59">
        <v>2.3</v>
      </c>
      <c r="F253" s="59">
        <v>2.3</v>
      </c>
      <c r="G253" s="59">
        <v>0</v>
      </c>
      <c r="H253" s="60">
        <f t="shared" si="13"/>
        <v>2.3</v>
      </c>
      <c r="I253" s="60">
        <f t="shared" si="11"/>
        <v>2001</v>
      </c>
      <c r="J253" s="60">
        <f t="shared" si="12"/>
        <v>5099.1</v>
      </c>
    </row>
    <row r="254" ht="15.2" spans="1:10">
      <c r="A254" s="58" t="s">
        <v>1043</v>
      </c>
      <c r="B254" s="59">
        <v>1820.82</v>
      </c>
      <c r="C254" s="59">
        <v>2999</v>
      </c>
      <c r="D254" s="59" t="s">
        <v>803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ht="15.2" spans="1:10">
      <c r="A255" s="58" t="s">
        <v>1044</v>
      </c>
      <c r="B255" s="59">
        <v>1313.5</v>
      </c>
      <c r="C255" s="59">
        <v>1999</v>
      </c>
      <c r="D255" s="59" t="s">
        <v>803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ht="15.2" spans="1:10">
      <c r="A256" s="58" t="s">
        <v>1045</v>
      </c>
      <c r="B256" s="59">
        <v>1274.4</v>
      </c>
      <c r="C256" s="59">
        <v>2099</v>
      </c>
      <c r="D256" s="59" t="s">
        <v>803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ht="15.2" spans="1:10">
      <c r="A257" s="58" t="s">
        <v>1046</v>
      </c>
      <c r="B257" s="59">
        <v>599</v>
      </c>
      <c r="C257" s="59">
        <v>1338</v>
      </c>
      <c r="D257" s="59" t="s">
        <v>801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ht="15.2" spans="1:10">
      <c r="A258" s="58" t="s">
        <v>1047</v>
      </c>
      <c r="B258" s="59">
        <v>1119.05</v>
      </c>
      <c r="C258" s="59">
        <v>1899</v>
      </c>
      <c r="D258" s="59" t="s">
        <v>803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ht="15.2" spans="1:10">
      <c r="A259" s="58" t="s">
        <v>1048</v>
      </c>
      <c r="B259" s="59">
        <v>1354.77</v>
      </c>
      <c r="C259" s="59">
        <v>2299</v>
      </c>
      <c r="D259" s="59" t="s">
        <v>803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ht="15.2" spans="1:10">
      <c r="A260" s="58" t="s">
        <v>1049</v>
      </c>
      <c r="B260" s="59">
        <v>1576.34</v>
      </c>
      <c r="C260" s="59">
        <v>2399</v>
      </c>
      <c r="D260" s="59" t="s">
        <v>803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ht="15.2" spans="1:10">
      <c r="A261" s="58" t="s">
        <v>1050</v>
      </c>
      <c r="B261" s="59">
        <v>3279</v>
      </c>
      <c r="C261" s="59">
        <v>8399</v>
      </c>
      <c r="D261" s="59" t="s">
        <v>801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ht="15.2" spans="1:10">
      <c r="A262" s="58" t="s">
        <v>1051</v>
      </c>
      <c r="B262" s="59">
        <v>1379.21</v>
      </c>
      <c r="C262" s="59">
        <v>2099</v>
      </c>
      <c r="D262" s="59" t="s">
        <v>803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ht="15.2" spans="1:10">
      <c r="A263" s="58" t="s">
        <v>1052</v>
      </c>
      <c r="B263" s="59">
        <v>1517.25</v>
      </c>
      <c r="C263" s="59">
        <v>2499</v>
      </c>
      <c r="D263" s="59" t="s">
        <v>803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ht="15.2" spans="1:10">
      <c r="A264" s="58" t="s">
        <v>1053</v>
      </c>
      <c r="B264" s="59">
        <v>646</v>
      </c>
      <c r="C264" s="59">
        <v>1439</v>
      </c>
      <c r="D264" s="59" t="s">
        <v>801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ht="15.2" spans="1:10">
      <c r="A265" s="58" t="s">
        <v>1054</v>
      </c>
      <c r="B265" s="59">
        <v>1177.98</v>
      </c>
      <c r="C265" s="59">
        <v>1999</v>
      </c>
      <c r="D265" s="59" t="s">
        <v>803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ht="15.2" spans="1:10">
      <c r="A266" s="58" t="s">
        <v>1055</v>
      </c>
      <c r="B266" s="59">
        <v>511</v>
      </c>
      <c r="C266" s="59">
        <v>1263</v>
      </c>
      <c r="D266" s="59" t="s">
        <v>801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</v>
      </c>
      <c r="J266" s="60">
        <f t="shared" si="15"/>
        <v>2273.4</v>
      </c>
    </row>
    <row r="267" ht="15.2" spans="1:10">
      <c r="A267" s="58" t="s">
        <v>1056</v>
      </c>
      <c r="B267" s="59">
        <v>1820.82</v>
      </c>
      <c r="C267" s="59">
        <v>2999</v>
      </c>
      <c r="D267" s="59" t="s">
        <v>803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ht="15.2" spans="1:10">
      <c r="A268" s="58" t="s">
        <v>1057</v>
      </c>
      <c r="B268" s="59">
        <v>1510.63</v>
      </c>
      <c r="C268" s="59">
        <v>2299</v>
      </c>
      <c r="D268" s="59" t="s">
        <v>803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ht="15.2" spans="1:10">
      <c r="A269" s="58" t="s">
        <v>1058</v>
      </c>
      <c r="B269" s="59">
        <v>908.84</v>
      </c>
      <c r="C269" s="59">
        <v>1399</v>
      </c>
      <c r="D269" s="59" t="s">
        <v>803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ht="15.2" spans="1:10">
      <c r="A270" s="58" t="s">
        <v>1059</v>
      </c>
      <c r="B270" s="59">
        <v>1379.21</v>
      </c>
      <c r="C270" s="59">
        <v>2099</v>
      </c>
      <c r="D270" s="59" t="s">
        <v>803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ht="15.2" spans="1:10">
      <c r="A271" s="58" t="s">
        <v>1060</v>
      </c>
      <c r="B271" s="59">
        <v>1416.6</v>
      </c>
      <c r="C271" s="59">
        <v>2199</v>
      </c>
      <c r="D271" s="59" t="s">
        <v>803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ht="15.2" spans="1:10">
      <c r="A272" s="58" t="s">
        <v>1061</v>
      </c>
      <c r="B272" s="59">
        <v>1274.39</v>
      </c>
      <c r="C272" s="59">
        <v>2099</v>
      </c>
      <c r="D272" s="59" t="s">
        <v>803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</v>
      </c>
      <c r="J272" s="60">
        <f t="shared" si="15"/>
        <v>2099</v>
      </c>
    </row>
    <row r="273" ht="15.2" spans="1:10">
      <c r="A273" s="58" t="s">
        <v>1062</v>
      </c>
      <c r="B273" s="59">
        <v>351.7</v>
      </c>
      <c r="C273" s="59">
        <v>1165</v>
      </c>
      <c r="D273" s="59" t="s">
        <v>801</v>
      </c>
      <c r="E273" s="59">
        <v>2.05</v>
      </c>
      <c r="F273" s="59">
        <v>2.05</v>
      </c>
      <c r="G273" s="59">
        <v>0</v>
      </c>
      <c r="H273" s="60">
        <f t="shared" si="13"/>
        <v>2.05</v>
      </c>
      <c r="I273" s="60">
        <f t="shared" si="14"/>
        <v>720.985</v>
      </c>
      <c r="J273" s="60">
        <f t="shared" si="15"/>
        <v>2388.25</v>
      </c>
    </row>
    <row r="274" ht="15.2" spans="1:10">
      <c r="A274" s="58" t="s">
        <v>1063</v>
      </c>
      <c r="B274" s="59">
        <v>662</v>
      </c>
      <c r="C274" s="59">
        <v>1479</v>
      </c>
      <c r="D274" s="59" t="s">
        <v>801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ht="15.2" spans="1:10">
      <c r="A275" s="58" t="s">
        <v>1064</v>
      </c>
      <c r="B275" s="59">
        <v>0.58</v>
      </c>
      <c r="C275" s="59">
        <v>1</v>
      </c>
      <c r="D275" s="59" t="s">
        <v>803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75.4</v>
      </c>
      <c r="J275" s="60">
        <f t="shared" si="15"/>
        <v>130</v>
      </c>
    </row>
    <row r="276" ht="15.2" spans="1:10">
      <c r="A276" s="58" t="s">
        <v>1065</v>
      </c>
      <c r="B276" s="59">
        <v>970.82</v>
      </c>
      <c r="C276" s="59">
        <v>1599</v>
      </c>
      <c r="D276" s="59" t="s">
        <v>803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ht="15.2" spans="1:10">
      <c r="A277" s="58" t="s">
        <v>1066</v>
      </c>
      <c r="B277" s="59">
        <v>325</v>
      </c>
      <c r="C277" s="59">
        <v>720</v>
      </c>
      <c r="D277" s="59" t="s">
        <v>801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</v>
      </c>
      <c r="J277" s="60">
        <f t="shared" si="15"/>
        <v>1944</v>
      </c>
    </row>
    <row r="278" ht="15.2" spans="1:10">
      <c r="A278" s="58" t="s">
        <v>1067</v>
      </c>
      <c r="B278" s="59">
        <v>938.4</v>
      </c>
      <c r="C278" s="59">
        <v>1449</v>
      </c>
      <c r="D278" s="59" t="s">
        <v>803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ht="15.2" spans="1:10">
      <c r="A279" s="58" t="s">
        <v>1068</v>
      </c>
      <c r="B279" s="59">
        <v>487</v>
      </c>
      <c r="C279" s="59">
        <v>1032</v>
      </c>
      <c r="D279" s="59" t="s">
        <v>801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</v>
      </c>
    </row>
    <row r="280" ht="15.2" spans="1:10">
      <c r="A280" s="58" t="s">
        <v>1069</v>
      </c>
      <c r="B280" s="59">
        <v>1510.63</v>
      </c>
      <c r="C280" s="59">
        <v>2299</v>
      </c>
      <c r="D280" s="59" t="s">
        <v>803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ht="15.2" spans="1:10">
      <c r="A281" s="58" t="s">
        <v>1070</v>
      </c>
      <c r="B281" s="59">
        <v>906.02</v>
      </c>
      <c r="C281" s="59">
        <v>1399</v>
      </c>
      <c r="D281" s="59" t="s">
        <v>803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ht="15.2" spans="1:10">
      <c r="A282" s="58" t="s">
        <v>1071</v>
      </c>
      <c r="B282" s="59">
        <v>292</v>
      </c>
      <c r="C282" s="59">
        <v>685</v>
      </c>
      <c r="D282" s="59" t="s">
        <v>801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408.8</v>
      </c>
      <c r="J282" s="60">
        <f t="shared" si="15"/>
        <v>959</v>
      </c>
    </row>
    <row r="283" ht="15.2" spans="1:10">
      <c r="A283" s="58" t="s">
        <v>1072</v>
      </c>
      <c r="B283" s="59">
        <v>1456.54</v>
      </c>
      <c r="C283" s="59">
        <v>2399</v>
      </c>
      <c r="D283" s="59" t="s">
        <v>803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ht="15.2" spans="1:10">
      <c r="A284" s="58" t="s">
        <v>1073</v>
      </c>
      <c r="B284" s="59">
        <v>1481.02</v>
      </c>
      <c r="C284" s="59">
        <v>2299</v>
      </c>
      <c r="D284" s="59" t="s">
        <v>803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ht="15.2" spans="1:10">
      <c r="A285" s="58" t="s">
        <v>1074</v>
      </c>
      <c r="B285" s="59">
        <v>1274.39</v>
      </c>
      <c r="C285" s="59">
        <v>2099</v>
      </c>
      <c r="D285" s="59" t="s">
        <v>803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</v>
      </c>
      <c r="J285" s="60">
        <f t="shared" si="15"/>
        <v>2099</v>
      </c>
    </row>
    <row r="286" ht="15.2" spans="1:10">
      <c r="A286" s="58" t="s">
        <v>1075</v>
      </c>
      <c r="B286" s="59">
        <v>841.26</v>
      </c>
      <c r="C286" s="59">
        <v>1299</v>
      </c>
      <c r="D286" s="59" t="s">
        <v>803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ht="15.2" spans="1:10">
      <c r="A287" s="58" t="s">
        <v>1076</v>
      </c>
      <c r="B287" s="59">
        <v>630</v>
      </c>
      <c r="C287" s="59">
        <v>1525</v>
      </c>
      <c r="D287" s="59" t="s">
        <v>801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ht="15.2" spans="1:10">
      <c r="A288" s="58" t="s">
        <v>1077</v>
      </c>
      <c r="B288" s="59">
        <v>511</v>
      </c>
      <c r="C288" s="59">
        <v>1263</v>
      </c>
      <c r="D288" s="59" t="s">
        <v>801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434.35</v>
      </c>
      <c r="J288" s="60">
        <f t="shared" si="15"/>
        <v>1073.55</v>
      </c>
    </row>
    <row r="289" ht="15.2" spans="1:10">
      <c r="A289" s="58" t="s">
        <v>1078</v>
      </c>
      <c r="B289" s="59">
        <v>1477.78</v>
      </c>
      <c r="C289" s="59">
        <v>2299</v>
      </c>
      <c r="D289" s="59" t="s">
        <v>803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ht="15.2" spans="1:10">
      <c r="A290" s="58" t="s">
        <v>1079</v>
      </c>
      <c r="B290" s="59">
        <v>1213.68</v>
      </c>
      <c r="C290" s="59">
        <v>1999</v>
      </c>
      <c r="D290" s="59" t="s">
        <v>803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ht="15.2" spans="1:10">
      <c r="A291" s="58" t="s">
        <v>1080</v>
      </c>
      <c r="B291" s="59">
        <v>970.78</v>
      </c>
      <c r="C291" s="59">
        <v>1499</v>
      </c>
      <c r="D291" s="59" t="s">
        <v>803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ht="15.2" spans="1:10">
      <c r="A292" s="58" t="s">
        <v>1081</v>
      </c>
      <c r="B292" s="59">
        <v>1517.25</v>
      </c>
      <c r="C292" s="59">
        <v>2499</v>
      </c>
      <c r="D292" s="59" t="s">
        <v>803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ht="15.2" spans="1:10">
      <c r="A293" s="58" t="s">
        <v>1082</v>
      </c>
      <c r="B293" s="59">
        <v>769</v>
      </c>
      <c r="C293" s="59">
        <v>1964</v>
      </c>
      <c r="D293" s="59" t="s">
        <v>801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</v>
      </c>
    </row>
    <row r="294" ht="15.2" spans="1:10">
      <c r="A294" s="58" t="s">
        <v>1083</v>
      </c>
      <c r="B294" s="59">
        <v>841.26</v>
      </c>
      <c r="C294" s="59">
        <v>1299</v>
      </c>
      <c r="D294" s="59" t="s">
        <v>803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2523.78</v>
      </c>
      <c r="J294" s="60">
        <f t="shared" si="15"/>
        <v>3897</v>
      </c>
    </row>
    <row r="295" ht="15.2" spans="1:10">
      <c r="A295" s="58" t="s">
        <v>1084</v>
      </c>
      <c r="B295" s="59">
        <v>1249</v>
      </c>
      <c r="C295" s="59">
        <v>2840</v>
      </c>
      <c r="D295" s="59" t="s">
        <v>801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ht="15.2" spans="1:10">
      <c r="A296" s="58" t="s">
        <v>1085</v>
      </c>
      <c r="B296" s="59">
        <v>381</v>
      </c>
      <c r="C296" s="59">
        <v>820</v>
      </c>
      <c r="D296" s="59" t="s">
        <v>801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ht="15.2" spans="1:10">
      <c r="A297" s="58" t="s">
        <v>1086</v>
      </c>
      <c r="B297" s="59">
        <v>413</v>
      </c>
      <c r="C297" s="59">
        <v>845</v>
      </c>
      <c r="D297" s="59" t="s">
        <v>801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ht="15.2" spans="1:10">
      <c r="A298" s="58" t="s">
        <v>1087</v>
      </c>
      <c r="B298" s="59">
        <v>402.02</v>
      </c>
      <c r="C298" s="59">
        <v>840</v>
      </c>
      <c r="D298" s="59" t="s">
        <v>801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ht="15.2" spans="1:10">
      <c r="A299" s="58" t="s">
        <v>1088</v>
      </c>
      <c r="B299" s="59">
        <v>1395.82</v>
      </c>
      <c r="C299" s="59">
        <v>2299</v>
      </c>
      <c r="D299" s="59" t="s">
        <v>803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ht="15.2" spans="1:10">
      <c r="A300" s="58" t="s">
        <v>1089</v>
      </c>
      <c r="B300" s="59">
        <v>570.86</v>
      </c>
      <c r="C300" s="59">
        <v>2360</v>
      </c>
      <c r="D300" s="59" t="s">
        <v>801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ht="15.2" spans="1:10">
      <c r="A301" s="58" t="s">
        <v>1090</v>
      </c>
      <c r="B301" s="59">
        <v>358</v>
      </c>
      <c r="C301" s="59">
        <v>832</v>
      </c>
      <c r="D301" s="59" t="s">
        <v>801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</v>
      </c>
      <c r="J301" s="60">
        <f t="shared" si="15"/>
        <v>166.4</v>
      </c>
    </row>
    <row r="302" ht="15.2" spans="1:10">
      <c r="A302" s="58" t="s">
        <v>1091</v>
      </c>
      <c r="B302" s="59">
        <v>290.78</v>
      </c>
      <c r="C302" s="59">
        <v>449</v>
      </c>
      <c r="D302" s="59" t="s">
        <v>803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1163.12</v>
      </c>
      <c r="J302" s="60">
        <f t="shared" si="15"/>
        <v>1796</v>
      </c>
    </row>
    <row r="303" ht="15.2" spans="1:10">
      <c r="A303" s="58" t="s">
        <v>1092</v>
      </c>
      <c r="B303" s="59">
        <v>908.13</v>
      </c>
      <c r="C303" s="59">
        <v>1399</v>
      </c>
      <c r="D303" s="59" t="s">
        <v>803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ht="15.2" spans="1:10">
      <c r="A304" s="58" t="s">
        <v>1093</v>
      </c>
      <c r="B304" s="59">
        <v>540</v>
      </c>
      <c r="C304" s="59">
        <v>1207</v>
      </c>
      <c r="D304" s="59" t="s">
        <v>801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10983.7</v>
      </c>
    </row>
    <row r="305" ht="15.2" spans="1:10">
      <c r="A305" s="58" t="s">
        <v>1094</v>
      </c>
      <c r="B305" s="59">
        <v>1649.41</v>
      </c>
      <c r="C305" s="59">
        <v>2799</v>
      </c>
      <c r="D305" s="59" t="s">
        <v>803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ht="15.2" spans="1:10">
      <c r="A306" s="58" t="s">
        <v>1095</v>
      </c>
      <c r="B306" s="59">
        <v>409</v>
      </c>
      <c r="C306" s="59">
        <v>970</v>
      </c>
      <c r="D306" s="59" t="s">
        <v>801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</v>
      </c>
      <c r="J306" s="60">
        <f t="shared" si="15"/>
        <v>194</v>
      </c>
    </row>
    <row r="307" ht="15.2" spans="1:10">
      <c r="A307" s="58" t="s">
        <v>1096</v>
      </c>
      <c r="B307" s="59">
        <v>375</v>
      </c>
      <c r="C307" s="59">
        <v>788</v>
      </c>
      <c r="D307" s="59" t="s">
        <v>801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</v>
      </c>
    </row>
    <row r="308" ht="15.2" spans="1:10">
      <c r="A308" s="58" t="s">
        <v>1097</v>
      </c>
      <c r="B308" s="59">
        <v>913.24</v>
      </c>
      <c r="C308" s="59">
        <v>1399</v>
      </c>
      <c r="D308" s="59" t="s">
        <v>803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ht="15.2" spans="1:10">
      <c r="A309" s="58" t="s">
        <v>1098</v>
      </c>
      <c r="B309" s="59">
        <v>841.26</v>
      </c>
      <c r="C309" s="59">
        <v>1299</v>
      </c>
      <c r="D309" s="59" t="s">
        <v>803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ht="15.2" spans="1:10">
      <c r="A310" s="58" t="s">
        <v>1099</v>
      </c>
      <c r="B310" s="59">
        <v>646.97</v>
      </c>
      <c r="C310" s="59">
        <v>999</v>
      </c>
      <c r="D310" s="59" t="s">
        <v>803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ht="15.2" spans="1:10">
      <c r="A311" s="58" t="s">
        <v>1100</v>
      </c>
      <c r="B311" s="59">
        <v>573</v>
      </c>
      <c r="C311" s="59">
        <v>1323</v>
      </c>
      <c r="D311" s="59" t="s">
        <v>801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ht="15.2" spans="1:10">
      <c r="A312" s="58" t="s">
        <v>1101</v>
      </c>
      <c r="B312" s="59">
        <v>990</v>
      </c>
      <c r="C312" s="59">
        <v>2238</v>
      </c>
      <c r="D312" s="59" t="s">
        <v>801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ht="15.2" spans="1:10">
      <c r="A313" s="58" t="s">
        <v>1102</v>
      </c>
      <c r="B313" s="59">
        <v>646.97</v>
      </c>
      <c r="C313" s="59">
        <v>999</v>
      </c>
      <c r="D313" s="59" t="s">
        <v>803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ht="15.2" spans="1:10">
      <c r="A314" s="58" t="s">
        <v>1103</v>
      </c>
      <c r="B314" s="59">
        <v>675</v>
      </c>
      <c r="C314" s="59">
        <v>1508</v>
      </c>
      <c r="D314" s="59" t="s">
        <v>801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ht="15.2" spans="1:10">
      <c r="A315" s="58" t="s">
        <v>1104</v>
      </c>
      <c r="B315" s="59">
        <v>1444.92</v>
      </c>
      <c r="C315" s="59">
        <v>2199</v>
      </c>
      <c r="D315" s="59" t="s">
        <v>803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ht="15.2" spans="1:10">
      <c r="A316" s="58" t="s">
        <v>1105</v>
      </c>
      <c r="B316" s="59">
        <v>1213.68</v>
      </c>
      <c r="C316" s="59">
        <v>1999</v>
      </c>
      <c r="D316" s="59" t="s">
        <v>803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ht="15.2" spans="1:10">
      <c r="A317" s="58" t="s">
        <v>1106</v>
      </c>
      <c r="B317" s="59">
        <v>307</v>
      </c>
      <c r="C317" s="59">
        <v>745</v>
      </c>
      <c r="D317" s="59" t="s">
        <v>801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ht="15.2" spans="1:10">
      <c r="A318" s="58" t="s">
        <v>1107</v>
      </c>
      <c r="B318" s="59">
        <v>1904.87</v>
      </c>
      <c r="C318" s="59">
        <v>2899</v>
      </c>
      <c r="D318" s="59" t="s">
        <v>803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ht="15.2" spans="1:10">
      <c r="A319" s="58" t="s">
        <v>1108</v>
      </c>
      <c r="B319" s="59">
        <v>2102</v>
      </c>
      <c r="C319" s="59">
        <v>3199</v>
      </c>
      <c r="D319" s="59" t="s">
        <v>803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ht="15.2" spans="1:10">
      <c r="A320" s="58" t="s">
        <v>1109</v>
      </c>
      <c r="B320" s="59">
        <v>940.46</v>
      </c>
      <c r="C320" s="59">
        <v>1549</v>
      </c>
      <c r="D320" s="59" t="s">
        <v>803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ht="15.2" spans="1:10">
      <c r="A321" s="58" t="s">
        <v>1110</v>
      </c>
      <c r="B321" s="59">
        <v>608</v>
      </c>
      <c r="C321" s="59">
        <v>1354</v>
      </c>
      <c r="D321" s="59" t="s">
        <v>801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ht="15.2" spans="1:10">
      <c r="A322" s="58" t="s">
        <v>1111</v>
      </c>
      <c r="B322" s="59">
        <v>1092.25</v>
      </c>
      <c r="C322" s="59">
        <v>1799</v>
      </c>
      <c r="D322" s="59" t="s">
        <v>803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ht="15.2" spans="1:10">
      <c r="A323" s="58" t="s">
        <v>1112</v>
      </c>
      <c r="B323" s="59">
        <v>1274.39</v>
      </c>
      <c r="C323" s="59">
        <v>2099</v>
      </c>
      <c r="D323" s="59" t="s">
        <v>803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</v>
      </c>
      <c r="J323" s="60">
        <f t="shared" si="18"/>
        <v>2099</v>
      </c>
    </row>
    <row r="324" ht="15.2" spans="1:10">
      <c r="A324" s="58" t="s">
        <v>1113</v>
      </c>
      <c r="B324" s="59">
        <v>776.49</v>
      </c>
      <c r="C324" s="59">
        <v>1199</v>
      </c>
      <c r="D324" s="59" t="s">
        <v>803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ht="15.2" spans="1:10">
      <c r="A325" s="58" t="s">
        <v>1114</v>
      </c>
      <c r="B325" s="59">
        <v>1576.34</v>
      </c>
      <c r="C325" s="59">
        <v>2399</v>
      </c>
      <c r="D325" s="59" t="s">
        <v>803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ht="15.2" spans="1:10">
      <c r="A326" s="58" t="s">
        <v>1115</v>
      </c>
      <c r="B326" s="59">
        <v>1738.7</v>
      </c>
      <c r="C326" s="59">
        <v>2699</v>
      </c>
      <c r="D326" s="59" t="s">
        <v>803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ht="15.2" spans="1:10">
      <c r="A327" s="58" t="s">
        <v>1116</v>
      </c>
      <c r="B327" s="59">
        <v>938.4</v>
      </c>
      <c r="C327" s="59">
        <v>1449</v>
      </c>
      <c r="D327" s="59" t="s">
        <v>803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ht="15.2" spans="1:10">
      <c r="A328" s="58" t="s">
        <v>1117</v>
      </c>
      <c r="B328" s="59">
        <v>2002.96</v>
      </c>
      <c r="C328" s="59">
        <v>3299</v>
      </c>
      <c r="D328" s="59" t="s">
        <v>803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ht="15.2" spans="1:10">
      <c r="A329" s="58" t="s">
        <v>1118</v>
      </c>
      <c r="B329" s="59">
        <v>1576.34</v>
      </c>
      <c r="C329" s="59">
        <v>2399</v>
      </c>
      <c r="D329" s="59" t="s">
        <v>803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ht="15.2" spans="1:10">
      <c r="A330" s="58" t="s">
        <v>718</v>
      </c>
      <c r="B330" s="59">
        <v>525</v>
      </c>
      <c r="C330" s="59">
        <v>1172</v>
      </c>
      <c r="D330" s="59" t="s">
        <v>801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ht="15.2" spans="1:10">
      <c r="A331" s="58" t="s">
        <v>1119</v>
      </c>
      <c r="B331" s="59">
        <v>718</v>
      </c>
      <c r="C331" s="59">
        <v>1699</v>
      </c>
      <c r="D331" s="59" t="s">
        <v>801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</v>
      </c>
    </row>
    <row r="332" ht="15.2" spans="1:10">
      <c r="A332" s="58" t="s">
        <v>1120</v>
      </c>
      <c r="B332" s="59">
        <v>2124.4</v>
      </c>
      <c r="C332" s="59">
        <v>3499</v>
      </c>
      <c r="D332" s="59" t="s">
        <v>803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ht="15.2" spans="1:10">
      <c r="A333" s="58" t="s">
        <v>1121</v>
      </c>
      <c r="B333" s="59">
        <v>425</v>
      </c>
      <c r="C333" s="59">
        <v>951</v>
      </c>
      <c r="D333" s="59" t="s">
        <v>801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ht="15.2" spans="1:10">
      <c r="A334" s="58" t="s">
        <v>1122</v>
      </c>
      <c r="B334" s="59">
        <v>5463.68</v>
      </c>
      <c r="C334" s="59">
        <v>8999</v>
      </c>
      <c r="D334" s="59" t="s">
        <v>803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ht="15.2" spans="1:10">
      <c r="A335" s="58" t="s">
        <v>1123</v>
      </c>
      <c r="B335" s="59">
        <v>1213.68</v>
      </c>
      <c r="C335" s="59">
        <v>1999</v>
      </c>
      <c r="D335" s="59" t="s">
        <v>803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ht="15.2" spans="1:10">
      <c r="A336" s="58" t="s">
        <v>1124</v>
      </c>
      <c r="B336" s="59">
        <v>1379.21</v>
      </c>
      <c r="C336" s="59">
        <v>2099</v>
      </c>
      <c r="D336" s="59" t="s">
        <v>803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ht="15.2" spans="1:10">
      <c r="A337" s="58" t="s">
        <v>1125</v>
      </c>
      <c r="B337" s="59">
        <v>288</v>
      </c>
      <c r="C337" s="59">
        <v>665</v>
      </c>
      <c r="D337" s="59" t="s">
        <v>801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ht="15.2" spans="1:10">
      <c r="A338" s="58" t="s">
        <v>1126</v>
      </c>
      <c r="B338" s="59">
        <v>1274.39</v>
      </c>
      <c r="C338" s="59">
        <v>2099</v>
      </c>
      <c r="D338" s="59" t="s">
        <v>803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</v>
      </c>
      <c r="J338" s="60">
        <f t="shared" si="18"/>
        <v>4198</v>
      </c>
    </row>
    <row r="339" ht="15.2" spans="1:10">
      <c r="A339" s="58" t="s">
        <v>1127</v>
      </c>
      <c r="B339" s="59">
        <v>1444.92</v>
      </c>
      <c r="C339" s="59">
        <v>2199</v>
      </c>
      <c r="D339" s="59" t="s">
        <v>803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ht="15.2" spans="1:10">
      <c r="A340" s="58" t="s">
        <v>1128</v>
      </c>
      <c r="B340" s="59">
        <v>1274.4</v>
      </c>
      <c r="C340" s="59">
        <v>2099</v>
      </c>
      <c r="D340" s="59" t="s">
        <v>803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ht="15.2" spans="1:10">
      <c r="A341" s="58" t="s">
        <v>146</v>
      </c>
      <c r="B341" s="59">
        <v>460</v>
      </c>
      <c r="C341" s="59">
        <v>1157</v>
      </c>
      <c r="D341" s="59" t="s">
        <v>801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ht="15.2" spans="1:10">
      <c r="A342" s="58" t="s">
        <v>1129</v>
      </c>
      <c r="B342" s="59">
        <v>3535.13</v>
      </c>
      <c r="C342" s="59">
        <v>5999</v>
      </c>
      <c r="D342" s="59" t="s">
        <v>803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ht="15.2" spans="1:10">
      <c r="A343" s="58" t="s">
        <v>1130</v>
      </c>
      <c r="B343" s="59">
        <v>1247.8</v>
      </c>
      <c r="C343" s="59">
        <v>1899</v>
      </c>
      <c r="D343" s="59" t="s">
        <v>803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ht="15.2" spans="1:10">
      <c r="A344" s="58" t="s">
        <v>1131</v>
      </c>
      <c r="B344" s="59">
        <v>4249.39</v>
      </c>
      <c r="C344" s="59">
        <v>6999</v>
      </c>
      <c r="D344" s="59" t="s">
        <v>803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</v>
      </c>
      <c r="J344" s="60">
        <f t="shared" si="18"/>
        <v>6999</v>
      </c>
    </row>
    <row r="345" ht="15.2" spans="1:10">
      <c r="A345" s="58" t="s">
        <v>1132</v>
      </c>
      <c r="B345" s="59">
        <v>1313.5</v>
      </c>
      <c r="C345" s="59">
        <v>1999</v>
      </c>
      <c r="D345" s="59" t="s">
        <v>803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ht="15.2" spans="1:10">
      <c r="A346" s="58" t="s">
        <v>1133</v>
      </c>
      <c r="B346" s="59">
        <v>656.42</v>
      </c>
      <c r="C346" s="59">
        <v>999</v>
      </c>
      <c r="D346" s="59" t="s">
        <v>803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ht="15.2" spans="1:10">
      <c r="A347" s="58" t="s">
        <v>1134</v>
      </c>
      <c r="B347" s="59">
        <v>1481.02</v>
      </c>
      <c r="C347" s="59">
        <v>2299</v>
      </c>
      <c r="D347" s="59" t="s">
        <v>803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ht="15.2" spans="1:10">
      <c r="A348" s="58" t="s">
        <v>1135</v>
      </c>
      <c r="B348" s="59">
        <v>722.13</v>
      </c>
      <c r="C348" s="59">
        <v>1099</v>
      </c>
      <c r="D348" s="59" t="s">
        <v>803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ht="15.2" spans="1:10">
      <c r="A349" s="58" t="s">
        <v>1136</v>
      </c>
      <c r="B349" s="59">
        <v>1102</v>
      </c>
      <c r="C349" s="59">
        <v>2818</v>
      </c>
      <c r="D349" s="59" t="s">
        <v>801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ht="15.2" spans="1:10">
      <c r="A350" s="58" t="s">
        <v>1137</v>
      </c>
      <c r="B350" s="59">
        <v>1213.68</v>
      </c>
      <c r="C350" s="59">
        <v>1999</v>
      </c>
      <c r="D350" s="59" t="s">
        <v>803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ht="15.2" spans="1:10">
      <c r="A351" s="58" t="s">
        <v>1138</v>
      </c>
      <c r="B351" s="59">
        <v>1287.76</v>
      </c>
      <c r="C351" s="59">
        <v>1999</v>
      </c>
      <c r="D351" s="59" t="s">
        <v>803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ht="15.2" spans="1:10">
      <c r="A352" s="58" t="s">
        <v>119</v>
      </c>
      <c r="B352" s="59">
        <v>390</v>
      </c>
      <c r="C352" s="59">
        <v>873</v>
      </c>
      <c r="D352" s="59" t="s">
        <v>801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ht="15.2" spans="1:10">
      <c r="A353" s="58" t="s">
        <v>1139</v>
      </c>
      <c r="B353" s="59">
        <v>1236.91</v>
      </c>
      <c r="C353" s="59">
        <v>2099</v>
      </c>
      <c r="D353" s="59" t="s">
        <v>803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</v>
      </c>
      <c r="J353" s="60">
        <f t="shared" si="18"/>
        <v>8396</v>
      </c>
    </row>
    <row r="354" ht="15.2" spans="1:10">
      <c r="A354" s="58" t="s">
        <v>1140</v>
      </c>
      <c r="B354" s="59">
        <v>615</v>
      </c>
      <c r="C354" s="59">
        <v>1315</v>
      </c>
      <c r="D354" s="59" t="s">
        <v>801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ht="15.2" spans="1:10">
      <c r="A355" s="58" t="s">
        <v>1141</v>
      </c>
      <c r="B355" s="59">
        <v>4124.41</v>
      </c>
      <c r="C355" s="59">
        <v>6999</v>
      </c>
      <c r="D355" s="59" t="s">
        <v>803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ht="15.2" spans="1:10">
      <c r="A356" s="58" t="s">
        <v>1142</v>
      </c>
      <c r="B356" s="59">
        <v>487</v>
      </c>
      <c r="C356" s="59">
        <v>1231</v>
      </c>
      <c r="D356" s="59" t="s">
        <v>801</v>
      </c>
      <c r="E356" s="59">
        <v>4.6</v>
      </c>
      <c r="F356" s="59">
        <v>4.6</v>
      </c>
      <c r="G356" s="59">
        <v>0</v>
      </c>
      <c r="H356" s="60">
        <f t="shared" si="19"/>
        <v>4.6</v>
      </c>
      <c r="I356" s="60">
        <f t="shared" si="17"/>
        <v>2240.2</v>
      </c>
      <c r="J356" s="60">
        <f t="shared" si="18"/>
        <v>5662.6</v>
      </c>
    </row>
    <row r="357" ht="15.2" spans="1:10">
      <c r="A357" s="58" t="s">
        <v>1143</v>
      </c>
      <c r="B357" s="59">
        <v>970.78</v>
      </c>
      <c r="C357" s="59">
        <v>1499</v>
      </c>
      <c r="D357" s="59" t="s">
        <v>803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ht="15.2" spans="1:10">
      <c r="A358" s="58" t="s">
        <v>1144</v>
      </c>
      <c r="B358" s="59">
        <v>970.78</v>
      </c>
      <c r="C358" s="59">
        <v>1499</v>
      </c>
      <c r="D358" s="59" t="s">
        <v>803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ht="15.2" spans="1:10">
      <c r="A359" s="58" t="s">
        <v>305</v>
      </c>
      <c r="B359" s="59">
        <v>523</v>
      </c>
      <c r="C359" s="59">
        <v>1290</v>
      </c>
      <c r="D359" s="59" t="s">
        <v>801</v>
      </c>
      <c r="E359" s="59">
        <v>2.45</v>
      </c>
      <c r="F359" s="59">
        <v>2.45</v>
      </c>
      <c r="G359" s="59">
        <v>0</v>
      </c>
      <c r="H359" s="60">
        <f t="shared" si="19"/>
        <v>2.45</v>
      </c>
      <c r="I359" s="60">
        <f t="shared" si="17"/>
        <v>1281.35</v>
      </c>
      <c r="J359" s="60">
        <f t="shared" si="18"/>
        <v>3160.5</v>
      </c>
    </row>
    <row r="360" ht="15.2" spans="1:10">
      <c r="A360" s="58" t="s">
        <v>1145</v>
      </c>
      <c r="B360" s="59">
        <v>1177.98</v>
      </c>
      <c r="C360" s="59">
        <v>1999</v>
      </c>
      <c r="D360" s="59" t="s">
        <v>803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ht="15.2" spans="1:10">
      <c r="A361" s="58" t="s">
        <v>1146</v>
      </c>
      <c r="B361" s="59">
        <v>1152.97</v>
      </c>
      <c r="C361" s="59">
        <v>1899</v>
      </c>
      <c r="D361" s="59" t="s">
        <v>803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ht="15.2" spans="1:10">
      <c r="A362" s="58" t="s">
        <v>1147</v>
      </c>
      <c r="B362" s="59">
        <v>1416.6</v>
      </c>
      <c r="C362" s="59">
        <v>2199</v>
      </c>
      <c r="D362" s="59" t="s">
        <v>803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ht="15.2" spans="1:10">
      <c r="A363" s="58" t="s">
        <v>1148</v>
      </c>
      <c r="B363" s="59">
        <v>450</v>
      </c>
      <c r="C363" s="59">
        <v>1040</v>
      </c>
      <c r="D363" s="59" t="s">
        <v>801</v>
      </c>
      <c r="E363" s="59">
        <v>4.9</v>
      </c>
      <c r="F363" s="59">
        <v>4.9</v>
      </c>
      <c r="G363" s="59">
        <v>0</v>
      </c>
      <c r="H363" s="60">
        <f t="shared" si="19"/>
        <v>4.9</v>
      </c>
      <c r="I363" s="60">
        <f t="shared" si="17"/>
        <v>2205</v>
      </c>
      <c r="J363" s="60">
        <f t="shared" si="18"/>
        <v>5096</v>
      </c>
    </row>
    <row r="364" ht="15.2" spans="1:10">
      <c r="A364" s="58" t="s">
        <v>1149</v>
      </c>
      <c r="B364" s="59">
        <v>1177.98</v>
      </c>
      <c r="C364" s="59">
        <v>1999</v>
      </c>
      <c r="D364" s="59" t="s">
        <v>803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ht="15.2" spans="1:10">
      <c r="A365" s="58" t="s">
        <v>1150</v>
      </c>
      <c r="B365" s="59">
        <v>1295.84</v>
      </c>
      <c r="C365" s="59">
        <v>2199</v>
      </c>
      <c r="D365" s="59" t="s">
        <v>803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1295.84</v>
      </c>
      <c r="J365" s="60">
        <f t="shared" si="18"/>
        <v>2199</v>
      </c>
    </row>
    <row r="366" ht="15.2" spans="1:10">
      <c r="A366" s="58" t="s">
        <v>1151</v>
      </c>
      <c r="B366" s="59">
        <v>450</v>
      </c>
      <c r="C366" s="59">
        <v>1040</v>
      </c>
      <c r="D366" s="59" t="s">
        <v>801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ht="15.2" spans="1:10">
      <c r="A367" s="58" t="s">
        <v>1152</v>
      </c>
      <c r="B367" s="59">
        <v>1707.76</v>
      </c>
      <c r="C367" s="59">
        <v>2599</v>
      </c>
      <c r="D367" s="59" t="s">
        <v>803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ht="15.2" spans="1:10">
      <c r="A368" s="58" t="s">
        <v>1153</v>
      </c>
      <c r="B368" s="59">
        <v>1517.25</v>
      </c>
      <c r="C368" s="59">
        <v>2499</v>
      </c>
      <c r="D368" s="59" t="s">
        <v>803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ht="15.2" spans="1:10">
      <c r="A369" s="58" t="s">
        <v>1154</v>
      </c>
      <c r="B369" s="59">
        <v>294</v>
      </c>
      <c r="C369" s="59">
        <v>720</v>
      </c>
      <c r="D369" s="59" t="s">
        <v>801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ht="15.2" spans="1:10">
      <c r="A370" s="58" t="s">
        <v>1155</v>
      </c>
      <c r="B370" s="59">
        <v>253</v>
      </c>
      <c r="C370" s="59">
        <v>521</v>
      </c>
      <c r="D370" s="59" t="s">
        <v>801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ht="15.2" spans="1:10">
      <c r="A371" s="58" t="s">
        <v>1156</v>
      </c>
      <c r="B371" s="59">
        <v>1699.39</v>
      </c>
      <c r="C371" s="59">
        <v>2799</v>
      </c>
      <c r="D371" s="59" t="s">
        <v>803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ht="15.2" spans="1:10">
      <c r="A372" s="58" t="s">
        <v>1157</v>
      </c>
      <c r="B372" s="59">
        <v>436</v>
      </c>
      <c r="C372" s="59">
        <v>1004</v>
      </c>
      <c r="D372" s="59" t="s">
        <v>801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ht="15.2" spans="1:10">
      <c r="A373" s="58" t="s">
        <v>1158</v>
      </c>
      <c r="B373" s="59">
        <v>281.6</v>
      </c>
      <c r="C373" s="59">
        <v>874</v>
      </c>
      <c r="D373" s="59" t="s">
        <v>801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</v>
      </c>
      <c r="J373" s="60">
        <f t="shared" si="18"/>
        <v>349.6</v>
      </c>
    </row>
    <row r="374" ht="15.2" spans="1:10">
      <c r="A374" s="58" t="s">
        <v>1159</v>
      </c>
      <c r="B374" s="59">
        <v>0</v>
      </c>
      <c r="C374" s="59">
        <v>0</v>
      </c>
      <c r="D374" s="59" t="s">
        <v>815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ht="15.2" spans="1:10">
      <c r="A375" s="58" t="s">
        <v>1160</v>
      </c>
      <c r="B375" s="59">
        <v>550</v>
      </c>
      <c r="C375" s="59">
        <v>1155</v>
      </c>
      <c r="D375" s="59" t="s">
        <v>801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ht="15.2" spans="1:10">
      <c r="A376" s="58" t="s">
        <v>1161</v>
      </c>
      <c r="B376" s="59">
        <v>1247.8</v>
      </c>
      <c r="C376" s="59">
        <v>1899</v>
      </c>
      <c r="D376" s="59" t="s">
        <v>803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ht="15.2" spans="1:10">
      <c r="A377" s="58" t="s">
        <v>1162</v>
      </c>
      <c r="B377" s="59">
        <v>1839.16</v>
      </c>
      <c r="C377" s="59">
        <v>2799</v>
      </c>
      <c r="D377" s="59" t="s">
        <v>803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ht="15.2" spans="1:10">
      <c r="A378" s="58" t="s">
        <v>1163</v>
      </c>
      <c r="B378" s="59">
        <v>288</v>
      </c>
      <c r="C378" s="59">
        <v>624</v>
      </c>
      <c r="D378" s="59" t="s">
        <v>801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ht="15.2" spans="1:10">
      <c r="A379" s="58" t="s">
        <v>1164</v>
      </c>
      <c r="B379" s="59">
        <v>1274.39</v>
      </c>
      <c r="C379" s="59">
        <v>2099</v>
      </c>
      <c r="D379" s="59" t="s">
        <v>803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ht="15.2" spans="1:10">
      <c r="A380" s="58" t="s">
        <v>1165</v>
      </c>
      <c r="B380" s="59">
        <v>370</v>
      </c>
      <c r="C380" s="59">
        <v>826</v>
      </c>
      <c r="D380" s="59" t="s">
        <v>801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ht="15.2" spans="1:10">
      <c r="A381" s="58" t="s">
        <v>1166</v>
      </c>
      <c r="B381" s="59">
        <v>1395.82</v>
      </c>
      <c r="C381" s="59">
        <v>2299</v>
      </c>
      <c r="D381" s="59" t="s">
        <v>803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ht="15.2" spans="1:10">
      <c r="A382" s="58" t="s">
        <v>1167</v>
      </c>
      <c r="B382" s="59">
        <v>525</v>
      </c>
      <c r="C382" s="59">
        <v>799</v>
      </c>
      <c r="D382" s="59" t="s">
        <v>803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ht="15.2" spans="1:10">
      <c r="A383" s="58" t="s">
        <v>1168</v>
      </c>
      <c r="B383" s="59">
        <v>841.26</v>
      </c>
      <c r="C383" s="59">
        <v>1299</v>
      </c>
      <c r="D383" s="59" t="s">
        <v>803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ht="15.2" spans="1:10">
      <c r="A384" s="58" t="s">
        <v>1169</v>
      </c>
      <c r="B384" s="59">
        <v>4856.54</v>
      </c>
      <c r="C384" s="59">
        <v>7999</v>
      </c>
      <c r="D384" s="59" t="s">
        <v>803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ht="15.2" spans="1:10">
      <c r="A385" s="58" t="s">
        <v>1170</v>
      </c>
      <c r="B385" s="59">
        <v>270</v>
      </c>
      <c r="C385" s="59">
        <v>615</v>
      </c>
      <c r="D385" s="59" t="s">
        <v>801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ht="15.2" spans="1:10">
      <c r="A386" s="58" t="s">
        <v>1171</v>
      </c>
      <c r="B386" s="59">
        <v>913.24</v>
      </c>
      <c r="C386" s="59">
        <v>1399</v>
      </c>
      <c r="D386" s="59" t="s">
        <v>803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</v>
      </c>
      <c r="J386" s="60">
        <f t="shared" ref="J386:J449" si="21">C386*H386</f>
        <v>4197</v>
      </c>
    </row>
    <row r="387" ht="15.2" spans="1:10">
      <c r="A387" s="58" t="s">
        <v>1172</v>
      </c>
      <c r="B387" s="59">
        <v>938.4</v>
      </c>
      <c r="C387" s="59">
        <v>1449</v>
      </c>
      <c r="D387" s="59" t="s">
        <v>803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ht="15.2" spans="1:10">
      <c r="A388" s="58" t="s">
        <v>1173</v>
      </c>
      <c r="B388" s="59">
        <v>2766</v>
      </c>
      <c r="C388" s="59">
        <v>7045</v>
      </c>
      <c r="D388" s="59" t="s">
        <v>801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ht="15.2" spans="1:10">
      <c r="A389" s="58" t="s">
        <v>1174</v>
      </c>
      <c r="B389" s="59">
        <v>1236.91</v>
      </c>
      <c r="C389" s="59">
        <v>2099</v>
      </c>
      <c r="D389" s="59" t="s">
        <v>803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</v>
      </c>
      <c r="J389" s="60">
        <f t="shared" si="21"/>
        <v>2099</v>
      </c>
    </row>
    <row r="390" ht="15.2" spans="1:10">
      <c r="A390" s="58" t="s">
        <v>1175</v>
      </c>
      <c r="B390" s="59">
        <v>351</v>
      </c>
      <c r="C390" s="59">
        <v>775</v>
      </c>
      <c r="D390" s="59" t="s">
        <v>801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ht="15.2" spans="1:10">
      <c r="A391" s="58" t="s">
        <v>1176</v>
      </c>
      <c r="B391" s="59">
        <v>1638.68</v>
      </c>
      <c r="C391" s="59">
        <v>2699</v>
      </c>
      <c r="D391" s="59" t="s">
        <v>803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ht="15.2" spans="1:10">
      <c r="A392" s="58" t="s">
        <v>1177</v>
      </c>
      <c r="B392" s="59">
        <v>1335.11</v>
      </c>
      <c r="C392" s="59">
        <v>2199</v>
      </c>
      <c r="D392" s="59" t="s">
        <v>803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ht="15.2" spans="1:10">
      <c r="A393" s="58" t="s">
        <v>1178</v>
      </c>
      <c r="B393" s="59">
        <v>385</v>
      </c>
      <c r="C393" s="59">
        <v>834</v>
      </c>
      <c r="D393" s="59" t="s">
        <v>801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ht="15.2" spans="1:10">
      <c r="A394" s="58" t="s">
        <v>1179</v>
      </c>
      <c r="B394" s="59">
        <v>901.24</v>
      </c>
      <c r="C394" s="59">
        <v>1399</v>
      </c>
      <c r="D394" s="59" t="s">
        <v>803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ht="15.2" spans="1:10">
      <c r="A395" s="58" t="s">
        <v>1180</v>
      </c>
      <c r="B395" s="59">
        <v>554</v>
      </c>
      <c r="C395" s="59">
        <v>1354</v>
      </c>
      <c r="D395" s="59" t="s">
        <v>801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ht="15.2" spans="1:10">
      <c r="A396" s="58" t="s">
        <v>1181</v>
      </c>
      <c r="B396" s="59">
        <v>973</v>
      </c>
      <c r="C396" s="59">
        <v>2305</v>
      </c>
      <c r="D396" s="59" t="s">
        <v>801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ht="15.2" spans="1:10">
      <c r="A397" s="58" t="s">
        <v>1182</v>
      </c>
      <c r="B397" s="59">
        <v>4249.39</v>
      </c>
      <c r="C397" s="59">
        <v>6999</v>
      </c>
      <c r="D397" s="59" t="s">
        <v>803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</v>
      </c>
      <c r="J397" s="60">
        <f t="shared" si="21"/>
        <v>6999</v>
      </c>
    </row>
    <row r="398" ht="15.2" spans="1:10">
      <c r="A398" s="58" t="s">
        <v>118</v>
      </c>
      <c r="B398" s="59">
        <v>525</v>
      </c>
      <c r="C398" s="59">
        <v>1149</v>
      </c>
      <c r="D398" s="59" t="s">
        <v>801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ht="15.2" spans="1:10">
      <c r="A399" s="58" t="s">
        <v>1183</v>
      </c>
      <c r="B399" s="59">
        <v>871</v>
      </c>
      <c r="C399" s="59">
        <v>1870</v>
      </c>
      <c r="D399" s="59" t="s">
        <v>801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ht="15.2" spans="1:10">
      <c r="A400" s="58" t="s">
        <v>1184</v>
      </c>
      <c r="B400" s="59">
        <v>1313.5</v>
      </c>
      <c r="C400" s="59">
        <v>1999</v>
      </c>
      <c r="D400" s="59" t="s">
        <v>803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ht="15.2" spans="1:10">
      <c r="A401" s="58" t="s">
        <v>1185</v>
      </c>
      <c r="B401" s="59">
        <v>970.82</v>
      </c>
      <c r="C401" s="59">
        <v>1599</v>
      </c>
      <c r="D401" s="59" t="s">
        <v>803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ht="15.2" spans="1:10">
      <c r="A402" s="58" t="s">
        <v>1186</v>
      </c>
      <c r="B402" s="59">
        <v>0</v>
      </c>
      <c r="C402" s="59">
        <v>0</v>
      </c>
      <c r="D402" s="59" t="s">
        <v>815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ht="15.2" spans="1:10">
      <c r="A403" s="58" t="s">
        <v>1187</v>
      </c>
      <c r="B403" s="59">
        <v>970.82</v>
      </c>
      <c r="C403" s="59">
        <v>1599</v>
      </c>
      <c r="D403" s="59" t="s">
        <v>803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ht="15.2" spans="1:10">
      <c r="A404" s="58" t="s">
        <v>1188</v>
      </c>
      <c r="B404" s="59">
        <v>1274.39</v>
      </c>
      <c r="C404" s="59">
        <v>2099</v>
      </c>
      <c r="D404" s="59" t="s">
        <v>803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ht="15.2" spans="1:10">
      <c r="A405" s="58" t="s">
        <v>1189</v>
      </c>
      <c r="B405" s="59">
        <v>1158.92</v>
      </c>
      <c r="C405" s="59">
        <v>1799</v>
      </c>
      <c r="D405" s="59" t="s">
        <v>803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ht="15.2" spans="1:10">
      <c r="A406" s="58" t="s">
        <v>1190</v>
      </c>
      <c r="B406" s="59">
        <v>5892.27</v>
      </c>
      <c r="C406" s="59">
        <v>9999</v>
      </c>
      <c r="D406" s="59" t="s">
        <v>803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ht="15.2" spans="1:10">
      <c r="A407" s="58" t="s">
        <v>1191</v>
      </c>
      <c r="B407" s="59">
        <v>2063.68</v>
      </c>
      <c r="C407" s="59">
        <v>3399</v>
      </c>
      <c r="D407" s="59" t="s">
        <v>803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ht="15.2" spans="1:10">
      <c r="A408" s="58" t="s">
        <v>1192</v>
      </c>
      <c r="B408" s="59">
        <v>970.78</v>
      </c>
      <c r="C408" s="59">
        <v>1499</v>
      </c>
      <c r="D408" s="59" t="s">
        <v>803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ht="15.2" spans="1:10">
      <c r="A409" s="58" t="s">
        <v>1193</v>
      </c>
      <c r="B409" s="59">
        <v>1416.6</v>
      </c>
      <c r="C409" s="59">
        <v>2199</v>
      </c>
      <c r="D409" s="59" t="s">
        <v>803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ht="15.2" spans="1:10">
      <c r="A410" s="58" t="s">
        <v>1194</v>
      </c>
      <c r="B410" s="59">
        <v>1444.92</v>
      </c>
      <c r="C410" s="59">
        <v>2199</v>
      </c>
      <c r="D410" s="59" t="s">
        <v>803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ht="15.2" spans="1:10">
      <c r="A411" s="58" t="s">
        <v>1195</v>
      </c>
      <c r="B411" s="59">
        <v>525</v>
      </c>
      <c r="C411" s="59">
        <v>1102</v>
      </c>
      <c r="D411" s="59" t="s">
        <v>801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ht="15.2" spans="1:10">
      <c r="A412" s="58" t="s">
        <v>1196</v>
      </c>
      <c r="B412" s="59">
        <v>1313.5</v>
      </c>
      <c r="C412" s="59">
        <v>1999</v>
      </c>
      <c r="D412" s="59" t="s">
        <v>803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ht="15.2" spans="1:10">
      <c r="A413" s="58" t="s">
        <v>1197</v>
      </c>
      <c r="B413" s="59">
        <v>3535.13</v>
      </c>
      <c r="C413" s="59">
        <v>5999</v>
      </c>
      <c r="D413" s="59" t="s">
        <v>803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ht="15.2" spans="1:10">
      <c r="A414" s="58" t="s">
        <v>1198</v>
      </c>
      <c r="B414" s="59">
        <v>325</v>
      </c>
      <c r="C414" s="59">
        <v>720</v>
      </c>
      <c r="D414" s="59" t="s">
        <v>801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ht="15.2" spans="1:10">
      <c r="A415" s="58" t="s">
        <v>1199</v>
      </c>
      <c r="B415" s="59">
        <v>646.97</v>
      </c>
      <c r="C415" s="59">
        <v>999</v>
      </c>
      <c r="D415" s="59" t="s">
        <v>803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ht="15.2" spans="1:10">
      <c r="A416" s="58" t="s">
        <v>1200</v>
      </c>
      <c r="B416" s="59">
        <v>1707.76</v>
      </c>
      <c r="C416" s="59">
        <v>2599</v>
      </c>
      <c r="D416" s="59" t="s">
        <v>803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ht="15.2" spans="1:10">
      <c r="A417" s="58" t="s">
        <v>1201</v>
      </c>
      <c r="B417" s="59">
        <v>970.78</v>
      </c>
      <c r="C417" s="59">
        <v>1499</v>
      </c>
      <c r="D417" s="59" t="s">
        <v>803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ht="15.2" spans="1:10">
      <c r="A418" s="58" t="s">
        <v>1202</v>
      </c>
      <c r="B418" s="59">
        <v>283</v>
      </c>
      <c r="C418" s="59">
        <v>581</v>
      </c>
      <c r="D418" s="59" t="s">
        <v>801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84.9</v>
      </c>
      <c r="J418" s="60">
        <f t="shared" si="21"/>
        <v>174.3</v>
      </c>
    </row>
    <row r="419" ht="15.2" spans="1:10">
      <c r="A419" s="58" t="s">
        <v>1203</v>
      </c>
      <c r="B419" s="59">
        <v>1395.82</v>
      </c>
      <c r="C419" s="59">
        <v>2299</v>
      </c>
      <c r="D419" s="59" t="s">
        <v>803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ht="15.2" spans="1:10">
      <c r="A420" s="58" t="s">
        <v>1204</v>
      </c>
      <c r="B420" s="59">
        <v>1820.82</v>
      </c>
      <c r="C420" s="59">
        <v>2999</v>
      </c>
      <c r="D420" s="59" t="s">
        <v>803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ht="15.2" spans="1:10">
      <c r="A421" s="58" t="s">
        <v>1205</v>
      </c>
      <c r="B421" s="59">
        <v>2731.54</v>
      </c>
      <c r="C421" s="59">
        <v>4499</v>
      </c>
      <c r="D421" s="59" t="s">
        <v>803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ht="15.2" spans="1:10">
      <c r="A422" s="58" t="s">
        <v>1206</v>
      </c>
      <c r="B422" s="59">
        <v>1295.84</v>
      </c>
      <c r="C422" s="59">
        <v>2199</v>
      </c>
      <c r="D422" s="59" t="s">
        <v>803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ht="15.2" spans="1:10">
      <c r="A423" s="58" t="s">
        <v>1207</v>
      </c>
      <c r="B423" s="59">
        <v>1247.8</v>
      </c>
      <c r="C423" s="59">
        <v>1899</v>
      </c>
      <c r="D423" s="59" t="s">
        <v>803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ht="15.2" spans="1:10">
      <c r="A424" s="58" t="s">
        <v>1208</v>
      </c>
      <c r="B424" s="59">
        <v>315</v>
      </c>
      <c r="C424" s="59">
        <v>840</v>
      </c>
      <c r="D424" s="59" t="s">
        <v>801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ht="15.2" spans="1:10">
      <c r="A425" s="58" t="s">
        <v>1209</v>
      </c>
      <c r="B425" s="59">
        <v>1295.84</v>
      </c>
      <c r="C425" s="59">
        <v>2199</v>
      </c>
      <c r="D425" s="59" t="s">
        <v>803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2591.68</v>
      </c>
      <c r="J425" s="60">
        <f t="shared" si="21"/>
        <v>4398</v>
      </c>
    </row>
    <row r="426" ht="15.2" spans="1:10">
      <c r="A426" s="58" t="s">
        <v>1210</v>
      </c>
      <c r="B426" s="59">
        <v>511</v>
      </c>
      <c r="C426" s="59">
        <v>1117</v>
      </c>
      <c r="D426" s="59" t="s">
        <v>801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1737.4</v>
      </c>
      <c r="J426" s="60">
        <f t="shared" si="21"/>
        <v>3797.8</v>
      </c>
    </row>
    <row r="427" ht="15.2" spans="1:10">
      <c r="A427" s="58" t="s">
        <v>1211</v>
      </c>
      <c r="B427" s="59">
        <v>2102</v>
      </c>
      <c r="C427" s="59">
        <v>3199</v>
      </c>
      <c r="D427" s="59" t="s">
        <v>803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ht="15.2" spans="1:10">
      <c r="A428" s="58" t="s">
        <v>1212</v>
      </c>
      <c r="B428" s="59">
        <v>375</v>
      </c>
      <c r="C428" s="59">
        <v>860</v>
      </c>
      <c r="D428" s="59" t="s">
        <v>801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ht="15.2" spans="1:10">
      <c r="A429" s="58" t="s">
        <v>1213</v>
      </c>
      <c r="B429" s="59">
        <v>1395.82</v>
      </c>
      <c r="C429" s="59">
        <v>2299</v>
      </c>
      <c r="D429" s="59" t="s">
        <v>803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ht="15.2" spans="1:10">
      <c r="A430" s="58" t="s">
        <v>1214</v>
      </c>
      <c r="B430" s="59">
        <v>665</v>
      </c>
      <c r="C430" s="59">
        <v>1517</v>
      </c>
      <c r="D430" s="59" t="s">
        <v>801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ht="15.2" spans="1:10">
      <c r="A431" s="58" t="s">
        <v>1215</v>
      </c>
      <c r="B431" s="59">
        <v>1444.92</v>
      </c>
      <c r="C431" s="59">
        <v>2199</v>
      </c>
      <c r="D431" s="59" t="s">
        <v>803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ht="15.2" spans="1:10">
      <c r="A432" s="58" t="s">
        <v>1216</v>
      </c>
      <c r="B432" s="59">
        <v>437</v>
      </c>
      <c r="C432" s="59">
        <v>959</v>
      </c>
      <c r="D432" s="59" t="s">
        <v>801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ht="15.2" spans="1:10">
      <c r="A433" s="58" t="s">
        <v>1217</v>
      </c>
      <c r="B433" s="59">
        <v>1510.63</v>
      </c>
      <c r="C433" s="59">
        <v>2299</v>
      </c>
      <c r="D433" s="59" t="s">
        <v>803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ht="15.2" spans="1:10">
      <c r="A434" s="58" t="s">
        <v>1218</v>
      </c>
      <c r="B434" s="59">
        <v>377</v>
      </c>
      <c r="C434" s="59">
        <v>876</v>
      </c>
      <c r="D434" s="59" t="s">
        <v>801</v>
      </c>
      <c r="E434" s="59">
        <v>0.55</v>
      </c>
      <c r="F434" s="59">
        <v>0.55</v>
      </c>
      <c r="G434" s="59">
        <v>0</v>
      </c>
      <c r="H434" s="60">
        <f t="shared" si="22"/>
        <v>0.55</v>
      </c>
      <c r="I434" s="60">
        <f t="shared" si="20"/>
        <v>207.35</v>
      </c>
      <c r="J434" s="60">
        <f t="shared" si="21"/>
        <v>481.8</v>
      </c>
    </row>
    <row r="435" ht="15.2" spans="1:10">
      <c r="A435" s="58" t="s">
        <v>1219</v>
      </c>
      <c r="B435" s="59">
        <v>1379.21</v>
      </c>
      <c r="C435" s="59">
        <v>2099</v>
      </c>
      <c r="D435" s="59" t="s">
        <v>803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ht="15.2" spans="1:10">
      <c r="A436" s="58" t="s">
        <v>1220</v>
      </c>
      <c r="B436" s="59">
        <v>1399</v>
      </c>
      <c r="C436" s="59">
        <v>3185</v>
      </c>
      <c r="D436" s="59" t="s">
        <v>801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ht="15.2" spans="1:10">
      <c r="A437" s="58" t="s">
        <v>1221</v>
      </c>
      <c r="B437" s="59">
        <v>3535.13</v>
      </c>
      <c r="C437" s="59">
        <v>5999</v>
      </c>
      <c r="D437" s="59" t="s">
        <v>803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ht="15.2" spans="1:10">
      <c r="A438" s="58" t="s">
        <v>1222</v>
      </c>
      <c r="B438" s="59">
        <v>372</v>
      </c>
      <c r="C438" s="59">
        <v>862</v>
      </c>
      <c r="D438" s="59" t="s">
        <v>801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</v>
      </c>
      <c r="J438" s="60">
        <f t="shared" si="21"/>
        <v>86.2</v>
      </c>
    </row>
    <row r="439" ht="15.2" spans="1:10">
      <c r="A439" s="58" t="s">
        <v>1223</v>
      </c>
      <c r="B439" s="59">
        <v>286.3</v>
      </c>
      <c r="C439" s="59">
        <v>859</v>
      </c>
      <c r="D439" s="59" t="s">
        <v>801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ht="15.2" spans="1:10">
      <c r="A440" s="58" t="s">
        <v>1224</v>
      </c>
      <c r="B440" s="59">
        <v>1970.58</v>
      </c>
      <c r="C440" s="59">
        <v>2999</v>
      </c>
      <c r="D440" s="59" t="s">
        <v>803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ht="15.2" spans="1:10">
      <c r="A441" s="58" t="s">
        <v>1225</v>
      </c>
      <c r="B441" s="59">
        <v>1313.5</v>
      </c>
      <c r="C441" s="59">
        <v>1999</v>
      </c>
      <c r="D441" s="59" t="s">
        <v>803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ht="15.2" spans="1:10">
      <c r="A442" s="58" t="s">
        <v>1226</v>
      </c>
      <c r="B442" s="59">
        <v>656.42</v>
      </c>
      <c r="C442" s="59">
        <v>999</v>
      </c>
      <c r="D442" s="59" t="s">
        <v>803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ht="15.2" spans="1:10">
      <c r="A443" s="58" t="s">
        <v>1227</v>
      </c>
      <c r="B443" s="59">
        <v>1177.98</v>
      </c>
      <c r="C443" s="59">
        <v>1999</v>
      </c>
      <c r="D443" s="59" t="s">
        <v>803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ht="15.2" spans="1:10">
      <c r="A444" s="58" t="s">
        <v>1228</v>
      </c>
      <c r="B444" s="59">
        <v>1295.84</v>
      </c>
      <c r="C444" s="59">
        <v>2199</v>
      </c>
      <c r="D444" s="59" t="s">
        <v>803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1295.84</v>
      </c>
      <c r="J444" s="60">
        <f t="shared" si="21"/>
        <v>2199</v>
      </c>
    </row>
    <row r="445" ht="15.2" spans="1:10">
      <c r="A445" s="58" t="s">
        <v>1229</v>
      </c>
      <c r="B445" s="59">
        <v>559.3</v>
      </c>
      <c r="C445" s="59">
        <v>1678</v>
      </c>
      <c r="D445" s="59" t="s">
        <v>801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ht="15.2" spans="1:10">
      <c r="A446" s="58" t="s">
        <v>1230</v>
      </c>
      <c r="B446" s="59">
        <v>2731.54</v>
      </c>
      <c r="C446" s="59">
        <v>4499</v>
      </c>
      <c r="D446" s="59" t="s">
        <v>803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ht="15.2" spans="1:10">
      <c r="A447" s="58" t="s">
        <v>1231</v>
      </c>
      <c r="B447" s="59">
        <v>299</v>
      </c>
      <c r="C447" s="59">
        <v>628</v>
      </c>
      <c r="D447" s="59" t="s">
        <v>801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3348.8</v>
      </c>
      <c r="J447" s="60">
        <f t="shared" si="21"/>
        <v>7033.6</v>
      </c>
    </row>
    <row r="448" ht="15.2" spans="1:10">
      <c r="A448" s="58" t="s">
        <v>1232</v>
      </c>
      <c r="B448" s="59">
        <v>515</v>
      </c>
      <c r="C448" s="59">
        <v>1125</v>
      </c>
      <c r="D448" s="59" t="s">
        <v>801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ht="15.2" spans="1:10">
      <c r="A449" s="58" t="s">
        <v>1233</v>
      </c>
      <c r="B449" s="59">
        <v>582.21</v>
      </c>
      <c r="C449" s="59">
        <v>899</v>
      </c>
      <c r="D449" s="59" t="s">
        <v>803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ht="15.2" spans="1:10">
      <c r="A450" s="58" t="s">
        <v>1234</v>
      </c>
      <c r="B450" s="59">
        <v>1576.34</v>
      </c>
      <c r="C450" s="59">
        <v>2399</v>
      </c>
      <c r="D450" s="59" t="s">
        <v>803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ht="15.2" spans="1:10">
      <c r="A451" s="58" t="s">
        <v>1235</v>
      </c>
      <c r="B451" s="59">
        <v>589</v>
      </c>
      <c r="C451" s="59">
        <v>1303</v>
      </c>
      <c r="D451" s="59" t="s">
        <v>801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</v>
      </c>
      <c r="J451" s="60">
        <f t="shared" si="24"/>
        <v>521.2</v>
      </c>
    </row>
    <row r="452" ht="15.2" spans="1:10">
      <c r="A452" s="58" t="s">
        <v>1236</v>
      </c>
      <c r="B452" s="59">
        <v>1638.68</v>
      </c>
      <c r="C452" s="59">
        <v>2699</v>
      </c>
      <c r="D452" s="59" t="s">
        <v>803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ht="15.2" spans="1:10">
      <c r="A453" s="58" t="s">
        <v>1237</v>
      </c>
      <c r="B453" s="59">
        <v>1313.5</v>
      </c>
      <c r="C453" s="59">
        <v>1999</v>
      </c>
      <c r="D453" s="59" t="s">
        <v>803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ht="15.2" spans="1:10">
      <c r="A454" s="58" t="s">
        <v>1238</v>
      </c>
      <c r="B454" s="59">
        <v>288</v>
      </c>
      <c r="C454" s="59">
        <v>655</v>
      </c>
      <c r="D454" s="59" t="s">
        <v>801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</v>
      </c>
      <c r="J454" s="60">
        <f t="shared" si="24"/>
        <v>7467</v>
      </c>
    </row>
    <row r="455" ht="15.2" spans="1:10">
      <c r="A455" s="58" t="s">
        <v>1239</v>
      </c>
      <c r="B455" s="59">
        <v>1576.34</v>
      </c>
      <c r="C455" s="59">
        <v>2399</v>
      </c>
      <c r="D455" s="59" t="s">
        <v>803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ht="15.2" spans="1:10">
      <c r="A456" s="58" t="s">
        <v>1240</v>
      </c>
      <c r="B456" s="59">
        <v>590.71</v>
      </c>
      <c r="C456" s="59">
        <v>899</v>
      </c>
      <c r="D456" s="59" t="s">
        <v>803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ht="15.2" spans="1:10">
      <c r="A457" s="58" t="s">
        <v>1241</v>
      </c>
      <c r="B457" s="59">
        <v>428</v>
      </c>
      <c r="C457" s="59">
        <v>982</v>
      </c>
      <c r="D457" s="59" t="s">
        <v>801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</v>
      </c>
      <c r="J457" s="60">
        <f t="shared" si="24"/>
        <v>4615.4</v>
      </c>
    </row>
    <row r="458" ht="15.2" spans="1:10">
      <c r="A458" s="58" t="s">
        <v>1242</v>
      </c>
      <c r="B458" s="59">
        <v>646.97</v>
      </c>
      <c r="C458" s="59">
        <v>999</v>
      </c>
      <c r="D458" s="59" t="s">
        <v>803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ht="15.2" spans="1:10">
      <c r="A459" s="58" t="s">
        <v>1243</v>
      </c>
      <c r="B459" s="59">
        <v>1287.76</v>
      </c>
      <c r="C459" s="59">
        <v>1999</v>
      </c>
      <c r="D459" s="59" t="s">
        <v>803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ht="15.2" spans="1:10">
      <c r="A460" s="58" t="s">
        <v>1244</v>
      </c>
      <c r="B460" s="59">
        <v>1444.92</v>
      </c>
      <c r="C460" s="59">
        <v>2199</v>
      </c>
      <c r="D460" s="59" t="s">
        <v>803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ht="15.2" spans="1:10">
      <c r="A461" s="58" t="s">
        <v>1245</v>
      </c>
      <c r="B461" s="59">
        <v>1247.8</v>
      </c>
      <c r="C461" s="59">
        <v>1899</v>
      </c>
      <c r="D461" s="59" t="s">
        <v>803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ht="15.2" spans="1:10">
      <c r="A462" s="58" t="s">
        <v>1246</v>
      </c>
      <c r="B462" s="59">
        <v>425</v>
      </c>
      <c r="C462" s="59">
        <v>893</v>
      </c>
      <c r="D462" s="59" t="s">
        <v>801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</v>
      </c>
    </row>
    <row r="463" ht="15.2" spans="1:10">
      <c r="A463" s="58" t="s">
        <v>717</v>
      </c>
      <c r="B463" s="59">
        <v>661</v>
      </c>
      <c r="C463" s="59">
        <v>1471</v>
      </c>
      <c r="D463" s="59" t="s">
        <v>801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3172.8</v>
      </c>
      <c r="J463" s="60">
        <f t="shared" si="24"/>
        <v>7060.8</v>
      </c>
    </row>
    <row r="464" ht="15.2" spans="1:10">
      <c r="A464" s="58" t="s">
        <v>1247</v>
      </c>
      <c r="B464" s="59">
        <v>445</v>
      </c>
      <c r="C464" s="59">
        <v>1025</v>
      </c>
      <c r="D464" s="59" t="s">
        <v>801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ht="15.2" spans="1:10">
      <c r="A465" s="58" t="s">
        <v>1248</v>
      </c>
      <c r="B465" s="59">
        <v>4124.41</v>
      </c>
      <c r="C465" s="59">
        <v>6999</v>
      </c>
      <c r="D465" s="59" t="s">
        <v>803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ht="15.2" spans="1:10">
      <c r="A466" s="58" t="s">
        <v>1249</v>
      </c>
      <c r="B466" s="59">
        <v>369</v>
      </c>
      <c r="C466" s="59">
        <v>880</v>
      </c>
      <c r="D466" s="59" t="s">
        <v>801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</v>
      </c>
      <c r="J466" s="60">
        <f t="shared" si="24"/>
        <v>9284</v>
      </c>
    </row>
    <row r="467" ht="15.2" spans="1:10">
      <c r="A467" s="58" t="s">
        <v>1250</v>
      </c>
      <c r="B467" s="59">
        <v>1395.82</v>
      </c>
      <c r="C467" s="59">
        <v>2299</v>
      </c>
      <c r="D467" s="59" t="s">
        <v>803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ht="15.2" spans="1:10">
      <c r="A468" s="58" t="s">
        <v>1251</v>
      </c>
      <c r="B468" s="59">
        <v>1213.68</v>
      </c>
      <c r="C468" s="59">
        <v>1999</v>
      </c>
      <c r="D468" s="59" t="s">
        <v>803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ht="15.2" spans="1:10">
      <c r="A469" s="58" t="s">
        <v>1252</v>
      </c>
      <c r="B469" s="59">
        <v>1158.92</v>
      </c>
      <c r="C469" s="59">
        <v>1799</v>
      </c>
      <c r="D469" s="59" t="s">
        <v>803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ht="15.2" spans="1:10">
      <c r="A470" s="58" t="s">
        <v>1253</v>
      </c>
      <c r="B470" s="59">
        <v>525</v>
      </c>
      <c r="C470" s="59">
        <v>799</v>
      </c>
      <c r="D470" s="59" t="s">
        <v>803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ht="15.2" spans="1:10">
      <c r="A471" s="58" t="s">
        <v>1254</v>
      </c>
      <c r="B471" s="59">
        <v>2063.68</v>
      </c>
      <c r="C471" s="59">
        <v>3399</v>
      </c>
      <c r="D471" s="59" t="s">
        <v>803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2063.68</v>
      </c>
      <c r="J471" s="60">
        <f t="shared" si="24"/>
        <v>3399</v>
      </c>
    </row>
    <row r="472" ht="15.2" spans="1:10">
      <c r="A472" s="58" t="s">
        <v>1255</v>
      </c>
      <c r="B472" s="59">
        <v>517.45</v>
      </c>
      <c r="C472" s="59">
        <v>799</v>
      </c>
      <c r="D472" s="59" t="s">
        <v>803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</v>
      </c>
      <c r="J472" s="60">
        <f t="shared" si="24"/>
        <v>799</v>
      </c>
    </row>
    <row r="473" ht="15.2" spans="1:10">
      <c r="A473" s="58" t="s">
        <v>1256</v>
      </c>
      <c r="B473" s="59">
        <v>1274.4</v>
      </c>
      <c r="C473" s="59">
        <v>2099</v>
      </c>
      <c r="D473" s="59" t="s">
        <v>803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</v>
      </c>
      <c r="J473" s="60">
        <f t="shared" si="24"/>
        <v>4198</v>
      </c>
    </row>
    <row r="474" ht="15.2" spans="1:10">
      <c r="A474" s="58" t="s">
        <v>1257</v>
      </c>
      <c r="B474" s="59">
        <v>1274.63</v>
      </c>
      <c r="C474" s="59">
        <v>3115</v>
      </c>
      <c r="D474" s="59" t="s">
        <v>801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</v>
      </c>
      <c r="J474" s="60">
        <f t="shared" si="24"/>
        <v>33642</v>
      </c>
    </row>
    <row r="475" ht="15.2" spans="1:10">
      <c r="A475" s="58" t="s">
        <v>1258</v>
      </c>
      <c r="B475" s="59">
        <v>525</v>
      </c>
      <c r="C475" s="59">
        <v>1102</v>
      </c>
      <c r="D475" s="59" t="s">
        <v>801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ht="15.2" spans="1:10">
      <c r="A476" s="58" t="s">
        <v>1259</v>
      </c>
      <c r="B476" s="59">
        <v>1576.34</v>
      </c>
      <c r="C476" s="59">
        <v>2399</v>
      </c>
      <c r="D476" s="59" t="s">
        <v>803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ht="15.2" spans="1:10">
      <c r="A477" s="58" t="s">
        <v>1260</v>
      </c>
      <c r="B477" s="59">
        <v>525</v>
      </c>
      <c r="C477" s="59">
        <v>1102</v>
      </c>
      <c r="D477" s="59" t="s">
        <v>801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ht="15.2" spans="1:10">
      <c r="A478" s="58" t="s">
        <v>1261</v>
      </c>
      <c r="B478" s="59">
        <v>1158.92</v>
      </c>
      <c r="C478" s="59">
        <v>1799</v>
      </c>
      <c r="D478" s="59" t="s">
        <v>803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ht="15.2" spans="1:10">
      <c r="A479" s="58" t="s">
        <v>1262</v>
      </c>
      <c r="B479" s="59">
        <v>1354.77</v>
      </c>
      <c r="C479" s="59">
        <v>2299</v>
      </c>
      <c r="D479" s="59" t="s">
        <v>803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ht="15.2" spans="1:10">
      <c r="A480" s="58" t="s">
        <v>1263</v>
      </c>
      <c r="B480" s="59">
        <v>564</v>
      </c>
      <c r="C480" s="59">
        <v>1421</v>
      </c>
      <c r="D480" s="59" t="s">
        <v>801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ht="15.2" spans="1:10">
      <c r="A481" s="58" t="s">
        <v>1264</v>
      </c>
      <c r="B481" s="59">
        <v>1803.12</v>
      </c>
      <c r="C481" s="59">
        <v>2799</v>
      </c>
      <c r="D481" s="59" t="s">
        <v>803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ht="15.2" spans="1:10">
      <c r="A482" s="58" t="s">
        <v>1265</v>
      </c>
      <c r="B482" s="59">
        <v>1416.6</v>
      </c>
      <c r="C482" s="59">
        <v>2199</v>
      </c>
      <c r="D482" s="59" t="s">
        <v>803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ht="15.2" spans="1:10">
      <c r="A483" s="58" t="s">
        <v>1266</v>
      </c>
      <c r="B483" s="59">
        <v>1904.87</v>
      </c>
      <c r="C483" s="59">
        <v>2899</v>
      </c>
      <c r="D483" s="59" t="s">
        <v>803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ht="15.2" spans="1:10">
      <c r="A484" s="58" t="s">
        <v>1267</v>
      </c>
      <c r="B484" s="59">
        <v>383</v>
      </c>
      <c r="C484" s="59">
        <v>832</v>
      </c>
      <c r="D484" s="59" t="s">
        <v>801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3676.8</v>
      </c>
      <c r="J484" s="60">
        <f t="shared" si="24"/>
        <v>7987.2</v>
      </c>
    </row>
    <row r="485" ht="15.2" spans="1:10">
      <c r="A485" s="58" t="s">
        <v>1268</v>
      </c>
      <c r="B485" s="59">
        <v>1274.4</v>
      </c>
      <c r="C485" s="59">
        <v>2099</v>
      </c>
      <c r="D485" s="59" t="s">
        <v>803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ht="15.2" spans="1:10">
      <c r="A486" s="58" t="s">
        <v>1269</v>
      </c>
      <c r="B486" s="59">
        <v>1699</v>
      </c>
      <c r="C486" s="59">
        <v>3855</v>
      </c>
      <c r="D486" s="59" t="s">
        <v>801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ht="15.2" spans="1:10">
      <c r="A487" s="58" t="s">
        <v>1270</v>
      </c>
      <c r="B487" s="59">
        <v>1456.54</v>
      </c>
      <c r="C487" s="59">
        <v>2399</v>
      </c>
      <c r="D487" s="59" t="s">
        <v>803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ht="15.2" spans="1:10">
      <c r="A488" s="58" t="s">
        <v>1271</v>
      </c>
      <c r="B488" s="59">
        <v>4249.39</v>
      </c>
      <c r="C488" s="59">
        <v>6999</v>
      </c>
      <c r="D488" s="59" t="s">
        <v>803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</v>
      </c>
      <c r="J488" s="60">
        <f t="shared" si="24"/>
        <v>6999</v>
      </c>
    </row>
    <row r="489" ht="15.2" spans="1:10">
      <c r="A489" s="58" t="s">
        <v>1272</v>
      </c>
      <c r="B489" s="59">
        <v>776.49</v>
      </c>
      <c r="C489" s="59">
        <v>1199</v>
      </c>
      <c r="D489" s="59" t="s">
        <v>803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ht="15.2" spans="1:10">
      <c r="A490" s="58" t="s">
        <v>1273</v>
      </c>
      <c r="B490" s="59">
        <v>1416.6</v>
      </c>
      <c r="C490" s="59">
        <v>2199</v>
      </c>
      <c r="D490" s="59" t="s">
        <v>803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ht="15.2" spans="1:10">
      <c r="A491" s="58" t="s">
        <v>1274</v>
      </c>
      <c r="B491" s="59">
        <v>769</v>
      </c>
      <c r="C491" s="59">
        <v>1825</v>
      </c>
      <c r="D491" s="59" t="s">
        <v>801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</v>
      </c>
      <c r="J491" s="60">
        <f t="shared" si="24"/>
        <v>10311.25</v>
      </c>
    </row>
    <row r="492" ht="15.2" spans="1:10">
      <c r="A492" s="58" t="s">
        <v>1275</v>
      </c>
      <c r="B492" s="59">
        <v>1576.34</v>
      </c>
      <c r="C492" s="59">
        <v>2499</v>
      </c>
      <c r="D492" s="59" t="s">
        <v>803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ht="15.2" spans="1:10">
      <c r="A493" s="58" t="s">
        <v>1276</v>
      </c>
      <c r="B493" s="59">
        <v>970.82</v>
      </c>
      <c r="C493" s="59">
        <v>1599</v>
      </c>
      <c r="D493" s="59" t="s">
        <v>803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ht="15.2" spans="1:10">
      <c r="A494" s="58" t="s">
        <v>1277</v>
      </c>
      <c r="B494" s="59">
        <v>1707.76</v>
      </c>
      <c r="C494" s="59">
        <v>2599</v>
      </c>
      <c r="D494" s="59" t="s">
        <v>803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ht="15.2" spans="1:10">
      <c r="A495" s="58" t="s">
        <v>1278</v>
      </c>
      <c r="B495" s="59">
        <v>1599</v>
      </c>
      <c r="C495" s="59">
        <v>4198</v>
      </c>
      <c r="D495" s="59" t="s">
        <v>801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ht="15.2" spans="1:10">
      <c r="A496" s="58" t="s">
        <v>1279</v>
      </c>
      <c r="B496" s="59">
        <v>319.2</v>
      </c>
      <c r="C496" s="59">
        <v>838</v>
      </c>
      <c r="D496" s="59" t="s">
        <v>801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ht="15.2" spans="1:10">
      <c r="A497" s="58" t="s">
        <v>1280</v>
      </c>
      <c r="B497" s="59">
        <v>1213.68</v>
      </c>
      <c r="C497" s="59">
        <v>1999</v>
      </c>
      <c r="D497" s="59" t="s">
        <v>803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ht="15.2" spans="1:10">
      <c r="A498" s="58" t="s">
        <v>1281</v>
      </c>
      <c r="B498" s="59">
        <v>1699.4</v>
      </c>
      <c r="C498" s="59">
        <v>2799</v>
      </c>
      <c r="D498" s="59" t="s">
        <v>803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ht="15.2" spans="1:10">
      <c r="A499" s="58" t="s">
        <v>1282</v>
      </c>
      <c r="B499" s="59">
        <v>836.82</v>
      </c>
      <c r="C499" s="59">
        <v>1299</v>
      </c>
      <c r="D499" s="59" t="s">
        <v>803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ht="15.2" spans="1:10">
      <c r="A500" s="58" t="s">
        <v>1283</v>
      </c>
      <c r="B500" s="59">
        <v>800</v>
      </c>
      <c r="C500" s="59">
        <v>1999</v>
      </c>
      <c r="D500" s="59" t="s">
        <v>801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</v>
      </c>
    </row>
    <row r="501" ht="15.2" spans="1:10">
      <c r="A501" s="58" t="s">
        <v>1284</v>
      </c>
      <c r="B501" s="59">
        <v>1510.63</v>
      </c>
      <c r="C501" s="59">
        <v>2299</v>
      </c>
      <c r="D501" s="59" t="s">
        <v>803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ht="15.2" spans="1:10">
      <c r="A502" s="58" t="s">
        <v>1285</v>
      </c>
      <c r="B502" s="59">
        <v>1416.6</v>
      </c>
      <c r="C502" s="59">
        <v>2199</v>
      </c>
      <c r="D502" s="59" t="s">
        <v>803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ht="15.2" spans="1:10">
      <c r="A503" s="58" t="s">
        <v>1286</v>
      </c>
      <c r="B503" s="59">
        <v>1092.25</v>
      </c>
      <c r="C503" s="59">
        <v>1799</v>
      </c>
      <c r="D503" s="59" t="s">
        <v>803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ht="15.2" spans="1:10">
      <c r="A504" s="58" t="s">
        <v>1287</v>
      </c>
      <c r="B504" s="59">
        <v>1092.25</v>
      </c>
      <c r="C504" s="59">
        <v>1799</v>
      </c>
      <c r="D504" s="59" t="s">
        <v>803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ht="15.2" spans="1:10">
      <c r="A505" s="58" t="s">
        <v>1288</v>
      </c>
      <c r="B505" s="59">
        <v>410</v>
      </c>
      <c r="C505" s="59">
        <v>966</v>
      </c>
      <c r="D505" s="59" t="s">
        <v>801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ht="15.2" spans="1:10">
      <c r="A506" s="58" t="s">
        <v>1289</v>
      </c>
      <c r="B506" s="59">
        <v>1313.5</v>
      </c>
      <c r="C506" s="59">
        <v>1999</v>
      </c>
      <c r="D506" s="59" t="s">
        <v>803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ht="15.2" spans="1:10">
      <c r="A507" s="58" t="s">
        <v>1290</v>
      </c>
      <c r="B507" s="59">
        <v>1638.68</v>
      </c>
      <c r="C507" s="59">
        <v>2699</v>
      </c>
      <c r="D507" s="59" t="s">
        <v>803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ht="15.2" spans="1:10">
      <c r="A508" s="58" t="s">
        <v>1291</v>
      </c>
      <c r="B508" s="59">
        <v>426</v>
      </c>
      <c r="C508" s="59">
        <v>1016</v>
      </c>
      <c r="D508" s="59" t="s">
        <v>801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11379.2</v>
      </c>
    </row>
    <row r="509" ht="15.2" spans="1:10">
      <c r="A509" s="58" t="s">
        <v>1292</v>
      </c>
      <c r="B509" s="59">
        <v>1472.63</v>
      </c>
      <c r="C509" s="59">
        <v>2499</v>
      </c>
      <c r="D509" s="59" t="s">
        <v>803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ht="15.2" spans="1:10">
      <c r="A510" s="58" t="s">
        <v>1293</v>
      </c>
      <c r="B510" s="59">
        <v>984.96</v>
      </c>
      <c r="C510" s="59">
        <v>1499</v>
      </c>
      <c r="D510" s="59" t="s">
        <v>803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ht="15.2" spans="1:10">
      <c r="A511" s="58" t="s">
        <v>1294</v>
      </c>
      <c r="B511" s="59">
        <v>1003</v>
      </c>
      <c r="C511" s="59">
        <v>2520</v>
      </c>
      <c r="D511" s="59" t="s">
        <v>801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ht="15.2" spans="1:10">
      <c r="A512" s="58" t="s">
        <v>1295</v>
      </c>
      <c r="B512" s="59">
        <v>1236.91</v>
      </c>
      <c r="C512" s="59">
        <v>2099</v>
      </c>
      <c r="D512" s="59" t="s">
        <v>803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ht="15.2" spans="1:10">
      <c r="A513" s="58" t="s">
        <v>1296</v>
      </c>
      <c r="B513" s="59">
        <v>296</v>
      </c>
      <c r="C513" s="59">
        <v>670</v>
      </c>
      <c r="D513" s="59" t="s">
        <v>801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ht="15.2" spans="1:10">
      <c r="A514" s="58" t="s">
        <v>1297</v>
      </c>
      <c r="B514" s="59">
        <v>384</v>
      </c>
      <c r="C514" s="59">
        <v>907</v>
      </c>
      <c r="D514" s="59" t="s">
        <v>801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ht="15.2" spans="1:10">
      <c r="A515" s="58" t="s">
        <v>1298</v>
      </c>
      <c r="B515" s="59">
        <v>1247.8</v>
      </c>
      <c r="C515" s="59">
        <v>1899</v>
      </c>
      <c r="D515" s="59" t="s">
        <v>803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ht="15.2" spans="1:10">
      <c r="A516" s="58" t="s">
        <v>1299</v>
      </c>
      <c r="B516" s="59">
        <v>1481.02</v>
      </c>
      <c r="C516" s="59">
        <v>2299</v>
      </c>
      <c r="D516" s="59" t="s">
        <v>803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ht="15.2" spans="1:10">
      <c r="A517" s="58" t="s">
        <v>1300</v>
      </c>
      <c r="B517" s="59">
        <v>600</v>
      </c>
      <c r="C517" s="59">
        <v>1324</v>
      </c>
      <c r="D517" s="59" t="s">
        <v>801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ht="15.2" spans="1:10">
      <c r="A518" s="58" t="s">
        <v>1301</v>
      </c>
      <c r="B518" s="59">
        <v>4124.41</v>
      </c>
      <c r="C518" s="59">
        <v>6999</v>
      </c>
      <c r="D518" s="59" t="s">
        <v>803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ht="15.2" spans="1:10">
      <c r="A519" s="58" t="s">
        <v>1302</v>
      </c>
      <c r="B519" s="59">
        <v>4124.41</v>
      </c>
      <c r="C519" s="59">
        <v>6999</v>
      </c>
      <c r="D519" s="59" t="s">
        <v>803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ht="15.2" spans="1:10">
      <c r="A520" s="58" t="s">
        <v>1303</v>
      </c>
      <c r="B520" s="59">
        <v>1576.34</v>
      </c>
      <c r="C520" s="59">
        <v>2399</v>
      </c>
      <c r="D520" s="59" t="s">
        <v>803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ht="15.2" spans="1:10">
      <c r="A521" s="58" t="s">
        <v>1304</v>
      </c>
      <c r="B521" s="59">
        <v>656.42</v>
      </c>
      <c r="C521" s="59">
        <v>999</v>
      </c>
      <c r="D521" s="59" t="s">
        <v>803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ht="15.2" spans="1:10">
      <c r="A522" s="58" t="s">
        <v>1305</v>
      </c>
      <c r="B522" s="59">
        <v>325</v>
      </c>
      <c r="C522" s="59">
        <v>683</v>
      </c>
      <c r="D522" s="59" t="s">
        <v>801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ht="15.2" spans="1:10">
      <c r="A523" s="58" t="s">
        <v>1306</v>
      </c>
      <c r="B523" s="59">
        <v>460</v>
      </c>
      <c r="C523" s="59">
        <v>1132</v>
      </c>
      <c r="D523" s="59" t="s">
        <v>801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ht="15.2" spans="1:10">
      <c r="A524" s="58" t="s">
        <v>1307</v>
      </c>
      <c r="B524" s="59">
        <v>2063.68</v>
      </c>
      <c r="C524" s="59">
        <v>3399</v>
      </c>
      <c r="D524" s="59" t="s">
        <v>803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ht="15.2" spans="1:10">
      <c r="A525" s="58" t="s">
        <v>1308</v>
      </c>
      <c r="B525" s="59">
        <v>1517.25</v>
      </c>
      <c r="C525" s="59">
        <v>2499</v>
      </c>
      <c r="D525" s="59" t="s">
        <v>803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ht="15.2" spans="1:10">
      <c r="A526" s="58" t="s">
        <v>1309</v>
      </c>
      <c r="B526" s="59">
        <v>1517.25</v>
      </c>
      <c r="C526" s="59">
        <v>2499</v>
      </c>
      <c r="D526" s="59" t="s">
        <v>803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ht="15.2" spans="1:10">
      <c r="A527" s="58" t="s">
        <v>1310</v>
      </c>
      <c r="B527" s="59">
        <v>1335.11</v>
      </c>
      <c r="C527" s="59">
        <v>2199</v>
      </c>
      <c r="D527" s="59" t="s">
        <v>803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ht="15.2" spans="1:10">
      <c r="A528" s="58" t="s">
        <v>1311</v>
      </c>
      <c r="B528" s="59">
        <v>2102</v>
      </c>
      <c r="C528" s="59">
        <v>3199</v>
      </c>
      <c r="D528" s="59" t="s">
        <v>803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ht="15.2" spans="1:10">
      <c r="A529" s="58" t="s">
        <v>1312</v>
      </c>
      <c r="B529" s="59">
        <v>351.7</v>
      </c>
      <c r="C529" s="59">
        <v>1093</v>
      </c>
      <c r="D529" s="59" t="s">
        <v>801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228.605</v>
      </c>
      <c r="J529" s="60">
        <f t="shared" si="27"/>
        <v>710.45</v>
      </c>
    </row>
    <row r="530" ht="15.2" spans="1:10">
      <c r="A530" s="58" t="s">
        <v>1313</v>
      </c>
      <c r="B530" s="59">
        <v>970.78</v>
      </c>
      <c r="C530" s="59">
        <v>1499</v>
      </c>
      <c r="D530" s="59" t="s">
        <v>803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ht="15.2" spans="1:10">
      <c r="A531" s="58" t="s">
        <v>1314</v>
      </c>
      <c r="B531" s="59">
        <v>452.69</v>
      </c>
      <c r="C531" s="59">
        <v>699</v>
      </c>
      <c r="D531" s="59" t="s">
        <v>803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ht="15.2" spans="1:10">
      <c r="A532" s="58" t="s">
        <v>1315</v>
      </c>
      <c r="B532" s="59">
        <v>146</v>
      </c>
      <c r="C532" s="59">
        <v>155</v>
      </c>
      <c r="D532" s="59" t="s">
        <v>801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</v>
      </c>
      <c r="J532" s="60">
        <f t="shared" si="27"/>
        <v>7.75</v>
      </c>
    </row>
    <row r="533" ht="15.2" spans="1:10">
      <c r="A533" s="58" t="s">
        <v>1316</v>
      </c>
      <c r="B533" s="59">
        <v>615</v>
      </c>
      <c r="C533" s="59">
        <v>1354</v>
      </c>
      <c r="D533" s="59" t="s">
        <v>801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ht="15.2" spans="1:10">
      <c r="A534" s="58" t="s">
        <v>1317</v>
      </c>
      <c r="B534" s="59">
        <v>776.49</v>
      </c>
      <c r="C534" s="59">
        <v>1199</v>
      </c>
      <c r="D534" s="59" t="s">
        <v>803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ht="15.2" spans="1:10">
      <c r="A535" s="58" t="s">
        <v>1318</v>
      </c>
      <c r="B535" s="59">
        <v>1577.96</v>
      </c>
      <c r="C535" s="59">
        <v>2599</v>
      </c>
      <c r="D535" s="59" t="s">
        <v>803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ht="15.2" spans="1:10">
      <c r="A536" s="58" t="s">
        <v>1319</v>
      </c>
      <c r="B536" s="59">
        <v>511</v>
      </c>
      <c r="C536" s="59">
        <v>1188</v>
      </c>
      <c r="D536" s="59" t="s">
        <v>801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</v>
      </c>
    </row>
    <row r="537" ht="15.2" spans="1:10">
      <c r="A537" s="58" t="s">
        <v>1320</v>
      </c>
      <c r="B537" s="59">
        <v>307</v>
      </c>
      <c r="C537" s="59">
        <v>745</v>
      </c>
      <c r="D537" s="59" t="s">
        <v>801</v>
      </c>
      <c r="E537" s="59">
        <v>1.1</v>
      </c>
      <c r="F537" s="59">
        <v>1.1</v>
      </c>
      <c r="G537" s="59">
        <v>0</v>
      </c>
      <c r="H537" s="60">
        <f t="shared" si="25"/>
        <v>1.1</v>
      </c>
      <c r="I537" s="60">
        <f t="shared" si="26"/>
        <v>337.7</v>
      </c>
      <c r="J537" s="60">
        <f t="shared" si="27"/>
        <v>819.5</v>
      </c>
    </row>
    <row r="538" ht="15.2" spans="1:10">
      <c r="A538" s="58" t="s">
        <v>1321</v>
      </c>
      <c r="B538" s="59">
        <v>1510.63</v>
      </c>
      <c r="C538" s="59">
        <v>2299</v>
      </c>
      <c r="D538" s="59" t="s">
        <v>803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ht="15.2" spans="1:10">
      <c r="A539" s="58" t="s">
        <v>1322</v>
      </c>
      <c r="B539" s="59">
        <v>0</v>
      </c>
      <c r="C539" s="59">
        <v>0</v>
      </c>
      <c r="D539" s="59" t="s">
        <v>815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ht="15.2" spans="1:10">
      <c r="A540" s="58" t="s">
        <v>1323</v>
      </c>
      <c r="B540" s="59">
        <v>699</v>
      </c>
      <c r="C540" s="59">
        <v>1468</v>
      </c>
      <c r="D540" s="59" t="s">
        <v>801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ht="15.2" spans="1:10">
      <c r="A541" s="58" t="s">
        <v>1324</v>
      </c>
      <c r="B541" s="59">
        <v>4249.39</v>
      </c>
      <c r="C541" s="59">
        <v>6999</v>
      </c>
      <c r="D541" s="59" t="s">
        <v>803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</v>
      </c>
      <c r="J541" s="60">
        <f t="shared" si="27"/>
        <v>6999</v>
      </c>
    </row>
    <row r="542" ht="15.2" spans="1:10">
      <c r="A542" s="58" t="s">
        <v>1325</v>
      </c>
      <c r="B542" s="59">
        <v>1545.44</v>
      </c>
      <c r="C542" s="59">
        <v>2399</v>
      </c>
      <c r="D542" s="59" t="s">
        <v>803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ht="15.2" spans="1:10">
      <c r="A543" s="58" t="s">
        <v>1326</v>
      </c>
      <c r="B543" s="59">
        <v>594</v>
      </c>
      <c r="C543" s="59">
        <v>1299</v>
      </c>
      <c r="D543" s="59" t="s">
        <v>801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2554.2</v>
      </c>
      <c r="J543" s="60">
        <f t="shared" si="27"/>
        <v>5585.7</v>
      </c>
    </row>
    <row r="544" ht="15.2" spans="1:10">
      <c r="A544" s="58" t="s">
        <v>1327</v>
      </c>
      <c r="B544" s="59">
        <v>1577.96</v>
      </c>
      <c r="C544" s="59">
        <v>2599</v>
      </c>
      <c r="D544" s="59" t="s">
        <v>803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ht="15.2" spans="1:10">
      <c r="A545" s="58" t="s">
        <v>1328</v>
      </c>
      <c r="B545" s="59">
        <v>1707.76</v>
      </c>
      <c r="C545" s="59">
        <v>2599</v>
      </c>
      <c r="D545" s="59" t="s">
        <v>803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ht="15.2" spans="1:10">
      <c r="A546" s="58" t="s">
        <v>1329</v>
      </c>
      <c r="B546" s="59">
        <v>906.02</v>
      </c>
      <c r="C546" s="59">
        <v>1399</v>
      </c>
      <c r="D546" s="59" t="s">
        <v>803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ht="15.2" spans="1:10">
      <c r="A547" s="58" t="s">
        <v>1330</v>
      </c>
      <c r="B547" s="59">
        <v>906.02</v>
      </c>
      <c r="C547" s="59">
        <v>1399</v>
      </c>
      <c r="D547" s="59" t="s">
        <v>803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ht="15.2" spans="1:10">
      <c r="A548" s="58" t="s">
        <v>1331</v>
      </c>
      <c r="B548" s="59">
        <v>511</v>
      </c>
      <c r="C548" s="59">
        <v>1290</v>
      </c>
      <c r="D548" s="59" t="s">
        <v>801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3474.8</v>
      </c>
      <c r="J548" s="60">
        <f t="shared" si="27"/>
        <v>8772</v>
      </c>
    </row>
    <row r="549" ht="15.2" spans="1:10">
      <c r="A549" s="58" t="s">
        <v>1332</v>
      </c>
      <c r="B549" s="59">
        <v>728</v>
      </c>
      <c r="C549" s="59">
        <v>1722</v>
      </c>
      <c r="D549" s="59" t="s">
        <v>801</v>
      </c>
      <c r="E549" s="59">
        <v>5.1</v>
      </c>
      <c r="F549" s="59">
        <v>5.1</v>
      </c>
      <c r="G549" s="59">
        <v>0</v>
      </c>
      <c r="H549" s="60">
        <f t="shared" si="28"/>
        <v>5.1</v>
      </c>
      <c r="I549" s="60">
        <f t="shared" si="26"/>
        <v>3712.8</v>
      </c>
      <c r="J549" s="60">
        <f t="shared" si="27"/>
        <v>8782.2</v>
      </c>
    </row>
    <row r="550" ht="15.2" spans="1:10">
      <c r="A550" s="58" t="s">
        <v>1333</v>
      </c>
      <c r="B550" s="59">
        <v>597</v>
      </c>
      <c r="C550" s="59">
        <v>1380</v>
      </c>
      <c r="D550" s="59" t="s">
        <v>801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ht="15.2" spans="1:10">
      <c r="A551" s="58" t="s">
        <v>1334</v>
      </c>
      <c r="B551" s="59">
        <v>436</v>
      </c>
      <c r="C551" s="59">
        <v>1099</v>
      </c>
      <c r="D551" s="59" t="s">
        <v>801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ht="15.2" spans="1:10">
      <c r="A552" s="58" t="s">
        <v>1335</v>
      </c>
      <c r="B552" s="59">
        <v>1760.11</v>
      </c>
      <c r="C552" s="59">
        <v>2899</v>
      </c>
      <c r="D552" s="59" t="s">
        <v>803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ht="15.2" spans="1:10">
      <c r="A553" s="58" t="s">
        <v>1336</v>
      </c>
      <c r="B553" s="59">
        <v>441</v>
      </c>
      <c r="C553" s="59">
        <v>1023</v>
      </c>
      <c r="D553" s="59" t="s">
        <v>801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264.6</v>
      </c>
      <c r="J553" s="60">
        <f t="shared" si="27"/>
        <v>613.8</v>
      </c>
    </row>
    <row r="554" ht="15.2" spans="1:10">
      <c r="A554" s="58" t="s">
        <v>1337</v>
      </c>
      <c r="B554" s="59">
        <v>692</v>
      </c>
      <c r="C554" s="59">
        <v>1649</v>
      </c>
      <c r="D554" s="59" t="s">
        <v>801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ht="15.2" spans="1:10">
      <c r="A555" s="58" t="s">
        <v>1338</v>
      </c>
      <c r="B555" s="59">
        <v>429</v>
      </c>
      <c r="C555" s="59">
        <v>982</v>
      </c>
      <c r="D555" s="59" t="s">
        <v>801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1201.2</v>
      </c>
      <c r="J555" s="60">
        <f t="shared" si="27"/>
        <v>2749.6</v>
      </c>
    </row>
    <row r="556" ht="15.2" spans="1:10">
      <c r="A556" s="58" t="s">
        <v>1339</v>
      </c>
      <c r="B556" s="59">
        <v>336</v>
      </c>
      <c r="C556" s="59">
        <v>778</v>
      </c>
      <c r="D556" s="59" t="s">
        <v>801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ht="15.2" spans="1:10">
      <c r="A557" s="58" t="s">
        <v>1340</v>
      </c>
      <c r="B557" s="59">
        <v>1456.54</v>
      </c>
      <c r="C557" s="59">
        <v>2399</v>
      </c>
      <c r="D557" s="59" t="s">
        <v>803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ht="15.2" spans="1:10">
      <c r="A558" s="58" t="s">
        <v>48</v>
      </c>
      <c r="B558" s="59">
        <v>599</v>
      </c>
      <c r="C558" s="59">
        <v>1338</v>
      </c>
      <c r="D558" s="59" t="s">
        <v>801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</v>
      </c>
      <c r="J558" s="60">
        <f t="shared" si="27"/>
        <v>10570.2</v>
      </c>
    </row>
    <row r="559" ht="15.2" spans="1:10">
      <c r="A559" s="58" t="s">
        <v>1341</v>
      </c>
      <c r="B559" s="59">
        <v>1116.38</v>
      </c>
      <c r="C559" s="59">
        <v>1699</v>
      </c>
      <c r="D559" s="59" t="s">
        <v>803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ht="15.2" spans="1:10">
      <c r="A560" s="58" t="s">
        <v>1342</v>
      </c>
      <c r="B560" s="59">
        <v>4124.41</v>
      </c>
      <c r="C560" s="59">
        <v>6999</v>
      </c>
      <c r="D560" s="59" t="s">
        <v>803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ht="15.2" spans="1:10">
      <c r="A561" s="58" t="s">
        <v>1343</v>
      </c>
      <c r="B561" s="59">
        <v>5463.68</v>
      </c>
      <c r="C561" s="59">
        <v>8999</v>
      </c>
      <c r="D561" s="59" t="s">
        <v>803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ht="15.2" spans="1:10">
      <c r="A562" s="58" t="s">
        <v>274</v>
      </c>
      <c r="B562" s="59">
        <v>354</v>
      </c>
      <c r="C562" s="59">
        <v>782</v>
      </c>
      <c r="D562" s="59" t="s">
        <v>801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ht="15.2" spans="1:10">
      <c r="A563" s="58" t="s">
        <v>1344</v>
      </c>
      <c r="B563" s="59">
        <v>799</v>
      </c>
      <c r="C563" s="59">
        <v>1678</v>
      </c>
      <c r="D563" s="59" t="s">
        <v>801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ht="15.2" spans="1:10">
      <c r="A564" s="58" t="s">
        <v>1345</v>
      </c>
      <c r="B564" s="59">
        <v>490</v>
      </c>
      <c r="C564" s="59">
        <v>1181</v>
      </c>
      <c r="D564" s="59" t="s">
        <v>801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ht="15.2" spans="1:10">
      <c r="A565" s="58" t="s">
        <v>1346</v>
      </c>
      <c r="B565" s="59">
        <v>1092.25</v>
      </c>
      <c r="C565" s="59">
        <v>1799</v>
      </c>
      <c r="D565" s="59" t="s">
        <v>803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ht="15.2" spans="1:10">
      <c r="A566" s="58" t="s">
        <v>1347</v>
      </c>
      <c r="B566" s="59">
        <v>1182.09</v>
      </c>
      <c r="C566" s="59">
        <v>1799</v>
      </c>
      <c r="D566" s="59" t="s">
        <v>803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ht="15.2" spans="1:10">
      <c r="A567" s="58" t="s">
        <v>1348</v>
      </c>
      <c r="B567" s="59">
        <v>1517.25</v>
      </c>
      <c r="C567" s="59">
        <v>2499</v>
      </c>
      <c r="D567" s="59" t="s">
        <v>803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ht="15.2" spans="1:10">
      <c r="A568" s="58" t="s">
        <v>1349</v>
      </c>
      <c r="B568" s="59">
        <v>1577.96</v>
      </c>
      <c r="C568" s="59">
        <v>2599</v>
      </c>
      <c r="D568" s="59" t="s">
        <v>803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ht="15.2" spans="1:10">
      <c r="A569" s="58" t="s">
        <v>1350</v>
      </c>
      <c r="B569" s="59">
        <v>1379.21</v>
      </c>
      <c r="C569" s="59">
        <v>2099</v>
      </c>
      <c r="D569" s="59" t="s">
        <v>803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ht="15.2" spans="1:10">
      <c r="A570" s="58" t="s">
        <v>1351</v>
      </c>
      <c r="B570" s="59">
        <v>1274.39</v>
      </c>
      <c r="C570" s="59">
        <v>2099</v>
      </c>
      <c r="D570" s="59" t="s">
        <v>803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</v>
      </c>
      <c r="J570" s="60">
        <f t="shared" si="27"/>
        <v>2099</v>
      </c>
    </row>
    <row r="571" ht="15.2" spans="1:10">
      <c r="A571" s="58" t="s">
        <v>1352</v>
      </c>
      <c r="B571" s="59">
        <v>1576.34</v>
      </c>
      <c r="C571" s="59">
        <v>2399</v>
      </c>
      <c r="D571" s="59" t="s">
        <v>803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ht="15.2" spans="1:10">
      <c r="A572" s="58" t="s">
        <v>1353</v>
      </c>
      <c r="B572" s="59">
        <v>1099</v>
      </c>
      <c r="C572" s="59">
        <v>2472</v>
      </c>
      <c r="D572" s="59" t="s">
        <v>801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ht="15.2" spans="1:10">
      <c r="A573" s="58" t="s">
        <v>1354</v>
      </c>
      <c r="B573" s="59">
        <v>656.42</v>
      </c>
      <c r="C573" s="59">
        <v>999</v>
      </c>
      <c r="D573" s="59" t="s">
        <v>803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ht="15.2" spans="1:10">
      <c r="A574" s="58" t="s">
        <v>1355</v>
      </c>
      <c r="B574" s="59">
        <v>1444.92</v>
      </c>
      <c r="C574" s="59">
        <v>2199</v>
      </c>
      <c r="D574" s="59" t="s">
        <v>803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ht="15.2" spans="1:10">
      <c r="A575" s="58" t="s">
        <v>1356</v>
      </c>
      <c r="B575" s="59">
        <v>429</v>
      </c>
      <c r="C575" s="59">
        <v>943</v>
      </c>
      <c r="D575" s="59" t="s">
        <v>801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ht="15.2" spans="1:10">
      <c r="A576" s="58" t="s">
        <v>1357</v>
      </c>
      <c r="B576" s="59">
        <v>525</v>
      </c>
      <c r="C576" s="59">
        <v>799</v>
      </c>
      <c r="D576" s="59" t="s">
        <v>803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ht="15.2" spans="1:10">
      <c r="A577" s="58" t="s">
        <v>1358</v>
      </c>
      <c r="B577" s="59">
        <v>1247.8</v>
      </c>
      <c r="C577" s="59">
        <v>1899</v>
      </c>
      <c r="D577" s="59" t="s">
        <v>803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ht="15.2" spans="1:10">
      <c r="A578" s="58" t="s">
        <v>1359</v>
      </c>
      <c r="B578" s="59">
        <v>656.42</v>
      </c>
      <c r="C578" s="59">
        <v>999</v>
      </c>
      <c r="D578" s="59" t="s">
        <v>803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ht="15.2" spans="1:10">
      <c r="A579" s="58" t="s">
        <v>1360</v>
      </c>
      <c r="B579" s="59">
        <v>367</v>
      </c>
      <c r="C579" s="59">
        <v>830</v>
      </c>
      <c r="D579" s="59" t="s">
        <v>801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</v>
      </c>
      <c r="J579" s="60">
        <f t="shared" si="30"/>
        <v>664</v>
      </c>
    </row>
    <row r="580" ht="15.2" spans="1:10">
      <c r="A580" s="58" t="s">
        <v>1361</v>
      </c>
      <c r="B580" s="59">
        <v>1820.82</v>
      </c>
      <c r="C580" s="59">
        <v>2999</v>
      </c>
      <c r="D580" s="59" t="s">
        <v>803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ht="15.2" spans="1:10">
      <c r="A581" s="58" t="s">
        <v>1362</v>
      </c>
      <c r="B581" s="59">
        <v>1177.98</v>
      </c>
      <c r="C581" s="59">
        <v>1999</v>
      </c>
      <c r="D581" s="59" t="s">
        <v>803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ht="15.2" spans="1:10">
      <c r="A582" s="58" t="s">
        <v>1363</v>
      </c>
      <c r="B582" s="59">
        <v>1119.05</v>
      </c>
      <c r="C582" s="59">
        <v>1899</v>
      </c>
      <c r="D582" s="59" t="s">
        <v>803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ht="15.2" spans="1:10">
      <c r="A583" s="58" t="s">
        <v>1364</v>
      </c>
      <c r="B583" s="59">
        <v>1092.25</v>
      </c>
      <c r="C583" s="59">
        <v>1799</v>
      </c>
      <c r="D583" s="59" t="s">
        <v>803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ht="15.2" spans="1:10">
      <c r="A584" s="58" t="s">
        <v>1365</v>
      </c>
      <c r="B584" s="59">
        <v>4249.39</v>
      </c>
      <c r="C584" s="59">
        <v>6999</v>
      </c>
      <c r="D584" s="59" t="s">
        <v>803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</v>
      </c>
      <c r="J584" s="60">
        <f t="shared" si="30"/>
        <v>6999</v>
      </c>
    </row>
    <row r="585" ht="15.2" spans="1:10">
      <c r="A585" s="58" t="s">
        <v>1366</v>
      </c>
      <c r="B585" s="59">
        <v>1213.68</v>
      </c>
      <c r="C585" s="59">
        <v>1999</v>
      </c>
      <c r="D585" s="59" t="s">
        <v>803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ht="15.2" spans="1:10">
      <c r="A586" s="58" t="s">
        <v>1367</v>
      </c>
      <c r="B586" s="59">
        <v>299</v>
      </c>
      <c r="C586" s="59">
        <v>628</v>
      </c>
      <c r="D586" s="59" t="s">
        <v>801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ht="15.2" spans="1:10">
      <c r="A587" s="58" t="s">
        <v>209</v>
      </c>
      <c r="B587" s="59">
        <v>349</v>
      </c>
      <c r="C587" s="59">
        <v>770</v>
      </c>
      <c r="D587" s="59" t="s">
        <v>801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1186.6</v>
      </c>
      <c r="J587" s="60">
        <f t="shared" si="30"/>
        <v>2618</v>
      </c>
    </row>
    <row r="588" ht="15.2" spans="1:10">
      <c r="A588" s="58" t="s">
        <v>133</v>
      </c>
      <c r="B588" s="59">
        <v>314.3</v>
      </c>
      <c r="C588" s="59">
        <v>943</v>
      </c>
      <c r="D588" s="59" t="s">
        <v>801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ht="15.2" spans="1:10">
      <c r="A589" s="58" t="s">
        <v>1368</v>
      </c>
      <c r="B589" s="59">
        <v>1456.54</v>
      </c>
      <c r="C589" s="59">
        <v>2399</v>
      </c>
      <c r="D589" s="59" t="s">
        <v>803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ht="15.2" spans="1:10">
      <c r="A590" s="58" t="s">
        <v>1369</v>
      </c>
      <c r="B590" s="59">
        <v>495</v>
      </c>
      <c r="C590" s="59">
        <v>1040</v>
      </c>
      <c r="D590" s="59" t="s">
        <v>801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ht="15.2" spans="1:10">
      <c r="A591" s="58" t="s">
        <v>1370</v>
      </c>
      <c r="B591" s="59">
        <v>970.82</v>
      </c>
      <c r="C591" s="59">
        <v>1599</v>
      </c>
      <c r="D591" s="59" t="s">
        <v>803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ht="15.2" spans="1:10">
      <c r="A592" s="58" t="s">
        <v>1371</v>
      </c>
      <c r="B592" s="59">
        <v>589</v>
      </c>
      <c r="C592" s="59">
        <v>1303</v>
      </c>
      <c r="D592" s="59" t="s">
        <v>801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ht="15.2" spans="1:10">
      <c r="A593" s="58" t="s">
        <v>1372</v>
      </c>
      <c r="B593" s="59">
        <v>2167.7</v>
      </c>
      <c r="C593" s="59">
        <v>3299</v>
      </c>
      <c r="D593" s="59" t="s">
        <v>803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6503.1</v>
      </c>
      <c r="J593" s="60">
        <f t="shared" si="30"/>
        <v>9897</v>
      </c>
    </row>
    <row r="594" ht="15.2" spans="1:10">
      <c r="A594" s="58" t="s">
        <v>1373</v>
      </c>
      <c r="B594" s="59">
        <v>312</v>
      </c>
      <c r="C594" s="59">
        <v>735</v>
      </c>
      <c r="D594" s="59" t="s">
        <v>801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</v>
      </c>
      <c r="J594" s="60">
        <f t="shared" si="30"/>
        <v>2903.25</v>
      </c>
    </row>
    <row r="595" ht="15.2" spans="1:10">
      <c r="A595" s="58" t="s">
        <v>1374</v>
      </c>
      <c r="B595" s="59">
        <v>487</v>
      </c>
      <c r="C595" s="59">
        <v>1064</v>
      </c>
      <c r="D595" s="59" t="s">
        <v>801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ht="15.2" spans="1:10">
      <c r="A596" s="58" t="s">
        <v>1375</v>
      </c>
      <c r="B596" s="59">
        <v>1177.98</v>
      </c>
      <c r="C596" s="59">
        <v>1999</v>
      </c>
      <c r="D596" s="59" t="s">
        <v>803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ht="15.2" spans="1:10">
      <c r="A597" s="58" t="s">
        <v>1376</v>
      </c>
      <c r="B597" s="59">
        <v>614</v>
      </c>
      <c r="C597" s="59">
        <v>1525</v>
      </c>
      <c r="D597" s="59" t="s">
        <v>801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ht="15.2" spans="1:10">
      <c r="A598" s="58" t="s">
        <v>1377</v>
      </c>
      <c r="B598" s="59">
        <v>1213.68</v>
      </c>
      <c r="C598" s="59">
        <v>1999</v>
      </c>
      <c r="D598" s="59" t="s">
        <v>803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ht="15.2" spans="1:10">
      <c r="A599" s="58" t="s">
        <v>1378</v>
      </c>
      <c r="B599" s="59">
        <v>570.86</v>
      </c>
      <c r="C599" s="59">
        <v>2410</v>
      </c>
      <c r="D599" s="59" t="s">
        <v>801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ht="15.2" spans="1:10">
      <c r="A600" s="58" t="s">
        <v>1379</v>
      </c>
      <c r="B600" s="59">
        <v>2651.2</v>
      </c>
      <c r="C600" s="59">
        <v>4499</v>
      </c>
      <c r="D600" s="59" t="s">
        <v>803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ht="15.2" spans="1:10">
      <c r="A601" s="58" t="s">
        <v>1380</v>
      </c>
      <c r="B601" s="59">
        <v>2651.2</v>
      </c>
      <c r="C601" s="59">
        <v>4499</v>
      </c>
      <c r="D601" s="59" t="s">
        <v>803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ht="15.2" spans="1:10">
      <c r="A602" s="58" t="s">
        <v>1381</v>
      </c>
      <c r="B602" s="59">
        <v>409</v>
      </c>
      <c r="C602" s="59">
        <v>1032</v>
      </c>
      <c r="D602" s="59" t="s">
        <v>801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4478.55</v>
      </c>
      <c r="J602" s="60">
        <f t="shared" si="30"/>
        <v>11300.4</v>
      </c>
    </row>
    <row r="603" ht="15.2" spans="1:10">
      <c r="A603" s="58" t="s">
        <v>1382</v>
      </c>
      <c r="B603" s="59">
        <v>525</v>
      </c>
      <c r="C603" s="59">
        <v>1075</v>
      </c>
      <c r="D603" s="59" t="s">
        <v>801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ht="15.2" spans="1:10">
      <c r="A604" s="58" t="s">
        <v>1383</v>
      </c>
      <c r="B604" s="59">
        <v>579</v>
      </c>
      <c r="C604" s="59">
        <v>1362</v>
      </c>
      <c r="D604" s="59" t="s">
        <v>801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</v>
      </c>
      <c r="J604" s="60">
        <f t="shared" si="30"/>
        <v>16071.6</v>
      </c>
    </row>
    <row r="605" ht="15.2" spans="1:10">
      <c r="A605" s="58" t="s">
        <v>1384</v>
      </c>
      <c r="B605" s="59">
        <v>1456.54</v>
      </c>
      <c r="C605" s="59">
        <v>2399</v>
      </c>
      <c r="D605" s="59" t="s">
        <v>803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ht="15.2" spans="1:10">
      <c r="A606" s="58" t="s">
        <v>1385</v>
      </c>
      <c r="B606" s="59">
        <v>1313.5</v>
      </c>
      <c r="C606" s="59">
        <v>1999</v>
      </c>
      <c r="D606" s="59" t="s">
        <v>803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ht="15.2" spans="1:10">
      <c r="A607" s="58" t="s">
        <v>1386</v>
      </c>
      <c r="B607" s="59">
        <v>1170.5</v>
      </c>
      <c r="C607" s="59">
        <v>1799</v>
      </c>
      <c r="D607" s="59" t="s">
        <v>803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ht="15.2" spans="1:10">
      <c r="A608" s="58" t="s">
        <v>1387</v>
      </c>
      <c r="B608" s="59">
        <v>2233.41</v>
      </c>
      <c r="C608" s="59">
        <v>3399</v>
      </c>
      <c r="D608" s="59" t="s">
        <v>803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ht="15.2" spans="1:10">
      <c r="A609" s="58" t="s">
        <v>1388</v>
      </c>
      <c r="B609" s="59">
        <v>150</v>
      </c>
      <c r="C609" s="59">
        <v>315</v>
      </c>
      <c r="D609" s="59" t="s">
        <v>801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ht="15.2" spans="1:10">
      <c r="A610" s="58" t="s">
        <v>1389</v>
      </c>
      <c r="B610" s="59">
        <v>582.21</v>
      </c>
      <c r="C610" s="59">
        <v>899</v>
      </c>
      <c r="D610" s="59" t="s">
        <v>803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ht="15.2" spans="1:10">
      <c r="A611" s="58" t="s">
        <v>1390</v>
      </c>
      <c r="B611" s="59">
        <v>1213.68</v>
      </c>
      <c r="C611" s="59">
        <v>1999</v>
      </c>
      <c r="D611" s="59" t="s">
        <v>803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ht="15.2" spans="1:10">
      <c r="A612" s="58" t="s">
        <v>1391</v>
      </c>
      <c r="B612" s="59">
        <v>1799</v>
      </c>
      <c r="C612" s="59">
        <v>3778</v>
      </c>
      <c r="D612" s="59" t="s">
        <v>801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</v>
      </c>
      <c r="J612" s="60">
        <f t="shared" si="30"/>
        <v>2455.7</v>
      </c>
    </row>
    <row r="613" ht="15.2" spans="1:10">
      <c r="A613" s="58" t="s">
        <v>1392</v>
      </c>
      <c r="B613" s="59">
        <v>1092.25</v>
      </c>
      <c r="C613" s="59">
        <v>1799</v>
      </c>
      <c r="D613" s="59" t="s">
        <v>803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ht="15.2" spans="1:10">
      <c r="A614" s="58" t="s">
        <v>1393</v>
      </c>
      <c r="B614" s="59">
        <v>1577.96</v>
      </c>
      <c r="C614" s="59">
        <v>2599</v>
      </c>
      <c r="D614" s="59" t="s">
        <v>803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ht="15.2" spans="1:10">
      <c r="A615" s="58" t="s">
        <v>1394</v>
      </c>
      <c r="B615" s="59">
        <v>923</v>
      </c>
      <c r="C615" s="59">
        <v>2182</v>
      </c>
      <c r="D615" s="59" t="s">
        <v>801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ht="15.2" spans="1:10">
      <c r="A616" s="58" t="s">
        <v>1395</v>
      </c>
      <c r="B616" s="59">
        <v>1076</v>
      </c>
      <c r="C616" s="59">
        <v>2665</v>
      </c>
      <c r="D616" s="59" t="s">
        <v>801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ht="15.2" spans="1:10">
      <c r="A617" s="58" t="s">
        <v>1396</v>
      </c>
      <c r="B617" s="59">
        <v>315</v>
      </c>
      <c r="C617" s="59">
        <v>662</v>
      </c>
      <c r="D617" s="59" t="s">
        <v>801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ht="15.2" spans="1:10">
      <c r="A618" s="58" t="s">
        <v>1397</v>
      </c>
      <c r="B618" s="59">
        <v>787.84</v>
      </c>
      <c r="C618" s="59">
        <v>1199</v>
      </c>
      <c r="D618" s="59" t="s">
        <v>803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ht="15.2" spans="1:10">
      <c r="A619" s="58" t="s">
        <v>1398</v>
      </c>
      <c r="B619" s="59">
        <v>582.21</v>
      </c>
      <c r="C619" s="59">
        <v>899</v>
      </c>
      <c r="D619" s="59" t="s">
        <v>803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ht="15.2" spans="1:10">
      <c r="A620" s="58" t="s">
        <v>1399</v>
      </c>
      <c r="B620" s="59">
        <v>841.26</v>
      </c>
      <c r="C620" s="59">
        <v>1299</v>
      </c>
      <c r="D620" s="59" t="s">
        <v>803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ht="15.2" spans="1:10">
      <c r="A621" s="58" t="s">
        <v>1400</v>
      </c>
      <c r="B621" s="59">
        <v>1577.96</v>
      </c>
      <c r="C621" s="59">
        <v>2599</v>
      </c>
      <c r="D621" s="59" t="s">
        <v>803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ht="15.2" spans="1:10">
      <c r="A622" s="58" t="s">
        <v>1401</v>
      </c>
      <c r="B622" s="59">
        <v>385</v>
      </c>
      <c r="C622" s="59">
        <v>808</v>
      </c>
      <c r="D622" s="59" t="s">
        <v>801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ht="15.2" spans="1:10">
      <c r="A623" s="58" t="s">
        <v>1402</v>
      </c>
      <c r="B623" s="59">
        <v>1638.68</v>
      </c>
      <c r="C623" s="59">
        <v>2699</v>
      </c>
      <c r="D623" s="59" t="s">
        <v>803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ht="15.2" spans="1:10">
      <c r="A624" s="58" t="s">
        <v>1403</v>
      </c>
      <c r="B624" s="59">
        <v>1177.98</v>
      </c>
      <c r="C624" s="59">
        <v>1999</v>
      </c>
      <c r="D624" s="59" t="s">
        <v>803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ht="15.2" spans="1:10">
      <c r="A625" s="58" t="s">
        <v>1404</v>
      </c>
      <c r="B625" s="59">
        <v>2102</v>
      </c>
      <c r="C625" s="59">
        <v>3199</v>
      </c>
      <c r="D625" s="59" t="s">
        <v>803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ht="15.2" spans="1:10">
      <c r="A626" s="58" t="s">
        <v>1405</v>
      </c>
      <c r="B626" s="59">
        <v>1213.68</v>
      </c>
      <c r="C626" s="59">
        <v>1999</v>
      </c>
      <c r="D626" s="59" t="s">
        <v>803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ht="15.2" spans="1:10">
      <c r="A627" s="58" t="s">
        <v>1406</v>
      </c>
      <c r="B627" s="59">
        <v>1210</v>
      </c>
      <c r="C627" s="59">
        <v>2805</v>
      </c>
      <c r="D627" s="59" t="s">
        <v>801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ht="15.2" spans="1:10">
      <c r="A628" s="58" t="s">
        <v>1407</v>
      </c>
      <c r="B628" s="59">
        <v>2356.55</v>
      </c>
      <c r="C628" s="59">
        <v>3999</v>
      </c>
      <c r="D628" s="59" t="s">
        <v>803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</v>
      </c>
      <c r="J628" s="60">
        <f t="shared" si="30"/>
        <v>3999</v>
      </c>
    </row>
    <row r="629" ht="15.2" spans="1:10">
      <c r="A629" s="58" t="s">
        <v>1408</v>
      </c>
      <c r="B629" s="59">
        <v>395</v>
      </c>
      <c r="C629" s="59">
        <v>880</v>
      </c>
      <c r="D629" s="59" t="s">
        <v>801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ht="15.2" spans="1:10">
      <c r="A630" s="58" t="s">
        <v>1409</v>
      </c>
      <c r="B630" s="59">
        <v>517.45</v>
      </c>
      <c r="C630" s="59">
        <v>799</v>
      </c>
      <c r="D630" s="59" t="s">
        <v>803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</v>
      </c>
      <c r="J630" s="60">
        <f t="shared" si="30"/>
        <v>1598</v>
      </c>
    </row>
    <row r="631" ht="15.2" spans="1:10">
      <c r="A631" s="58" t="s">
        <v>1410</v>
      </c>
      <c r="B631" s="59">
        <v>1456.54</v>
      </c>
      <c r="C631" s="59">
        <v>2399</v>
      </c>
      <c r="D631" s="59" t="s">
        <v>803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ht="15.2" spans="1:10">
      <c r="A632" s="58" t="s">
        <v>1411</v>
      </c>
      <c r="B632" s="59">
        <v>1456.54</v>
      </c>
      <c r="C632" s="59">
        <v>2399</v>
      </c>
      <c r="D632" s="59" t="s">
        <v>803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ht="15.2" spans="1:10">
      <c r="A633" s="58" t="s">
        <v>1412</v>
      </c>
      <c r="B633" s="59">
        <v>1773.46</v>
      </c>
      <c r="C633" s="59">
        <v>2699</v>
      </c>
      <c r="D633" s="59" t="s">
        <v>803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ht="15.2" spans="1:10">
      <c r="A634" s="58" t="s">
        <v>1413</v>
      </c>
      <c r="B634" s="59">
        <v>1395.82</v>
      </c>
      <c r="C634" s="59">
        <v>2299</v>
      </c>
      <c r="D634" s="59" t="s">
        <v>803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ht="15.2" spans="1:10">
      <c r="A635" s="58" t="s">
        <v>1414</v>
      </c>
      <c r="B635" s="59">
        <v>1773.46</v>
      </c>
      <c r="C635" s="59">
        <v>2699</v>
      </c>
      <c r="D635" s="59" t="s">
        <v>803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ht="15.2" spans="1:10">
      <c r="A636" s="58" t="s">
        <v>1415</v>
      </c>
      <c r="B636" s="59">
        <v>281</v>
      </c>
      <c r="C636" s="59">
        <v>635</v>
      </c>
      <c r="D636" s="59" t="s">
        <v>801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ht="15.2" spans="1:10">
      <c r="A637" s="58" t="s">
        <v>1416</v>
      </c>
      <c r="B637" s="59">
        <v>582.21</v>
      </c>
      <c r="C637" s="59">
        <v>899</v>
      </c>
      <c r="D637" s="59" t="s">
        <v>803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ht="15.2" spans="1:10">
      <c r="A638" s="58" t="s">
        <v>1417</v>
      </c>
      <c r="B638" s="59">
        <v>984.96</v>
      </c>
      <c r="C638" s="59">
        <v>1499</v>
      </c>
      <c r="D638" s="59" t="s">
        <v>803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ht="15.2" spans="1:10">
      <c r="A639" s="58" t="s">
        <v>1418</v>
      </c>
      <c r="B639" s="59">
        <v>545</v>
      </c>
      <c r="C639" s="59">
        <v>1439</v>
      </c>
      <c r="D639" s="59" t="s">
        <v>801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2086.55</v>
      </c>
    </row>
    <row r="640" ht="15.2" spans="1:10">
      <c r="A640" s="58" t="s">
        <v>1419</v>
      </c>
      <c r="B640" s="59">
        <v>1313.5</v>
      </c>
      <c r="C640" s="59">
        <v>1999</v>
      </c>
      <c r="D640" s="59" t="s">
        <v>803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ht="15.2" spans="1:10">
      <c r="A641" s="58" t="s">
        <v>1420</v>
      </c>
      <c r="B641" s="59">
        <v>220</v>
      </c>
      <c r="C641" s="59">
        <v>492</v>
      </c>
      <c r="D641" s="59" t="s">
        <v>801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ht="15.2" spans="1:10">
      <c r="A642" s="58" t="s">
        <v>1421</v>
      </c>
      <c r="B642" s="59">
        <v>1331</v>
      </c>
      <c r="C642" s="59">
        <v>3657</v>
      </c>
      <c r="D642" s="59" t="s">
        <v>801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ht="15.2" spans="1:10">
      <c r="A643" s="58" t="s">
        <v>1422</v>
      </c>
      <c r="B643" s="59">
        <v>399</v>
      </c>
      <c r="C643" s="59">
        <v>951</v>
      </c>
      <c r="D643" s="59" t="s">
        <v>801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</v>
      </c>
      <c r="J643" s="60">
        <f t="shared" si="33"/>
        <v>618.15</v>
      </c>
    </row>
    <row r="644" ht="15.2" spans="1:10">
      <c r="A644" s="58" t="s">
        <v>1423</v>
      </c>
      <c r="B644" s="59">
        <v>1472.63</v>
      </c>
      <c r="C644" s="59">
        <v>2499</v>
      </c>
      <c r="D644" s="59" t="s">
        <v>803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ht="15.2" spans="1:10">
      <c r="A645" s="58" t="s">
        <v>1424</v>
      </c>
      <c r="B645" s="59">
        <v>327</v>
      </c>
      <c r="C645" s="59">
        <v>815</v>
      </c>
      <c r="D645" s="59" t="s">
        <v>801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ht="15.2" spans="1:10">
      <c r="A646" s="58" t="s">
        <v>1425</v>
      </c>
      <c r="B646" s="59">
        <v>1517.25</v>
      </c>
      <c r="C646" s="59">
        <v>2499</v>
      </c>
      <c r="D646" s="59" t="s">
        <v>803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ht="15.2" spans="1:10">
      <c r="A647" s="58" t="s">
        <v>1426</v>
      </c>
      <c r="B647" s="59">
        <v>1236.91</v>
      </c>
      <c r="C647" s="59">
        <v>2099</v>
      </c>
      <c r="D647" s="59" t="s">
        <v>803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ht="15.2" spans="1:10">
      <c r="A648" s="58" t="s">
        <v>1427</v>
      </c>
      <c r="B648" s="59">
        <v>1395.82</v>
      </c>
      <c r="C648" s="59">
        <v>2299</v>
      </c>
      <c r="D648" s="59" t="s">
        <v>803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ht="15.2" spans="1:10">
      <c r="A649" s="58" t="s">
        <v>1428</v>
      </c>
      <c r="B649" s="59">
        <v>1116.38</v>
      </c>
      <c r="C649" s="59">
        <v>1699</v>
      </c>
      <c r="D649" s="59" t="s">
        <v>803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</v>
      </c>
      <c r="J649" s="60">
        <f t="shared" si="33"/>
        <v>3398</v>
      </c>
    </row>
    <row r="650" ht="15.2" spans="1:10">
      <c r="A650" s="58" t="s">
        <v>1429</v>
      </c>
      <c r="B650" s="59">
        <v>1395.82</v>
      </c>
      <c r="C650" s="59">
        <v>2299</v>
      </c>
      <c r="D650" s="59" t="s">
        <v>803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ht="15.2" spans="1:10">
      <c r="A651" s="58" t="s">
        <v>1430</v>
      </c>
      <c r="B651" s="59">
        <v>1707.76</v>
      </c>
      <c r="C651" s="59">
        <v>2599</v>
      </c>
      <c r="D651" s="59" t="s">
        <v>803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ht="15.2" spans="1:10">
      <c r="A652" s="58" t="s">
        <v>1431</v>
      </c>
      <c r="B652" s="59">
        <v>1444.92</v>
      </c>
      <c r="C652" s="59">
        <v>2199</v>
      </c>
      <c r="D652" s="59" t="s">
        <v>803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ht="15.2" spans="1:10">
      <c r="A653" s="58" t="s">
        <v>1432</v>
      </c>
      <c r="B653" s="59">
        <v>1354.77</v>
      </c>
      <c r="C653" s="59">
        <v>2299</v>
      </c>
      <c r="D653" s="59" t="s">
        <v>803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ht="15.2" spans="1:10">
      <c r="A654" s="58" t="s">
        <v>196</v>
      </c>
      <c r="B654" s="59">
        <v>299</v>
      </c>
      <c r="C654" s="59">
        <v>660</v>
      </c>
      <c r="D654" s="59" t="s">
        <v>801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ht="15.2" spans="1:10">
      <c r="A655" s="58" t="s">
        <v>1433</v>
      </c>
      <c r="B655" s="59">
        <v>1247.8</v>
      </c>
      <c r="C655" s="59">
        <v>1899</v>
      </c>
      <c r="D655" s="59" t="s">
        <v>803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ht="15.2" spans="1:10">
      <c r="A656" s="58" t="s">
        <v>1434</v>
      </c>
      <c r="B656" s="59">
        <v>2356.55</v>
      </c>
      <c r="C656" s="59">
        <v>3999</v>
      </c>
      <c r="D656" s="59" t="s">
        <v>803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</v>
      </c>
      <c r="J656" s="60">
        <f t="shared" si="33"/>
        <v>3999</v>
      </c>
    </row>
    <row r="657" ht="15.2" spans="1:10">
      <c r="A657" s="58" t="s">
        <v>1435</v>
      </c>
      <c r="B657" s="59">
        <v>1295.84</v>
      </c>
      <c r="C657" s="59">
        <v>2199</v>
      </c>
      <c r="D657" s="59" t="s">
        <v>803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ht="15.2" spans="1:10">
      <c r="A658" s="58" t="s">
        <v>1436</v>
      </c>
      <c r="B658" s="59">
        <v>1313.5</v>
      </c>
      <c r="C658" s="59">
        <v>1999</v>
      </c>
      <c r="D658" s="59" t="s">
        <v>803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ht="15.2" spans="1:10">
      <c r="A659" s="58" t="s">
        <v>1437</v>
      </c>
      <c r="B659" s="59">
        <v>5463.68</v>
      </c>
      <c r="C659" s="59">
        <v>8999</v>
      </c>
      <c r="D659" s="59" t="s">
        <v>803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ht="15.2" spans="1:10">
      <c r="A660" s="58" t="s">
        <v>1438</v>
      </c>
      <c r="B660" s="59">
        <v>5302.98</v>
      </c>
      <c r="C660" s="59">
        <v>8999</v>
      </c>
      <c r="D660" s="59" t="s">
        <v>803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ht="15.2" spans="1:10">
      <c r="A661" s="58" t="s">
        <v>1439</v>
      </c>
      <c r="B661" s="59">
        <v>267</v>
      </c>
      <c r="C661" s="59">
        <v>565</v>
      </c>
      <c r="D661" s="59" t="s">
        <v>801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80.1</v>
      </c>
      <c r="J661" s="60">
        <f t="shared" si="33"/>
        <v>169.5</v>
      </c>
    </row>
    <row r="662" ht="15.2" spans="1:10">
      <c r="A662" s="58" t="s">
        <v>1440</v>
      </c>
      <c r="B662" s="59">
        <v>1379.21</v>
      </c>
      <c r="C662" s="59">
        <v>2099</v>
      </c>
      <c r="D662" s="59" t="s">
        <v>803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ht="15.2" spans="1:10">
      <c r="A663" s="58" t="s">
        <v>1441</v>
      </c>
      <c r="B663" s="59">
        <v>258</v>
      </c>
      <c r="C663" s="59">
        <v>615</v>
      </c>
      <c r="D663" s="59" t="s">
        <v>801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ht="15.2" spans="1:10">
      <c r="A664" s="58" t="s">
        <v>1442</v>
      </c>
      <c r="B664" s="59">
        <v>1510.63</v>
      </c>
      <c r="C664" s="59">
        <v>2299</v>
      </c>
      <c r="D664" s="59" t="s">
        <v>803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ht="15.2" spans="1:10">
      <c r="A665" s="58" t="s">
        <v>1443</v>
      </c>
      <c r="B665" s="59">
        <v>1092.25</v>
      </c>
      <c r="C665" s="59">
        <v>1799</v>
      </c>
      <c r="D665" s="59" t="s">
        <v>803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ht="15.2" spans="1:10">
      <c r="A666" s="58" t="s">
        <v>1444</v>
      </c>
      <c r="B666" s="59">
        <v>1416.6</v>
      </c>
      <c r="C666" s="59">
        <v>2199</v>
      </c>
      <c r="D666" s="59" t="s">
        <v>803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ht="15.2" spans="1:10">
      <c r="A667" s="58" t="s">
        <v>1445</v>
      </c>
      <c r="B667" s="59">
        <v>1177.98</v>
      </c>
      <c r="C667" s="59">
        <v>1999</v>
      </c>
      <c r="D667" s="59" t="s">
        <v>803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ht="15.2" spans="1:10">
      <c r="A668" s="58" t="s">
        <v>1446</v>
      </c>
      <c r="B668" s="59">
        <v>406</v>
      </c>
      <c r="C668" s="59">
        <v>907</v>
      </c>
      <c r="D668" s="59" t="s">
        <v>801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ht="15.2" spans="1:10">
      <c r="A669" s="58" t="s">
        <v>1447</v>
      </c>
      <c r="B669" s="59">
        <v>384</v>
      </c>
      <c r="C669" s="59">
        <v>966</v>
      </c>
      <c r="D669" s="59" t="s">
        <v>801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</v>
      </c>
      <c r="J669" s="60">
        <f t="shared" si="33"/>
        <v>3091.2</v>
      </c>
    </row>
    <row r="670" ht="15.2" spans="1:10">
      <c r="A670" s="58" t="s">
        <v>1448</v>
      </c>
      <c r="B670" s="59">
        <v>1354.77</v>
      </c>
      <c r="C670" s="59">
        <v>2299</v>
      </c>
      <c r="D670" s="59" t="s">
        <v>803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ht="15.2" spans="1:10">
      <c r="A671" s="58" t="s">
        <v>1449</v>
      </c>
      <c r="B671" s="59">
        <v>977</v>
      </c>
      <c r="C671" s="59">
        <v>2327</v>
      </c>
      <c r="D671" s="59" t="s">
        <v>801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ht="15.2" spans="1:10">
      <c r="A672" s="58" t="s">
        <v>1450</v>
      </c>
      <c r="B672" s="59">
        <v>910.24</v>
      </c>
      <c r="C672" s="59">
        <v>1399</v>
      </c>
      <c r="D672" s="59" t="s">
        <v>803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ht="15.2" spans="1:10">
      <c r="A673" s="58" t="s">
        <v>1451</v>
      </c>
      <c r="B673" s="59">
        <v>461</v>
      </c>
      <c r="C673" s="59">
        <v>1094</v>
      </c>
      <c r="D673" s="59" t="s">
        <v>801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ht="15.2" spans="1:10">
      <c r="A674" s="58" t="s">
        <v>1452</v>
      </c>
      <c r="B674" s="59">
        <v>539.1</v>
      </c>
      <c r="C674" s="59">
        <v>1338</v>
      </c>
      <c r="D674" s="59" t="s">
        <v>801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10168.8</v>
      </c>
    </row>
    <row r="675" ht="15.2" spans="1:10">
      <c r="A675" s="58" t="s">
        <v>1453</v>
      </c>
      <c r="B675" s="59">
        <v>3745.19</v>
      </c>
      <c r="C675" s="59">
        <v>6499</v>
      </c>
      <c r="D675" s="59" t="s">
        <v>803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ht="15.2" spans="1:10">
      <c r="A676" s="58" t="s">
        <v>1454</v>
      </c>
      <c r="B676" s="59">
        <v>273</v>
      </c>
      <c r="C676" s="59">
        <v>561</v>
      </c>
      <c r="D676" s="59" t="s">
        <v>801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163.8</v>
      </c>
      <c r="J676" s="60">
        <f t="shared" si="33"/>
        <v>336.6</v>
      </c>
    </row>
    <row r="677" ht="15.2" spans="1:10">
      <c r="A677" s="58" t="s">
        <v>1455</v>
      </c>
      <c r="B677" s="59">
        <v>2102</v>
      </c>
      <c r="C677" s="59">
        <v>3199</v>
      </c>
      <c r="D677" s="59" t="s">
        <v>803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ht="15.2" spans="1:10">
      <c r="A678" s="58" t="s">
        <v>1456</v>
      </c>
      <c r="B678" s="59">
        <v>1510.63</v>
      </c>
      <c r="C678" s="59">
        <v>2299</v>
      </c>
      <c r="D678" s="59" t="s">
        <v>803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ht="15.2" spans="1:10">
      <c r="A679" s="58" t="s">
        <v>1457</v>
      </c>
      <c r="B679" s="59">
        <v>1094.5</v>
      </c>
      <c r="C679" s="59">
        <v>1699</v>
      </c>
      <c r="D679" s="59" t="s">
        <v>803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ht="15.2" spans="1:10">
      <c r="A680" s="58" t="s">
        <v>1458</v>
      </c>
      <c r="B680" s="59">
        <v>1335.11</v>
      </c>
      <c r="C680" s="59">
        <v>2199</v>
      </c>
      <c r="D680" s="59" t="s">
        <v>803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ht="15.2" spans="1:10">
      <c r="A681" s="58" t="s">
        <v>1459</v>
      </c>
      <c r="B681" s="59">
        <v>819</v>
      </c>
      <c r="C681" s="59">
        <v>2049</v>
      </c>
      <c r="D681" s="59" t="s">
        <v>801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</v>
      </c>
      <c r="J681" s="60">
        <f t="shared" si="33"/>
        <v>3278.4</v>
      </c>
    </row>
    <row r="682" ht="15.2" spans="1:10">
      <c r="A682" s="58" t="s">
        <v>1460</v>
      </c>
      <c r="B682" s="59">
        <v>259</v>
      </c>
      <c r="C682" s="59">
        <v>635</v>
      </c>
      <c r="D682" s="59" t="s">
        <v>801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ht="15.2" spans="1:10">
      <c r="A683" s="58" t="s">
        <v>1461</v>
      </c>
      <c r="B683" s="59">
        <v>400</v>
      </c>
      <c r="C683" s="59">
        <v>922</v>
      </c>
      <c r="D683" s="59" t="s">
        <v>801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ht="15.2" spans="1:10">
      <c r="A684" s="58" t="s">
        <v>1462</v>
      </c>
      <c r="B684" s="59">
        <v>306</v>
      </c>
      <c r="C684" s="59">
        <v>712</v>
      </c>
      <c r="D684" s="59" t="s">
        <v>801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4129.6</v>
      </c>
    </row>
    <row r="685" ht="15.2" spans="1:10">
      <c r="A685" s="58" t="s">
        <v>1463</v>
      </c>
      <c r="B685" s="59">
        <v>286.3</v>
      </c>
      <c r="C685" s="59">
        <v>859</v>
      </c>
      <c r="D685" s="59" t="s">
        <v>801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10050.3</v>
      </c>
    </row>
    <row r="686" ht="15.2" spans="1:10">
      <c r="A686" s="58" t="s">
        <v>1464</v>
      </c>
      <c r="B686" s="59">
        <v>1354.77</v>
      </c>
      <c r="C686" s="59">
        <v>2299</v>
      </c>
      <c r="D686" s="59" t="s">
        <v>803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ht="15.2" spans="1:10">
      <c r="A687" s="58" t="s">
        <v>1465</v>
      </c>
      <c r="B687" s="59">
        <v>656.42</v>
      </c>
      <c r="C687" s="59">
        <v>999</v>
      </c>
      <c r="D687" s="59" t="s">
        <v>803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ht="15.2" spans="1:10">
      <c r="A688" s="58" t="s">
        <v>1466</v>
      </c>
      <c r="B688" s="59">
        <v>841.26</v>
      </c>
      <c r="C688" s="59">
        <v>1299</v>
      </c>
      <c r="D688" s="59" t="s">
        <v>803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ht="15.2" spans="1:10">
      <c r="A689" s="58" t="s">
        <v>1467</v>
      </c>
      <c r="B689" s="59">
        <v>1576.34</v>
      </c>
      <c r="C689" s="59">
        <v>2399</v>
      </c>
      <c r="D689" s="59" t="s">
        <v>803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ht="15.2" spans="1:10">
      <c r="A690" s="58" t="s">
        <v>1468</v>
      </c>
      <c r="B690" s="59">
        <v>1247.8</v>
      </c>
      <c r="C690" s="59">
        <v>1899</v>
      </c>
      <c r="D690" s="59" t="s">
        <v>803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ht="15.2" spans="1:10">
      <c r="A691" s="58" t="s">
        <v>1469</v>
      </c>
      <c r="B691" s="59">
        <v>1119.05</v>
      </c>
      <c r="C691" s="59">
        <v>1899</v>
      </c>
      <c r="D691" s="59" t="s">
        <v>803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ht="15.2" spans="1:10">
      <c r="A692" s="58" t="s">
        <v>1470</v>
      </c>
      <c r="B692" s="59">
        <v>841.26</v>
      </c>
      <c r="C692" s="59">
        <v>1299</v>
      </c>
      <c r="D692" s="59" t="s">
        <v>803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ht="15.2" spans="1:10">
      <c r="A693" s="58" t="s">
        <v>1471</v>
      </c>
      <c r="B693" s="59">
        <v>1152.96</v>
      </c>
      <c r="C693" s="59">
        <v>1899</v>
      </c>
      <c r="D693" s="59" t="s">
        <v>803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ht="15.2" spans="1:10">
      <c r="A694" s="58" t="s">
        <v>1472</v>
      </c>
      <c r="B694" s="59">
        <v>1820.82</v>
      </c>
      <c r="C694" s="59">
        <v>2899</v>
      </c>
      <c r="D694" s="59" t="s">
        <v>803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ht="15.2" spans="1:10">
      <c r="A695" s="58" t="s">
        <v>1473</v>
      </c>
      <c r="B695" s="59">
        <v>306</v>
      </c>
      <c r="C695" s="59">
        <v>727</v>
      </c>
      <c r="D695" s="59" t="s">
        <v>801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ht="15.2" spans="1:10">
      <c r="A696" s="58" t="s">
        <v>1474</v>
      </c>
      <c r="B696" s="59">
        <v>402</v>
      </c>
      <c r="C696" s="59">
        <v>938</v>
      </c>
      <c r="D696" s="59" t="s">
        <v>801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</v>
      </c>
      <c r="J696" s="60">
        <f t="shared" si="33"/>
        <v>375.2</v>
      </c>
    </row>
    <row r="697" ht="15.2" spans="1:10">
      <c r="A697" s="58" t="s">
        <v>1475</v>
      </c>
      <c r="B697" s="59">
        <v>400</v>
      </c>
      <c r="C697" s="59">
        <v>939</v>
      </c>
      <c r="D697" s="59" t="s">
        <v>801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ht="15.2" spans="1:10">
      <c r="A698" s="58" t="s">
        <v>1476</v>
      </c>
      <c r="B698" s="59">
        <v>1313.5</v>
      </c>
      <c r="C698" s="59">
        <v>1999</v>
      </c>
      <c r="D698" s="59" t="s">
        <v>803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ht="15.2" spans="1:10">
      <c r="A699" s="58">
        <v>8907378327840</v>
      </c>
      <c r="B699" s="59">
        <v>1444.92</v>
      </c>
      <c r="C699" s="59">
        <v>2199</v>
      </c>
      <c r="D699" s="59" t="s">
        <v>803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ht="15.2" spans="1:10">
      <c r="A700" s="58" t="s">
        <v>1477</v>
      </c>
      <c r="B700" s="59">
        <v>1152.96</v>
      </c>
      <c r="C700" s="59">
        <v>1899</v>
      </c>
      <c r="D700" s="59" t="s">
        <v>803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ht="15.2" spans="1:10">
      <c r="A701" s="58" t="s">
        <v>1478</v>
      </c>
      <c r="B701" s="59">
        <v>759</v>
      </c>
      <c r="C701" s="59">
        <v>1807</v>
      </c>
      <c r="D701" s="59" t="s">
        <v>801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ht="15.2" spans="1:10">
      <c r="A702" s="58" t="s">
        <v>1479</v>
      </c>
      <c r="B702" s="59">
        <v>499</v>
      </c>
      <c r="C702" s="59">
        <v>1117</v>
      </c>
      <c r="D702" s="59" t="s">
        <v>801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</v>
      </c>
      <c r="J702" s="60">
        <f t="shared" si="33"/>
        <v>7148.8</v>
      </c>
    </row>
    <row r="703" ht="15.2" spans="1:10">
      <c r="A703" s="58" t="s">
        <v>1480</v>
      </c>
      <c r="B703" s="59">
        <v>517.45</v>
      </c>
      <c r="C703" s="59">
        <v>799</v>
      </c>
      <c r="D703" s="59" t="s">
        <v>803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</v>
      </c>
      <c r="J703" s="60">
        <f t="shared" si="33"/>
        <v>1598</v>
      </c>
    </row>
    <row r="704" ht="15.2" spans="1:10">
      <c r="A704" s="58" t="s">
        <v>1481</v>
      </c>
      <c r="B704" s="59">
        <v>656.42</v>
      </c>
      <c r="C704" s="59">
        <v>999</v>
      </c>
      <c r="D704" s="59" t="s">
        <v>803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ht="15.2" spans="1:10">
      <c r="A705" s="58" t="s">
        <v>1482</v>
      </c>
      <c r="B705" s="59">
        <v>2002.96</v>
      </c>
      <c r="C705" s="59">
        <v>3299</v>
      </c>
      <c r="D705" s="59" t="s">
        <v>803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ht="15.2" spans="1:10">
      <c r="A706" s="58" t="s">
        <v>1483</v>
      </c>
      <c r="B706" s="59">
        <v>4856.54</v>
      </c>
      <c r="C706" s="59">
        <v>7999</v>
      </c>
      <c r="D706" s="59" t="s">
        <v>803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ht="15.2" spans="1:10">
      <c r="A707" s="58" t="s">
        <v>1484</v>
      </c>
      <c r="B707" s="59">
        <v>1060.13</v>
      </c>
      <c r="C707" s="59">
        <v>1799</v>
      </c>
      <c r="D707" s="59" t="s">
        <v>803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ht="15.2" spans="1:10">
      <c r="A708" s="58" t="s">
        <v>1485</v>
      </c>
      <c r="B708" s="59">
        <v>1472.63</v>
      </c>
      <c r="C708" s="59">
        <v>2499</v>
      </c>
      <c r="D708" s="59" t="s">
        <v>803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ht="15.2" spans="1:10">
      <c r="A709" s="58" t="s">
        <v>1486</v>
      </c>
      <c r="B709" s="59">
        <v>306</v>
      </c>
      <c r="C709" s="59">
        <v>727</v>
      </c>
      <c r="D709" s="59" t="s">
        <v>801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ht="15.2" spans="1:10">
      <c r="A710" s="58" t="s">
        <v>1487</v>
      </c>
      <c r="B710" s="59">
        <v>984.96</v>
      </c>
      <c r="C710" s="59">
        <v>1499</v>
      </c>
      <c r="D710" s="59" t="s">
        <v>803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ht="15.2" spans="1:10">
      <c r="A711" s="58" t="s">
        <v>1488</v>
      </c>
      <c r="B711" s="59">
        <v>192</v>
      </c>
      <c r="C711" s="59">
        <v>430</v>
      </c>
      <c r="D711" s="59" t="s">
        <v>801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1747.2</v>
      </c>
      <c r="J711" s="60">
        <f t="shared" si="36"/>
        <v>3913</v>
      </c>
    </row>
    <row r="712" ht="15.2" spans="1:10">
      <c r="A712" s="58" t="s">
        <v>1489</v>
      </c>
      <c r="B712" s="59">
        <v>1472.63</v>
      </c>
      <c r="C712" s="59">
        <v>2499</v>
      </c>
      <c r="D712" s="59" t="s">
        <v>803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ht="15.2" spans="1:10">
      <c r="A713" s="58" t="s">
        <v>1490</v>
      </c>
      <c r="B713" s="59">
        <v>901.24</v>
      </c>
      <c r="C713" s="59">
        <v>1399</v>
      </c>
      <c r="D713" s="59" t="s">
        <v>803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ht="15.2" spans="1:10">
      <c r="A714" s="58" t="s">
        <v>1491</v>
      </c>
      <c r="B714" s="59">
        <v>1213.68</v>
      </c>
      <c r="C714" s="59">
        <v>1999</v>
      </c>
      <c r="D714" s="59" t="s">
        <v>803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ht="15.2" spans="1:10">
      <c r="A715" s="58" t="s">
        <v>1492</v>
      </c>
      <c r="B715" s="59">
        <v>1444.92</v>
      </c>
      <c r="C715" s="59">
        <v>2199</v>
      </c>
      <c r="D715" s="59" t="s">
        <v>803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ht="15.2" spans="1:10">
      <c r="A716" s="58" t="s">
        <v>1493</v>
      </c>
      <c r="B716" s="59">
        <v>260</v>
      </c>
      <c r="C716" s="59">
        <v>655</v>
      </c>
      <c r="D716" s="59" t="s">
        <v>801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ht="15.2" spans="1:10">
      <c r="A717" s="58" t="s">
        <v>1494</v>
      </c>
      <c r="B717" s="59">
        <v>517.45</v>
      </c>
      <c r="C717" s="59">
        <v>799</v>
      </c>
      <c r="D717" s="59" t="s">
        <v>803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ht="15.2" spans="1:10">
      <c r="A718" s="58" t="s">
        <v>1495</v>
      </c>
      <c r="B718" s="59">
        <v>266</v>
      </c>
      <c r="C718" s="59">
        <v>618</v>
      </c>
      <c r="D718" s="59" t="s">
        <v>801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</v>
      </c>
    </row>
    <row r="719" ht="15.2" spans="1:10">
      <c r="A719" s="58" t="s">
        <v>1496</v>
      </c>
      <c r="B719" s="59">
        <v>1287.76</v>
      </c>
      <c r="C719" s="59">
        <v>1999</v>
      </c>
      <c r="D719" s="59" t="s">
        <v>803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ht="15.2" spans="1:10">
      <c r="A720" s="58" t="s">
        <v>1497</v>
      </c>
      <c r="B720" s="59">
        <v>492.8</v>
      </c>
      <c r="C720" s="59">
        <v>710</v>
      </c>
      <c r="D720" s="59" t="s">
        <v>801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7952</v>
      </c>
    </row>
    <row r="721" ht="15.2" spans="1:10">
      <c r="A721" s="58" t="s">
        <v>1498</v>
      </c>
      <c r="B721" s="59">
        <v>656.42</v>
      </c>
      <c r="C721" s="59">
        <v>999</v>
      </c>
      <c r="D721" s="59" t="s">
        <v>803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ht="15.2" spans="1:10">
      <c r="A722" s="58" t="s">
        <v>1499</v>
      </c>
      <c r="B722" s="59">
        <v>1773.46</v>
      </c>
      <c r="C722" s="59">
        <v>2699</v>
      </c>
      <c r="D722" s="59" t="s">
        <v>803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ht="15.2" spans="1:10">
      <c r="A723" s="58" t="s">
        <v>686</v>
      </c>
      <c r="B723" s="59">
        <v>336</v>
      </c>
      <c r="C723" s="59">
        <v>790</v>
      </c>
      <c r="D723" s="59" t="s">
        <v>801</v>
      </c>
      <c r="E723" s="59">
        <v>9.95</v>
      </c>
      <c r="F723" s="59">
        <v>9.95</v>
      </c>
      <c r="G723" s="59">
        <v>0</v>
      </c>
      <c r="H723" s="60">
        <f t="shared" si="34"/>
        <v>9.95</v>
      </c>
      <c r="I723" s="60">
        <f t="shared" si="35"/>
        <v>3343.2</v>
      </c>
      <c r="J723" s="60">
        <f t="shared" si="36"/>
        <v>7860.5</v>
      </c>
    </row>
    <row r="724" ht="15.2" spans="1:10">
      <c r="A724" s="58" t="s">
        <v>1500</v>
      </c>
      <c r="B724" s="59">
        <v>1517.25</v>
      </c>
      <c r="C724" s="59">
        <v>2499</v>
      </c>
      <c r="D724" s="59" t="s">
        <v>803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ht="15.2" spans="1:10">
      <c r="A725" s="58" t="s">
        <v>1501</v>
      </c>
      <c r="B725" s="59">
        <v>1444.92</v>
      </c>
      <c r="C725" s="59">
        <v>2199</v>
      </c>
      <c r="D725" s="59" t="s">
        <v>803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ht="15.2" spans="1:10">
      <c r="A726" s="58" t="s">
        <v>1502</v>
      </c>
      <c r="B726" s="59">
        <v>1820.82</v>
      </c>
      <c r="C726" s="59">
        <v>2999</v>
      </c>
      <c r="D726" s="59" t="s">
        <v>803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ht="15.2" spans="1:10">
      <c r="A727" s="58" t="s">
        <v>1503</v>
      </c>
      <c r="B727" s="59">
        <v>1335.11</v>
      </c>
      <c r="C727" s="59">
        <v>2199</v>
      </c>
      <c r="D727" s="59" t="s">
        <v>803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ht="15.2" spans="1:10">
      <c r="A728" s="58" t="s">
        <v>1504</v>
      </c>
      <c r="B728" s="59">
        <v>425</v>
      </c>
      <c r="C728" s="59">
        <v>951</v>
      </c>
      <c r="D728" s="59" t="s">
        <v>801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ht="15.2" spans="1:10">
      <c r="A729" s="58" t="s">
        <v>1505</v>
      </c>
      <c r="B729" s="59">
        <v>390</v>
      </c>
      <c r="C729" s="59">
        <v>966</v>
      </c>
      <c r="D729" s="59" t="s">
        <v>801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</v>
      </c>
    </row>
    <row r="730" ht="15.2" spans="1:10">
      <c r="A730" s="58" t="s">
        <v>1506</v>
      </c>
      <c r="B730" s="59">
        <v>699</v>
      </c>
      <c r="C730" s="59">
        <v>1468</v>
      </c>
      <c r="D730" s="59" t="s">
        <v>801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ht="15.2" spans="1:10">
      <c r="A731" s="58" t="s">
        <v>1507</v>
      </c>
      <c r="B731" s="59">
        <v>438</v>
      </c>
      <c r="C731" s="59">
        <v>958</v>
      </c>
      <c r="D731" s="59" t="s">
        <v>801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ht="15.2" spans="1:10">
      <c r="A732" s="58" t="s">
        <v>1508</v>
      </c>
      <c r="B732" s="59">
        <v>460</v>
      </c>
      <c r="C732" s="59">
        <v>1157</v>
      </c>
      <c r="D732" s="59" t="s">
        <v>801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ht="15.2" spans="1:10">
      <c r="A733" s="58" t="s">
        <v>1509</v>
      </c>
      <c r="B733" s="59">
        <v>1349</v>
      </c>
      <c r="C733" s="59">
        <v>3060</v>
      </c>
      <c r="D733" s="59" t="s">
        <v>801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2293.3</v>
      </c>
      <c r="J733" s="60">
        <f t="shared" si="36"/>
        <v>5202</v>
      </c>
    </row>
    <row r="734" ht="15.2" spans="1:10">
      <c r="A734" s="58" t="s">
        <v>1510</v>
      </c>
      <c r="B734" s="59">
        <v>2063.68</v>
      </c>
      <c r="C734" s="59">
        <v>3399</v>
      </c>
      <c r="D734" s="59" t="s">
        <v>803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ht="15.2" spans="1:10">
      <c r="A735" s="58" t="s">
        <v>1511</v>
      </c>
      <c r="B735" s="59">
        <v>1416.6</v>
      </c>
      <c r="C735" s="59">
        <v>2199</v>
      </c>
      <c r="D735" s="59" t="s">
        <v>803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ht="15.2" spans="1:10">
      <c r="A736" s="58" t="s">
        <v>1512</v>
      </c>
      <c r="B736" s="59">
        <v>1043.81</v>
      </c>
      <c r="C736" s="59">
        <v>1599</v>
      </c>
      <c r="D736" s="59" t="s">
        <v>803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ht="15.2" spans="1:10">
      <c r="A737" s="58" t="s">
        <v>1513</v>
      </c>
      <c r="B737" s="59">
        <v>871.32</v>
      </c>
      <c r="C737" s="59">
        <v>2164</v>
      </c>
      <c r="D737" s="59" t="s">
        <v>801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ht="15.2" spans="1:10">
      <c r="A738" s="58" t="s">
        <v>1514</v>
      </c>
      <c r="B738" s="59">
        <v>1638.68</v>
      </c>
      <c r="C738" s="59">
        <v>2699</v>
      </c>
      <c r="D738" s="59" t="s">
        <v>803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ht="15.2" spans="1:10">
      <c r="A739" s="58" t="s">
        <v>1515</v>
      </c>
      <c r="B739" s="59">
        <v>1444.92</v>
      </c>
      <c r="C739" s="59">
        <v>2199</v>
      </c>
      <c r="D739" s="59" t="s">
        <v>803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ht="15.2" spans="1:10">
      <c r="A740" s="58" t="s">
        <v>123</v>
      </c>
      <c r="B740" s="59">
        <v>259</v>
      </c>
      <c r="C740" s="59">
        <v>615</v>
      </c>
      <c r="D740" s="59" t="s">
        <v>801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ht="15.2" spans="1:10">
      <c r="A741" s="58" t="s">
        <v>1516</v>
      </c>
      <c r="B741" s="59">
        <v>449</v>
      </c>
      <c r="C741" s="59">
        <v>999</v>
      </c>
      <c r="D741" s="59" t="s">
        <v>801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ht="15.2" spans="1:10">
      <c r="A742" s="58" t="s">
        <v>1517</v>
      </c>
      <c r="B742" s="59">
        <v>1274.39</v>
      </c>
      <c r="C742" s="59">
        <v>2099</v>
      </c>
      <c r="D742" s="59" t="s">
        <v>803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</v>
      </c>
      <c r="J742" s="60">
        <f t="shared" si="36"/>
        <v>2099</v>
      </c>
    </row>
    <row r="743" ht="15.2" spans="1:10">
      <c r="A743" s="58" t="s">
        <v>1518</v>
      </c>
      <c r="B743" s="59">
        <v>906.02</v>
      </c>
      <c r="C743" s="59">
        <v>1399</v>
      </c>
      <c r="D743" s="59" t="s">
        <v>803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ht="15.2" spans="1:10">
      <c r="A744" s="58" t="s">
        <v>1519</v>
      </c>
      <c r="B744" s="59">
        <v>1517.25</v>
      </c>
      <c r="C744" s="59">
        <v>2499</v>
      </c>
      <c r="D744" s="59" t="s">
        <v>803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ht="15.2" spans="1:10">
      <c r="A745" s="58" t="s">
        <v>1520</v>
      </c>
      <c r="B745" s="59">
        <v>1379.21</v>
      </c>
      <c r="C745" s="59">
        <v>2099</v>
      </c>
      <c r="D745" s="59" t="s">
        <v>803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ht="15.2" spans="1:10">
      <c r="A746" s="58" t="s">
        <v>1521</v>
      </c>
      <c r="B746" s="59">
        <v>1820.82</v>
      </c>
      <c r="C746" s="59">
        <v>2899</v>
      </c>
      <c r="D746" s="59" t="s">
        <v>803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ht="15.2" spans="1:10">
      <c r="A747" s="58" t="s">
        <v>1522</v>
      </c>
      <c r="B747" s="59">
        <v>1274.39</v>
      </c>
      <c r="C747" s="59">
        <v>2099</v>
      </c>
      <c r="D747" s="59" t="s">
        <v>803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</v>
      </c>
      <c r="J747" s="60">
        <f t="shared" si="36"/>
        <v>4198</v>
      </c>
    </row>
    <row r="748" ht="15.2" spans="1:10">
      <c r="A748" s="58" t="s">
        <v>1523</v>
      </c>
      <c r="B748" s="59">
        <v>5892.27</v>
      </c>
      <c r="C748" s="59">
        <v>9999</v>
      </c>
      <c r="D748" s="59" t="s">
        <v>803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ht="15.2" spans="1:10">
      <c r="A749" s="58" t="s">
        <v>1524</v>
      </c>
      <c r="B749" s="59">
        <v>699</v>
      </c>
      <c r="C749" s="59">
        <v>1468</v>
      </c>
      <c r="D749" s="59" t="s">
        <v>801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ht="15.2" spans="1:10">
      <c r="A750" s="58" t="s">
        <v>1525</v>
      </c>
      <c r="B750" s="59">
        <v>452.69</v>
      </c>
      <c r="C750" s="59">
        <v>699</v>
      </c>
      <c r="D750" s="59" t="s">
        <v>803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ht="15.2" spans="1:10">
      <c r="A751" s="58" t="s">
        <v>1526</v>
      </c>
      <c r="B751" s="59">
        <v>1472.63</v>
      </c>
      <c r="C751" s="59">
        <v>2499</v>
      </c>
      <c r="D751" s="59" t="s">
        <v>803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ht="15.2" spans="1:10">
      <c r="A752" s="58" t="s">
        <v>1527</v>
      </c>
      <c r="B752" s="59">
        <v>608</v>
      </c>
      <c r="C752" s="59">
        <v>1240</v>
      </c>
      <c r="D752" s="59" t="s">
        <v>801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ht="15.2" spans="1:10">
      <c r="A753" s="58" t="s">
        <v>1528</v>
      </c>
      <c r="B753" s="59">
        <v>769</v>
      </c>
      <c r="C753" s="59">
        <v>1825</v>
      </c>
      <c r="D753" s="59" t="s">
        <v>801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ht="15.2" spans="1:10">
      <c r="A754" s="58" t="s">
        <v>1529</v>
      </c>
      <c r="B754" s="59">
        <v>1548.45</v>
      </c>
      <c r="C754" s="59">
        <v>2499</v>
      </c>
      <c r="D754" s="59" t="s">
        <v>803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ht="15.2" spans="1:10">
      <c r="A755" s="58" t="s">
        <v>1530</v>
      </c>
      <c r="B755" s="59">
        <v>1213.68</v>
      </c>
      <c r="C755" s="59">
        <v>1999</v>
      </c>
      <c r="D755" s="59" t="s">
        <v>803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ht="15.2" spans="1:10">
      <c r="A756" s="58" t="s">
        <v>1531</v>
      </c>
      <c r="B756" s="59">
        <v>1395.82</v>
      </c>
      <c r="C756" s="59">
        <v>2299</v>
      </c>
      <c r="D756" s="59" t="s">
        <v>803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ht="15.2" spans="1:10">
      <c r="A757" s="58" t="s">
        <v>1532</v>
      </c>
      <c r="B757" s="59">
        <v>1354.77</v>
      </c>
      <c r="C757" s="59">
        <v>2299</v>
      </c>
      <c r="D757" s="59" t="s">
        <v>803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ht="15.2" spans="1:10">
      <c r="A758" s="58" t="s">
        <v>1533</v>
      </c>
      <c r="B758" s="59">
        <v>1379.21</v>
      </c>
      <c r="C758" s="59">
        <v>2099</v>
      </c>
      <c r="D758" s="59" t="s">
        <v>803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ht="15.2" spans="1:10">
      <c r="A759" s="58" t="s">
        <v>1534</v>
      </c>
      <c r="B759" s="59">
        <v>1177.98</v>
      </c>
      <c r="C759" s="59">
        <v>1999</v>
      </c>
      <c r="D759" s="59" t="s">
        <v>803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ht="15.2" spans="1:10">
      <c r="A760" s="58" t="s">
        <v>1535</v>
      </c>
      <c r="B760" s="59">
        <v>1152.97</v>
      </c>
      <c r="C760" s="59">
        <v>1899</v>
      </c>
      <c r="D760" s="59" t="s">
        <v>803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ht="15.2" spans="1:10">
      <c r="A761" s="58" t="s">
        <v>1536</v>
      </c>
      <c r="B761" s="59">
        <v>517.45</v>
      </c>
      <c r="C761" s="59">
        <v>799</v>
      </c>
      <c r="D761" s="59" t="s">
        <v>803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ht="15.2" spans="1:10">
      <c r="A762" s="58" t="s">
        <v>1537</v>
      </c>
      <c r="B762" s="59">
        <v>1313.5</v>
      </c>
      <c r="C762" s="59">
        <v>1999</v>
      </c>
      <c r="D762" s="59" t="s">
        <v>803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ht="15.2" spans="1:10">
      <c r="A763" s="58" t="s">
        <v>1538</v>
      </c>
      <c r="B763" s="59">
        <v>413</v>
      </c>
      <c r="C763" s="59">
        <v>1016</v>
      </c>
      <c r="D763" s="59" t="s">
        <v>801</v>
      </c>
      <c r="E763" s="59">
        <v>5.1</v>
      </c>
      <c r="F763" s="59">
        <v>5.1</v>
      </c>
      <c r="G763" s="59">
        <v>0</v>
      </c>
      <c r="H763" s="60">
        <f t="shared" si="37"/>
        <v>5.1</v>
      </c>
      <c r="I763" s="60">
        <f t="shared" si="35"/>
        <v>2106.3</v>
      </c>
      <c r="J763" s="60">
        <f t="shared" si="36"/>
        <v>5181.6</v>
      </c>
    </row>
    <row r="764" ht="15.2" spans="1:10">
      <c r="A764" s="58" t="s">
        <v>1539</v>
      </c>
      <c r="B764" s="59">
        <v>1116.38</v>
      </c>
      <c r="C764" s="59">
        <v>1699</v>
      </c>
      <c r="D764" s="59" t="s">
        <v>803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ht="15.2" spans="1:10">
      <c r="A765" s="58" t="s">
        <v>1540</v>
      </c>
      <c r="B765" s="59">
        <v>1707.76</v>
      </c>
      <c r="C765" s="59">
        <v>2599</v>
      </c>
      <c r="D765" s="59" t="s">
        <v>803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ht="15.2" spans="1:10">
      <c r="A766" s="58">
        <v>8904290614812</v>
      </c>
      <c r="B766" s="59">
        <v>1236.91</v>
      </c>
      <c r="C766" s="59">
        <v>2099</v>
      </c>
      <c r="D766" s="59" t="s">
        <v>803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</v>
      </c>
      <c r="J766" s="60">
        <f t="shared" si="36"/>
        <v>4198</v>
      </c>
    </row>
    <row r="767" ht="15.2" spans="1:10">
      <c r="A767" s="58" t="s">
        <v>1541</v>
      </c>
      <c r="B767" s="59">
        <v>1092.25</v>
      </c>
      <c r="C767" s="59">
        <v>1799</v>
      </c>
      <c r="D767" s="59" t="s">
        <v>803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ht="15.2" spans="1:10">
      <c r="A768" s="58" t="s">
        <v>1542</v>
      </c>
      <c r="B768" s="59">
        <v>1247.8</v>
      </c>
      <c r="C768" s="59">
        <v>1899</v>
      </c>
      <c r="D768" s="59" t="s">
        <v>803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ht="15.2" spans="1:10">
      <c r="A769" s="58" t="s">
        <v>103</v>
      </c>
      <c r="B769" s="59">
        <v>490</v>
      </c>
      <c r="C769" s="59">
        <v>1181</v>
      </c>
      <c r="D769" s="59" t="s">
        <v>801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</v>
      </c>
    </row>
    <row r="770" ht="15.2" spans="1:10">
      <c r="A770" s="58">
        <v>8907686283555</v>
      </c>
      <c r="B770" s="59">
        <v>1213.68</v>
      </c>
      <c r="C770" s="59">
        <v>1999</v>
      </c>
      <c r="D770" s="59" t="s">
        <v>803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ht="15.2" spans="1:10">
      <c r="A771" s="58" t="s">
        <v>1543</v>
      </c>
      <c r="B771" s="59">
        <v>1444.92</v>
      </c>
      <c r="C771" s="59">
        <v>2199</v>
      </c>
      <c r="D771" s="59" t="s">
        <v>803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ht="15.2" spans="1:10">
      <c r="A772" s="58">
        <v>8907259690018</v>
      </c>
      <c r="B772" s="59">
        <v>656.42</v>
      </c>
      <c r="C772" s="59">
        <v>999</v>
      </c>
      <c r="D772" s="59" t="s">
        <v>803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ht="15.2" spans="1:10">
      <c r="A773" s="58" t="s">
        <v>1544</v>
      </c>
      <c r="B773" s="59">
        <v>0</v>
      </c>
      <c r="C773" s="59">
        <v>0</v>
      </c>
      <c r="D773" s="59" t="s">
        <v>815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ht="15.2" spans="1:10">
      <c r="A774" s="58" t="s">
        <v>1545</v>
      </c>
      <c r="B774" s="59">
        <v>665</v>
      </c>
      <c r="C774" s="59">
        <v>1545</v>
      </c>
      <c r="D774" s="59" t="s">
        <v>801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ht="15.2" spans="1:10">
      <c r="A775" s="58">
        <v>8907686932811</v>
      </c>
      <c r="B775" s="59">
        <v>1638.68</v>
      </c>
      <c r="C775" s="59">
        <v>2699</v>
      </c>
      <c r="D775" s="59" t="s">
        <v>803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ht="15.2" spans="1:10">
      <c r="A776" s="58" t="s">
        <v>1546</v>
      </c>
      <c r="B776" s="59">
        <v>1213.68</v>
      </c>
      <c r="C776" s="59">
        <v>1999</v>
      </c>
      <c r="D776" s="59" t="s">
        <v>803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ht="15.2" spans="1:10">
      <c r="A777" s="58" t="s">
        <v>1547</v>
      </c>
      <c r="B777" s="59">
        <v>1649.41</v>
      </c>
      <c r="C777" s="59">
        <v>2799</v>
      </c>
      <c r="D777" s="59" t="s">
        <v>803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ht="15.2" spans="1:10">
      <c r="A778" s="58" t="s">
        <v>1548</v>
      </c>
      <c r="B778" s="59">
        <v>112</v>
      </c>
      <c r="C778" s="59">
        <v>236</v>
      </c>
      <c r="D778" s="59" t="s">
        <v>801</v>
      </c>
      <c r="E778" s="59">
        <v>16.6</v>
      </c>
      <c r="F778" s="59">
        <v>16.6</v>
      </c>
      <c r="G778" s="59">
        <v>0</v>
      </c>
      <c r="H778" s="60">
        <f t="shared" si="37"/>
        <v>16.6</v>
      </c>
      <c r="I778" s="60">
        <f t="shared" si="38"/>
        <v>1859.2</v>
      </c>
      <c r="J778" s="60">
        <f t="shared" si="39"/>
        <v>3917.6</v>
      </c>
    </row>
    <row r="779" ht="15.2" spans="1:10">
      <c r="A779" s="58" t="s">
        <v>1549</v>
      </c>
      <c r="B779" s="59">
        <v>999</v>
      </c>
      <c r="C779" s="59">
        <v>2098</v>
      </c>
      <c r="D779" s="59" t="s">
        <v>801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ht="15.2" spans="1:10">
      <c r="A780" s="58" t="s">
        <v>1550</v>
      </c>
      <c r="B780" s="59">
        <v>1379.21</v>
      </c>
      <c r="C780" s="59">
        <v>2099</v>
      </c>
      <c r="D780" s="59" t="s">
        <v>803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ht="15.2" spans="1:10">
      <c r="A781" s="58" t="s">
        <v>1551</v>
      </c>
      <c r="B781" s="59">
        <v>1707.76</v>
      </c>
      <c r="C781" s="59">
        <v>2599</v>
      </c>
      <c r="D781" s="59" t="s">
        <v>803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ht="15.2" spans="1:10">
      <c r="A782" s="58" t="s">
        <v>1552</v>
      </c>
      <c r="B782" s="59">
        <v>1576.34</v>
      </c>
      <c r="C782" s="59">
        <v>2399</v>
      </c>
      <c r="D782" s="59" t="s">
        <v>803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ht="15.2" spans="1:10">
      <c r="A783" s="58" t="s">
        <v>1553</v>
      </c>
      <c r="B783" s="59">
        <v>830</v>
      </c>
      <c r="C783" s="59">
        <v>2118</v>
      </c>
      <c r="D783" s="59" t="s">
        <v>801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ht="15.2" spans="1:10">
      <c r="A784" s="58" t="s">
        <v>709</v>
      </c>
      <c r="B784" s="59">
        <v>428</v>
      </c>
      <c r="C784" s="59">
        <v>982</v>
      </c>
      <c r="D784" s="59" t="s">
        <v>801</v>
      </c>
      <c r="E784" s="59">
        <v>4.9</v>
      </c>
      <c r="F784" s="59">
        <v>4.9</v>
      </c>
      <c r="G784" s="59">
        <v>0</v>
      </c>
      <c r="H784" s="60">
        <f t="shared" si="37"/>
        <v>4.9</v>
      </c>
      <c r="I784" s="60">
        <f t="shared" si="38"/>
        <v>2097.2</v>
      </c>
      <c r="J784" s="60">
        <f t="shared" si="39"/>
        <v>4811.8</v>
      </c>
    </row>
    <row r="785" ht="15.2" spans="1:10">
      <c r="A785" s="58" t="s">
        <v>1554</v>
      </c>
      <c r="B785" s="59">
        <v>405</v>
      </c>
      <c r="C785" s="59">
        <v>999</v>
      </c>
      <c r="D785" s="59" t="s">
        <v>801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ht="15.2" spans="1:10">
      <c r="A786" s="58" t="s">
        <v>1555</v>
      </c>
      <c r="B786" s="59">
        <v>1313.5</v>
      </c>
      <c r="C786" s="59">
        <v>1999</v>
      </c>
      <c r="D786" s="59" t="s">
        <v>803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ht="15.2" spans="1:10">
      <c r="A787" s="58" t="s">
        <v>1556</v>
      </c>
      <c r="B787" s="59">
        <v>1335.11</v>
      </c>
      <c r="C787" s="59">
        <v>2199</v>
      </c>
      <c r="D787" s="59" t="s">
        <v>803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ht="15.2" spans="1:10">
      <c r="A788" s="58" t="s">
        <v>1557</v>
      </c>
      <c r="B788" s="59">
        <v>1577.97</v>
      </c>
      <c r="C788" s="59">
        <v>2599</v>
      </c>
      <c r="D788" s="59" t="s">
        <v>803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ht="15.2" spans="1:10">
      <c r="A789" s="58" t="s">
        <v>1558</v>
      </c>
      <c r="B789" s="59">
        <v>615</v>
      </c>
      <c r="C789" s="59">
        <v>1325</v>
      </c>
      <c r="D789" s="59" t="s">
        <v>801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ht="15.2" spans="1:10">
      <c r="A790" s="58" t="s">
        <v>1559</v>
      </c>
      <c r="B790" s="59">
        <v>1287.76</v>
      </c>
      <c r="C790" s="59">
        <v>1999</v>
      </c>
      <c r="D790" s="59" t="s">
        <v>803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ht="15.2" spans="1:10">
      <c r="A791" s="58" t="s">
        <v>1560</v>
      </c>
      <c r="B791" s="59">
        <v>417</v>
      </c>
      <c r="C791" s="59">
        <v>951</v>
      </c>
      <c r="D791" s="59" t="s">
        <v>801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ht="15.2" spans="1:10">
      <c r="A792" s="58" t="s">
        <v>1561</v>
      </c>
      <c r="B792" s="59">
        <v>317</v>
      </c>
      <c r="C792" s="59">
        <v>680</v>
      </c>
      <c r="D792" s="59" t="s">
        <v>801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ht="15.2" spans="1:10">
      <c r="A793" s="58" t="s">
        <v>1562</v>
      </c>
      <c r="B793" s="59">
        <v>1177.98</v>
      </c>
      <c r="C793" s="59">
        <v>1999</v>
      </c>
      <c r="D793" s="59" t="s">
        <v>803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ht="15.2" spans="1:10">
      <c r="A794" s="58" t="s">
        <v>1563</v>
      </c>
      <c r="B794" s="59">
        <v>1354.77</v>
      </c>
      <c r="C794" s="59">
        <v>2299</v>
      </c>
      <c r="D794" s="59" t="s">
        <v>803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ht="15.2" spans="1:10">
      <c r="A795" s="58" t="s">
        <v>1564</v>
      </c>
      <c r="B795" s="59">
        <v>234</v>
      </c>
      <c r="C795" s="59">
        <v>555</v>
      </c>
      <c r="D795" s="59" t="s">
        <v>801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327.6</v>
      </c>
      <c r="J795" s="60">
        <f t="shared" si="39"/>
        <v>777</v>
      </c>
    </row>
    <row r="796" ht="15.2" spans="1:10">
      <c r="A796" s="58" t="s">
        <v>1565</v>
      </c>
      <c r="B796" s="59">
        <v>722.13</v>
      </c>
      <c r="C796" s="59">
        <v>1099</v>
      </c>
      <c r="D796" s="59" t="s">
        <v>803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ht="15.2" spans="1:10">
      <c r="A797" s="58" t="s">
        <v>1566</v>
      </c>
      <c r="B797" s="59">
        <v>295.02</v>
      </c>
      <c r="C797" s="59">
        <v>449</v>
      </c>
      <c r="D797" s="59" t="s">
        <v>803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ht="15.2" spans="1:10">
      <c r="A798" s="58" t="s">
        <v>1567</v>
      </c>
      <c r="B798" s="59">
        <v>6677.96</v>
      </c>
      <c r="C798" s="59">
        <v>10999</v>
      </c>
      <c r="D798" s="59" t="s">
        <v>803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ht="15.2" spans="1:10">
      <c r="A799" s="58" t="s">
        <v>1568</v>
      </c>
      <c r="B799" s="59">
        <v>1649.41</v>
      </c>
      <c r="C799" s="59">
        <v>2799</v>
      </c>
      <c r="D799" s="59" t="s">
        <v>803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</v>
      </c>
      <c r="J799" s="60">
        <f t="shared" si="39"/>
        <v>8397</v>
      </c>
    </row>
    <row r="800" ht="15.2" spans="1:10">
      <c r="A800" s="58" t="s">
        <v>1569</v>
      </c>
      <c r="B800" s="59">
        <v>1517.25</v>
      </c>
      <c r="C800" s="59">
        <v>2499</v>
      </c>
      <c r="D800" s="59" t="s">
        <v>803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ht="15.2" spans="1:10">
      <c r="A801" s="58" t="s">
        <v>1570</v>
      </c>
      <c r="B801" s="59">
        <v>970.82</v>
      </c>
      <c r="C801" s="59">
        <v>1599</v>
      </c>
      <c r="D801" s="59" t="s">
        <v>803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ht="15.2" spans="1:10">
      <c r="A802" s="58" t="s">
        <v>1571</v>
      </c>
      <c r="B802" s="59">
        <v>1213.68</v>
      </c>
      <c r="C802" s="59">
        <v>1999</v>
      </c>
      <c r="D802" s="59" t="s">
        <v>803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ht="15.2" spans="1:10">
      <c r="A803" s="58" t="s">
        <v>1572</v>
      </c>
      <c r="B803" s="59">
        <v>1177.98</v>
      </c>
      <c r="C803" s="59">
        <v>1999</v>
      </c>
      <c r="D803" s="59" t="s">
        <v>803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ht="15.2" spans="1:10">
      <c r="A804" s="58" t="s">
        <v>1573</v>
      </c>
      <c r="B804" s="59">
        <v>1444.92</v>
      </c>
      <c r="C804" s="59">
        <v>2199</v>
      </c>
      <c r="D804" s="59" t="s">
        <v>803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ht="15.2" spans="1:10">
      <c r="A805" s="58" t="s">
        <v>1574</v>
      </c>
      <c r="B805" s="59">
        <v>564</v>
      </c>
      <c r="C805" s="59">
        <v>1314</v>
      </c>
      <c r="D805" s="59" t="s">
        <v>801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</v>
      </c>
      <c r="J805" s="60">
        <f t="shared" si="39"/>
        <v>2430.9</v>
      </c>
    </row>
    <row r="806" ht="15.2" spans="1:10">
      <c r="A806" s="58" t="s">
        <v>1575</v>
      </c>
      <c r="B806" s="59">
        <v>338</v>
      </c>
      <c r="C806" s="59">
        <v>734</v>
      </c>
      <c r="D806" s="59" t="s">
        <v>801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</v>
      </c>
      <c r="J806" s="60">
        <f t="shared" si="39"/>
        <v>146.8</v>
      </c>
    </row>
    <row r="807" ht="15.2" spans="1:10">
      <c r="A807" s="58" t="s">
        <v>1576</v>
      </c>
      <c r="B807" s="59">
        <v>487</v>
      </c>
      <c r="C807" s="59">
        <v>1154</v>
      </c>
      <c r="D807" s="59" t="s">
        <v>801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ht="15.2" spans="1:10">
      <c r="A808" s="58" t="s">
        <v>1577</v>
      </c>
      <c r="B808" s="59">
        <v>380</v>
      </c>
      <c r="C808" s="59">
        <v>824</v>
      </c>
      <c r="D808" s="59" t="s">
        <v>801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ht="15.2" spans="1:10">
      <c r="A809" s="58" t="s">
        <v>1578</v>
      </c>
      <c r="B809" s="59">
        <v>525</v>
      </c>
      <c r="C809" s="59">
        <v>1102</v>
      </c>
      <c r="D809" s="59" t="s">
        <v>801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ht="15.2" spans="1:10">
      <c r="A810" s="58" t="s">
        <v>1579</v>
      </c>
      <c r="B810" s="59">
        <v>1820.82</v>
      </c>
      <c r="C810" s="59">
        <v>2999</v>
      </c>
      <c r="D810" s="59" t="s">
        <v>803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ht="15.2" spans="1:10">
      <c r="A811" s="58" t="s">
        <v>1580</v>
      </c>
      <c r="B811" s="59">
        <v>901.24</v>
      </c>
      <c r="C811" s="59">
        <v>1399</v>
      </c>
      <c r="D811" s="59" t="s">
        <v>803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ht="15.2" spans="1:10">
      <c r="A812" s="58" t="s">
        <v>1581</v>
      </c>
      <c r="B812" s="59">
        <v>906.02</v>
      </c>
      <c r="C812" s="59">
        <v>1399</v>
      </c>
      <c r="D812" s="59" t="s">
        <v>803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ht="15.2" spans="1:10">
      <c r="A813" s="58" t="s">
        <v>1582</v>
      </c>
      <c r="B813" s="59">
        <v>1247.8</v>
      </c>
      <c r="C813" s="59">
        <v>1899</v>
      </c>
      <c r="D813" s="59" t="s">
        <v>803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ht="15.2" spans="1:10">
      <c r="A814" s="58" t="s">
        <v>1583</v>
      </c>
      <c r="B814" s="59">
        <v>1395.82</v>
      </c>
      <c r="C814" s="59">
        <v>2299</v>
      </c>
      <c r="D814" s="59" t="s">
        <v>803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ht="15.2" spans="1:10">
      <c r="A815" s="58" t="s">
        <v>1584</v>
      </c>
      <c r="B815" s="59">
        <v>396</v>
      </c>
      <c r="C815" s="59">
        <v>924</v>
      </c>
      <c r="D815" s="59" t="s">
        <v>801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2989.8</v>
      </c>
      <c r="J815" s="60">
        <f t="shared" si="39"/>
        <v>6976.2</v>
      </c>
    </row>
    <row r="816" ht="15.2" spans="1:10">
      <c r="A816" s="58" t="s">
        <v>1585</v>
      </c>
      <c r="B816" s="59">
        <v>451</v>
      </c>
      <c r="C816" s="59">
        <v>1057</v>
      </c>
      <c r="D816" s="59" t="s">
        <v>801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4329.6</v>
      </c>
      <c r="J816" s="60">
        <f t="shared" si="39"/>
        <v>10147.2</v>
      </c>
    </row>
    <row r="817" ht="15.2" spans="1:10">
      <c r="A817" s="58" t="s">
        <v>1586</v>
      </c>
      <c r="B817" s="59">
        <v>1395.82</v>
      </c>
      <c r="C817" s="59">
        <v>2299</v>
      </c>
      <c r="D817" s="59" t="s">
        <v>803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ht="15.2" spans="1:10">
      <c r="A818" s="58" t="s">
        <v>1587</v>
      </c>
      <c r="B818" s="59">
        <v>666</v>
      </c>
      <c r="C818" s="59">
        <v>1699</v>
      </c>
      <c r="D818" s="59" t="s">
        <v>801</v>
      </c>
      <c r="E818" s="59">
        <v>4.1</v>
      </c>
      <c r="F818" s="59">
        <v>4.1</v>
      </c>
      <c r="G818" s="59">
        <v>0</v>
      </c>
      <c r="H818" s="60">
        <f t="shared" si="40"/>
        <v>4.1</v>
      </c>
      <c r="I818" s="60">
        <f t="shared" si="38"/>
        <v>2730.6</v>
      </c>
      <c r="J818" s="60">
        <f t="shared" si="39"/>
        <v>6965.9</v>
      </c>
    </row>
    <row r="819" ht="15.2" spans="1:10">
      <c r="A819" s="58" t="s">
        <v>1588</v>
      </c>
      <c r="B819" s="59">
        <v>923</v>
      </c>
      <c r="C819" s="59">
        <v>2783</v>
      </c>
      <c r="D819" s="59" t="s">
        <v>801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</v>
      </c>
    </row>
    <row r="820" ht="15.2" spans="1:10">
      <c r="A820" s="58" t="s">
        <v>1589</v>
      </c>
      <c r="B820" s="59">
        <v>270</v>
      </c>
      <c r="C820" s="59">
        <v>615</v>
      </c>
      <c r="D820" s="59" t="s">
        <v>801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ht="15.2" spans="1:10">
      <c r="A821" s="58" t="s">
        <v>1590</v>
      </c>
      <c r="B821" s="59">
        <v>1942.25</v>
      </c>
      <c r="C821" s="59">
        <v>3199</v>
      </c>
      <c r="D821" s="59" t="s">
        <v>803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ht="15.2" spans="1:10">
      <c r="A822" s="58" t="s">
        <v>1591</v>
      </c>
      <c r="B822" s="59">
        <v>433.84</v>
      </c>
      <c r="C822" s="59">
        <v>638</v>
      </c>
      <c r="D822" s="59" t="s">
        <v>803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ht="15.2" spans="1:10">
      <c r="A823" s="58" t="s">
        <v>1592</v>
      </c>
      <c r="B823" s="59">
        <v>1119.05</v>
      </c>
      <c r="C823" s="59">
        <v>1899</v>
      </c>
      <c r="D823" s="59" t="s">
        <v>803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ht="15.2" spans="1:10">
      <c r="A824" s="58" t="s">
        <v>1593</v>
      </c>
      <c r="B824" s="59">
        <v>1510.63</v>
      </c>
      <c r="C824" s="59">
        <v>2299</v>
      </c>
      <c r="D824" s="59" t="s">
        <v>803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ht="15.2" spans="1:10">
      <c r="A825" s="58" t="s">
        <v>1594</v>
      </c>
      <c r="B825" s="59">
        <v>973</v>
      </c>
      <c r="C825" s="59">
        <v>2472</v>
      </c>
      <c r="D825" s="59" t="s">
        <v>801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ht="15.2" spans="1:10">
      <c r="A826" s="58" t="s">
        <v>1595</v>
      </c>
      <c r="B826" s="59">
        <v>1638.68</v>
      </c>
      <c r="C826" s="59">
        <v>2699</v>
      </c>
      <c r="D826" s="59" t="s">
        <v>803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ht="15.2" spans="1:10">
      <c r="A827" s="58" t="s">
        <v>1596</v>
      </c>
      <c r="B827" s="59">
        <v>405</v>
      </c>
      <c r="C827" s="59">
        <v>941</v>
      </c>
      <c r="D827" s="59" t="s">
        <v>801</v>
      </c>
      <c r="E827" s="59">
        <v>0.14</v>
      </c>
      <c r="F827" s="59">
        <v>0.14</v>
      </c>
      <c r="G827" s="59">
        <v>0</v>
      </c>
      <c r="H827" s="60">
        <f t="shared" si="40"/>
        <v>0.14</v>
      </c>
      <c r="I827" s="60">
        <f t="shared" si="38"/>
        <v>56.7</v>
      </c>
      <c r="J827" s="60">
        <f t="shared" si="39"/>
        <v>131.74</v>
      </c>
    </row>
    <row r="828" ht="15.2" spans="1:10">
      <c r="A828" s="58" t="s">
        <v>1597</v>
      </c>
      <c r="B828" s="59">
        <v>2627.66</v>
      </c>
      <c r="C828" s="59">
        <v>3999</v>
      </c>
      <c r="D828" s="59" t="s">
        <v>803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ht="15.2" spans="1:10">
      <c r="A829" s="58" t="s">
        <v>1598</v>
      </c>
      <c r="B829" s="59">
        <v>2102</v>
      </c>
      <c r="C829" s="59">
        <v>3199</v>
      </c>
      <c r="D829" s="59" t="s">
        <v>803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ht="15.2" spans="1:10">
      <c r="A830" s="58" t="s">
        <v>1599</v>
      </c>
      <c r="B830" s="59">
        <v>910.24</v>
      </c>
      <c r="C830" s="59">
        <v>1399</v>
      </c>
      <c r="D830" s="59" t="s">
        <v>803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ht="15.2" spans="1:10">
      <c r="A831" s="58" t="s">
        <v>66</v>
      </c>
      <c r="B831" s="59">
        <v>525</v>
      </c>
      <c r="C831" s="59">
        <v>1172</v>
      </c>
      <c r="D831" s="59" t="s">
        <v>801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ht="15.2" spans="1:10">
      <c r="A832" s="58" t="s">
        <v>1600</v>
      </c>
      <c r="B832" s="59">
        <v>1213.68</v>
      </c>
      <c r="C832" s="59">
        <v>1999</v>
      </c>
      <c r="D832" s="59" t="s">
        <v>803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ht="15.2" spans="1:10">
      <c r="A833" s="58" t="s">
        <v>1601</v>
      </c>
      <c r="B833" s="59">
        <v>7660.13</v>
      </c>
      <c r="C833" s="59">
        <v>12999</v>
      </c>
      <c r="D833" s="59" t="s">
        <v>803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ht="15.2" spans="1:10">
      <c r="A834" s="58" t="s">
        <v>1602</v>
      </c>
      <c r="B834" s="59">
        <v>1274.4</v>
      </c>
      <c r="C834" s="59">
        <v>2099</v>
      </c>
      <c r="D834" s="59" t="s">
        <v>803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</v>
      </c>
      <c r="J834" s="60">
        <f t="shared" ref="J834:J897" si="42">C834*H834</f>
        <v>2099</v>
      </c>
    </row>
    <row r="835" ht="15.2" spans="1:10">
      <c r="A835" s="58" t="s">
        <v>1603</v>
      </c>
      <c r="B835" s="59">
        <v>1749</v>
      </c>
      <c r="C835" s="59">
        <v>3673</v>
      </c>
      <c r="D835" s="59" t="s">
        <v>801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</v>
      </c>
      <c r="J835" s="60">
        <f t="shared" si="42"/>
        <v>2387.45</v>
      </c>
    </row>
    <row r="836" ht="15.2" spans="1:10">
      <c r="A836" s="58" t="s">
        <v>1604</v>
      </c>
      <c r="B836" s="59">
        <v>608</v>
      </c>
      <c r="C836" s="59">
        <v>1277</v>
      </c>
      <c r="D836" s="59" t="s">
        <v>801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</v>
      </c>
      <c r="J836" s="60">
        <f t="shared" si="42"/>
        <v>63.85</v>
      </c>
    </row>
    <row r="837" ht="15.2" spans="1:10">
      <c r="A837" s="58" t="s">
        <v>1605</v>
      </c>
      <c r="B837" s="59">
        <v>973</v>
      </c>
      <c r="C837" s="59">
        <v>2305</v>
      </c>
      <c r="D837" s="59" t="s">
        <v>801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ht="15.2" spans="1:10">
      <c r="A838" s="58" t="s">
        <v>1606</v>
      </c>
      <c r="B838" s="59">
        <v>385</v>
      </c>
      <c r="C838" s="59">
        <v>859</v>
      </c>
      <c r="D838" s="59" t="s">
        <v>801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ht="15.2" spans="1:10">
      <c r="A839" s="58" t="s">
        <v>1607</v>
      </c>
      <c r="B839" s="59">
        <v>230.5</v>
      </c>
      <c r="C839" s="59">
        <v>710</v>
      </c>
      <c r="D839" s="59" t="s">
        <v>801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</v>
      </c>
      <c r="J839" s="60">
        <f t="shared" si="42"/>
        <v>2556</v>
      </c>
    </row>
    <row r="840" ht="15.2" spans="1:10">
      <c r="A840" s="58" t="s">
        <v>1608</v>
      </c>
      <c r="B840" s="59">
        <v>1229</v>
      </c>
      <c r="C840" s="59">
        <v>2927</v>
      </c>
      <c r="D840" s="59" t="s">
        <v>801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ht="15.2" spans="1:10">
      <c r="A841" s="58" t="s">
        <v>1609</v>
      </c>
      <c r="B841" s="59">
        <v>1444.92</v>
      </c>
      <c r="C841" s="59">
        <v>2199</v>
      </c>
      <c r="D841" s="59" t="s">
        <v>803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ht="15.2" spans="1:10">
      <c r="A842" s="58" t="s">
        <v>1610</v>
      </c>
      <c r="B842" s="59">
        <v>517.45</v>
      </c>
      <c r="C842" s="59">
        <v>799</v>
      </c>
      <c r="D842" s="59" t="s">
        <v>803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</v>
      </c>
      <c r="J842" s="60">
        <f t="shared" si="42"/>
        <v>799</v>
      </c>
    </row>
    <row r="843" ht="15.2" spans="1:10">
      <c r="A843" s="58" t="s">
        <v>1611</v>
      </c>
      <c r="B843" s="59">
        <v>1881.54</v>
      </c>
      <c r="C843" s="59">
        <v>3099</v>
      </c>
      <c r="D843" s="59" t="s">
        <v>803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ht="15.2" spans="1:10">
      <c r="A844" s="58" t="s">
        <v>1612</v>
      </c>
      <c r="B844" s="59">
        <v>1931.96</v>
      </c>
      <c r="C844" s="59">
        <v>2999</v>
      </c>
      <c r="D844" s="59" t="s">
        <v>803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ht="15.2" spans="1:10">
      <c r="A845" s="58" t="s">
        <v>1613</v>
      </c>
      <c r="B845" s="59">
        <v>295.02</v>
      </c>
      <c r="C845" s="59">
        <v>449</v>
      </c>
      <c r="D845" s="59" t="s">
        <v>803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ht="15.2" spans="1:10">
      <c r="A846" s="58" t="s">
        <v>1614</v>
      </c>
      <c r="B846" s="59">
        <v>1247.8</v>
      </c>
      <c r="C846" s="59">
        <v>1899</v>
      </c>
      <c r="D846" s="59" t="s">
        <v>803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ht="15.2" spans="1:10">
      <c r="A847" s="58" t="s">
        <v>1615</v>
      </c>
      <c r="B847" s="59">
        <v>1379.21</v>
      </c>
      <c r="C847" s="59">
        <v>2099</v>
      </c>
      <c r="D847" s="59" t="s">
        <v>803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ht="15.2" spans="1:10">
      <c r="A848" s="58" t="s">
        <v>1616</v>
      </c>
      <c r="B848" s="59">
        <v>1274.4</v>
      </c>
      <c r="C848" s="59">
        <v>2099</v>
      </c>
      <c r="D848" s="59" t="s">
        <v>803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</v>
      </c>
      <c r="J848" s="60">
        <f t="shared" si="42"/>
        <v>2099</v>
      </c>
    </row>
    <row r="849" ht="15.2" spans="1:10">
      <c r="A849" s="58" t="s">
        <v>1617</v>
      </c>
      <c r="B849" s="59">
        <v>1313.5</v>
      </c>
      <c r="C849" s="59">
        <v>1999</v>
      </c>
      <c r="D849" s="59" t="s">
        <v>803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ht="15.2" spans="1:10">
      <c r="A850" s="58" t="s">
        <v>1618</v>
      </c>
      <c r="B850" s="59">
        <v>2063.68</v>
      </c>
      <c r="C850" s="59">
        <v>3399</v>
      </c>
      <c r="D850" s="59" t="s">
        <v>803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2063.68</v>
      </c>
      <c r="J850" s="60">
        <f t="shared" si="42"/>
        <v>3399</v>
      </c>
    </row>
    <row r="851" ht="15.2" spans="1:10">
      <c r="A851" s="58" t="s">
        <v>1619</v>
      </c>
      <c r="B851" s="59">
        <v>1213.68</v>
      </c>
      <c r="C851" s="59">
        <v>1999</v>
      </c>
      <c r="D851" s="59" t="s">
        <v>803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ht="15.2" spans="1:10">
      <c r="A852" s="58" t="s">
        <v>1620</v>
      </c>
      <c r="B852" s="59">
        <v>525</v>
      </c>
      <c r="C852" s="59">
        <v>1103</v>
      </c>
      <c r="D852" s="59" t="s">
        <v>801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</v>
      </c>
    </row>
    <row r="853" ht="15.2" spans="1:10">
      <c r="A853" s="58" t="s">
        <v>1621</v>
      </c>
      <c r="B853" s="59">
        <v>1649.41</v>
      </c>
      <c r="C853" s="59">
        <v>2799</v>
      </c>
      <c r="D853" s="59" t="s">
        <v>803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ht="15.2" spans="1:10">
      <c r="A854" s="58" t="s">
        <v>1622</v>
      </c>
      <c r="B854" s="59">
        <v>293.8</v>
      </c>
      <c r="C854" s="59">
        <v>812</v>
      </c>
      <c r="D854" s="59" t="s">
        <v>801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</v>
      </c>
      <c r="J854" s="60">
        <f t="shared" si="42"/>
        <v>324.8</v>
      </c>
    </row>
    <row r="855" ht="15.2" spans="1:10">
      <c r="A855" s="58" t="s">
        <v>1623</v>
      </c>
      <c r="B855" s="59">
        <v>1182.09</v>
      </c>
      <c r="C855" s="59">
        <v>1799</v>
      </c>
      <c r="D855" s="59" t="s">
        <v>803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ht="15.2" spans="1:10">
      <c r="A856" s="58" t="s">
        <v>1624</v>
      </c>
      <c r="B856" s="59">
        <v>351</v>
      </c>
      <c r="C856" s="59">
        <v>737</v>
      </c>
      <c r="D856" s="59" t="s">
        <v>801</v>
      </c>
      <c r="E856" s="59">
        <v>9.8</v>
      </c>
      <c r="F856" s="59">
        <v>9.8</v>
      </c>
      <c r="G856" s="59">
        <v>0</v>
      </c>
      <c r="H856" s="60">
        <f t="shared" si="40"/>
        <v>9.8</v>
      </c>
      <c r="I856" s="60">
        <f t="shared" si="41"/>
        <v>3439.8</v>
      </c>
      <c r="J856" s="60">
        <f t="shared" si="42"/>
        <v>7222.6</v>
      </c>
    </row>
    <row r="857" ht="15.2" spans="1:10">
      <c r="A857" s="58" t="s">
        <v>1625</v>
      </c>
      <c r="B857" s="59">
        <v>1301.95</v>
      </c>
      <c r="C857" s="59">
        <v>3283</v>
      </c>
      <c r="D857" s="59" t="s">
        <v>801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ht="15.2" spans="1:10">
      <c r="A858" s="58" t="s">
        <v>1626</v>
      </c>
      <c r="B858" s="59">
        <v>1280.23</v>
      </c>
      <c r="C858" s="59">
        <v>1999</v>
      </c>
      <c r="D858" s="59" t="s">
        <v>803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ht="15.2" spans="1:10">
      <c r="A859" s="58" t="s">
        <v>1627</v>
      </c>
      <c r="B859" s="59">
        <v>582.21</v>
      </c>
      <c r="C859" s="59">
        <v>899</v>
      </c>
      <c r="D859" s="59" t="s">
        <v>803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ht="15.2" spans="1:10">
      <c r="A860" s="58" t="s">
        <v>1628</v>
      </c>
      <c r="B860" s="59">
        <v>4249.39</v>
      </c>
      <c r="C860" s="59">
        <v>6999</v>
      </c>
      <c r="D860" s="59" t="s">
        <v>803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</v>
      </c>
      <c r="J860" s="60">
        <f t="shared" si="42"/>
        <v>13998</v>
      </c>
    </row>
    <row r="861" ht="15.2" spans="1:10">
      <c r="A861" s="58" t="s">
        <v>1629</v>
      </c>
      <c r="B861" s="59">
        <v>1274.39</v>
      </c>
      <c r="C861" s="59">
        <v>2099</v>
      </c>
      <c r="D861" s="59" t="s">
        <v>803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</v>
      </c>
      <c r="J861" s="60">
        <f t="shared" si="42"/>
        <v>4198</v>
      </c>
    </row>
    <row r="862" ht="15.2" spans="1:10">
      <c r="A862" s="58" t="s">
        <v>1630</v>
      </c>
      <c r="B862" s="59">
        <v>413</v>
      </c>
      <c r="C862" s="59">
        <v>959</v>
      </c>
      <c r="D862" s="59" t="s">
        <v>801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289.1</v>
      </c>
      <c r="J862" s="60">
        <f t="shared" si="42"/>
        <v>671.3</v>
      </c>
    </row>
    <row r="863" ht="15.2" spans="1:10">
      <c r="A863" s="58" t="s">
        <v>1631</v>
      </c>
      <c r="B863" s="59">
        <v>7660.13</v>
      </c>
      <c r="C863" s="59">
        <v>12999</v>
      </c>
      <c r="D863" s="59" t="s">
        <v>803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ht="15.2" spans="1:10">
      <c r="A864" s="58" t="s">
        <v>1632</v>
      </c>
      <c r="B864" s="59">
        <v>3941.82</v>
      </c>
      <c r="C864" s="59">
        <v>5999</v>
      </c>
      <c r="D864" s="59" t="s">
        <v>803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ht="15.2" spans="1:10">
      <c r="A865" s="58" t="s">
        <v>1633</v>
      </c>
      <c r="B865" s="59">
        <v>1213.68</v>
      </c>
      <c r="C865" s="59">
        <v>1999</v>
      </c>
      <c r="D865" s="59" t="s">
        <v>803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ht="15.2" spans="1:10">
      <c r="A866" s="58" t="s">
        <v>1634</v>
      </c>
      <c r="B866" s="59">
        <v>1638.68</v>
      </c>
      <c r="C866" s="59">
        <v>2699</v>
      </c>
      <c r="D866" s="59" t="s">
        <v>803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ht="15.2" spans="1:10">
      <c r="A867" s="58" t="s">
        <v>1635</v>
      </c>
      <c r="B867" s="59">
        <v>1638.68</v>
      </c>
      <c r="C867" s="59">
        <v>2699</v>
      </c>
      <c r="D867" s="59" t="s">
        <v>803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ht="15.2" spans="1:10">
      <c r="A868" s="58" t="s">
        <v>1636</v>
      </c>
      <c r="B868" s="59">
        <v>469</v>
      </c>
      <c r="C868" s="59">
        <v>1064</v>
      </c>
      <c r="D868" s="59" t="s">
        <v>801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</v>
      </c>
      <c r="J868" s="60">
        <f t="shared" si="42"/>
        <v>1383.2</v>
      </c>
    </row>
    <row r="869" ht="15.2" spans="1:10">
      <c r="A869" s="58" t="s">
        <v>1637</v>
      </c>
      <c r="B869" s="59">
        <v>0</v>
      </c>
      <c r="C869" s="59">
        <v>0</v>
      </c>
      <c r="D869" s="59" t="s">
        <v>815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ht="15.2" spans="1:10">
      <c r="A870" s="58" t="s">
        <v>1638</v>
      </c>
      <c r="B870" s="59">
        <v>1456.54</v>
      </c>
      <c r="C870" s="59">
        <v>2399</v>
      </c>
      <c r="D870" s="59" t="s">
        <v>803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ht="15.2" spans="1:10">
      <c r="A871" s="58" t="s">
        <v>1639</v>
      </c>
      <c r="B871" s="59">
        <v>1247.8</v>
      </c>
      <c r="C871" s="59">
        <v>1899</v>
      </c>
      <c r="D871" s="59" t="s">
        <v>803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ht="15.2" spans="1:10">
      <c r="A872" s="58" t="s">
        <v>1640</v>
      </c>
      <c r="B872" s="59">
        <v>1313.5</v>
      </c>
      <c r="C872" s="59">
        <v>1999</v>
      </c>
      <c r="D872" s="59" t="s">
        <v>803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ht="15.2" spans="1:10">
      <c r="A873" s="58" t="s">
        <v>1641</v>
      </c>
      <c r="B873" s="59">
        <v>119</v>
      </c>
      <c r="C873" s="59">
        <v>175</v>
      </c>
      <c r="D873" s="59" t="s">
        <v>803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ht="15.2" spans="1:10">
      <c r="A874" s="58" t="s">
        <v>1642</v>
      </c>
      <c r="B874" s="59">
        <v>919.25</v>
      </c>
      <c r="C874" s="59">
        <v>1399</v>
      </c>
      <c r="D874" s="59" t="s">
        <v>803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ht="15.2" spans="1:10">
      <c r="A875" s="58" t="s">
        <v>1643</v>
      </c>
      <c r="B875" s="59">
        <v>913.24</v>
      </c>
      <c r="C875" s="59">
        <v>1399</v>
      </c>
      <c r="D875" s="59" t="s">
        <v>803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ht="15.2" spans="1:10">
      <c r="A876" s="58" t="s">
        <v>1644</v>
      </c>
      <c r="B876" s="59">
        <v>4124.41</v>
      </c>
      <c r="C876" s="59">
        <v>6999</v>
      </c>
      <c r="D876" s="59" t="s">
        <v>803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ht="15.2" spans="1:10">
      <c r="A877" s="58" t="s">
        <v>1645</v>
      </c>
      <c r="B877" s="59">
        <v>4856.54</v>
      </c>
      <c r="C877" s="59">
        <v>7999</v>
      </c>
      <c r="D877" s="59" t="s">
        <v>803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ht="15.2" spans="1:10">
      <c r="A878" s="58" t="s">
        <v>1646</v>
      </c>
      <c r="B878" s="59">
        <v>497</v>
      </c>
      <c r="C878" s="59">
        <v>1250</v>
      </c>
      <c r="D878" s="59" t="s">
        <v>801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ht="15.2" spans="1:10">
      <c r="A879" s="58" t="s">
        <v>1647</v>
      </c>
      <c r="B879" s="59">
        <v>555</v>
      </c>
      <c r="C879" s="59">
        <v>1166</v>
      </c>
      <c r="D879" s="59" t="s">
        <v>801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</v>
      </c>
    </row>
    <row r="880" ht="15.2" spans="1:10">
      <c r="A880" s="58" t="s">
        <v>1648</v>
      </c>
      <c r="B880" s="59">
        <v>1517.25</v>
      </c>
      <c r="C880" s="59">
        <v>2499</v>
      </c>
      <c r="D880" s="59" t="s">
        <v>803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ht="15.2" spans="1:10">
      <c r="A881" s="58" t="s">
        <v>1649</v>
      </c>
      <c r="B881" s="59">
        <v>2124.4</v>
      </c>
      <c r="C881" s="59">
        <v>3499</v>
      </c>
      <c r="D881" s="59" t="s">
        <v>803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ht="15.2" spans="1:10">
      <c r="A882" s="58" t="s">
        <v>1650</v>
      </c>
      <c r="B882" s="59">
        <v>1416.6</v>
      </c>
      <c r="C882" s="59">
        <v>2199</v>
      </c>
      <c r="D882" s="59" t="s">
        <v>803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ht="15.2" spans="1:10">
      <c r="A883" s="58" t="s">
        <v>1651</v>
      </c>
      <c r="B883" s="59">
        <v>663.29</v>
      </c>
      <c r="C883" s="59">
        <v>1225</v>
      </c>
      <c r="D883" s="59" t="s">
        <v>801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5372.649</v>
      </c>
      <c r="J883" s="60">
        <f t="shared" si="42"/>
        <v>9922.5</v>
      </c>
    </row>
    <row r="884" ht="15.2" spans="1:10">
      <c r="A884" s="58" t="s">
        <v>1652</v>
      </c>
      <c r="B884" s="59">
        <v>984.96</v>
      </c>
      <c r="C884" s="59">
        <v>1499</v>
      </c>
      <c r="D884" s="59" t="s">
        <v>803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ht="15.2" spans="1:10">
      <c r="A885" s="58" t="s">
        <v>1653</v>
      </c>
      <c r="B885" s="59">
        <v>1881.54</v>
      </c>
      <c r="C885" s="59">
        <v>3099</v>
      </c>
      <c r="D885" s="59" t="s">
        <v>803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ht="15.2" spans="1:10">
      <c r="A886" s="58" t="s">
        <v>1654</v>
      </c>
      <c r="B886" s="59">
        <v>476</v>
      </c>
      <c r="C886" s="59">
        <v>1025</v>
      </c>
      <c r="D886" s="59" t="s">
        <v>801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ht="15.2" spans="1:10">
      <c r="A887" s="58" t="s">
        <v>1655</v>
      </c>
      <c r="B887" s="59">
        <v>1576.34</v>
      </c>
      <c r="C887" s="59">
        <v>2399</v>
      </c>
      <c r="D887" s="59" t="s">
        <v>803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ht="15.2" spans="1:10">
      <c r="A888" s="58" t="s">
        <v>1656</v>
      </c>
      <c r="B888" s="59">
        <v>656.42</v>
      </c>
      <c r="C888" s="59">
        <v>999</v>
      </c>
      <c r="D888" s="59" t="s">
        <v>803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ht="15.2" spans="1:10">
      <c r="A889" s="58" t="s">
        <v>1657</v>
      </c>
      <c r="B889" s="59">
        <v>394</v>
      </c>
      <c r="C889" s="59">
        <v>973</v>
      </c>
      <c r="D889" s="59" t="s">
        <v>801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</v>
      </c>
      <c r="J889" s="60">
        <f t="shared" si="42"/>
        <v>97.3</v>
      </c>
    </row>
    <row r="890" ht="15.2" spans="1:10">
      <c r="A890" s="58" t="s">
        <v>1658</v>
      </c>
      <c r="B890" s="59">
        <v>2651.2</v>
      </c>
      <c r="C890" s="59">
        <v>4499</v>
      </c>
      <c r="D890" s="59" t="s">
        <v>803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ht="15.2" spans="1:10">
      <c r="A891" s="58" t="s">
        <v>1659</v>
      </c>
      <c r="B891" s="59">
        <v>450</v>
      </c>
      <c r="C891" s="59">
        <v>1008</v>
      </c>
      <c r="D891" s="59" t="s">
        <v>801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ht="15.2" spans="1:10">
      <c r="A892" s="58" t="s">
        <v>1660</v>
      </c>
      <c r="B892" s="59">
        <v>272</v>
      </c>
      <c r="C892" s="59">
        <v>640</v>
      </c>
      <c r="D892" s="59" t="s">
        <v>801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ht="15.2" spans="1:10">
      <c r="A893" s="58" t="s">
        <v>1661</v>
      </c>
      <c r="B893" s="59">
        <v>1395.82</v>
      </c>
      <c r="C893" s="59">
        <v>2299</v>
      </c>
      <c r="D893" s="59" t="s">
        <v>803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ht="15.2" spans="1:10">
      <c r="A894" s="58" t="s">
        <v>1662</v>
      </c>
      <c r="B894" s="59">
        <v>1247.8</v>
      </c>
      <c r="C894" s="59">
        <v>1899</v>
      </c>
      <c r="D894" s="59" t="s">
        <v>803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ht="15.2" spans="1:10">
      <c r="A895" s="58" t="s">
        <v>89</v>
      </c>
      <c r="B895" s="59">
        <v>570.86</v>
      </c>
      <c r="C895" s="59">
        <v>1985</v>
      </c>
      <c r="D895" s="59" t="s">
        <v>801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ht="15.2" spans="1:10">
      <c r="A896" s="58" t="s">
        <v>1663</v>
      </c>
      <c r="B896" s="59">
        <v>906.02</v>
      </c>
      <c r="C896" s="59">
        <v>1399</v>
      </c>
      <c r="D896" s="59" t="s">
        <v>803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ht="15.2" spans="1:10">
      <c r="A897" s="58" t="s">
        <v>1664</v>
      </c>
      <c r="B897" s="59">
        <v>799</v>
      </c>
      <c r="C897" s="59">
        <v>1678</v>
      </c>
      <c r="D897" s="59" t="s">
        <v>801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</v>
      </c>
      <c r="J897" s="60">
        <f t="shared" si="42"/>
        <v>167.8</v>
      </c>
    </row>
    <row r="898" ht="15.2" spans="1:10">
      <c r="A898" s="58" t="s">
        <v>1665</v>
      </c>
      <c r="B898" s="59">
        <v>375.7</v>
      </c>
      <c r="C898" s="59">
        <v>1033</v>
      </c>
      <c r="D898" s="59" t="s">
        <v>801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</v>
      </c>
    </row>
    <row r="899" ht="15.2" spans="1:10">
      <c r="A899" s="58" t="s">
        <v>1666</v>
      </c>
      <c r="B899" s="59">
        <v>1638.68</v>
      </c>
      <c r="C899" s="59">
        <v>2699</v>
      </c>
      <c r="D899" s="59" t="s">
        <v>803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ht="15.2" spans="1:10">
      <c r="A900" s="58" t="s">
        <v>1667</v>
      </c>
      <c r="B900" s="59">
        <v>517.45</v>
      </c>
      <c r="C900" s="59">
        <v>799</v>
      </c>
      <c r="D900" s="59" t="s">
        <v>803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ht="15.2" spans="1:10">
      <c r="A901" s="58" t="s">
        <v>1668</v>
      </c>
      <c r="B901" s="59">
        <v>1213.68</v>
      </c>
      <c r="C901" s="59">
        <v>1999</v>
      </c>
      <c r="D901" s="59" t="s">
        <v>803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ht="15.2" spans="1:10">
      <c r="A902" s="58" t="s">
        <v>1669</v>
      </c>
      <c r="B902" s="59">
        <v>970.78</v>
      </c>
      <c r="C902" s="59">
        <v>1499</v>
      </c>
      <c r="D902" s="59" t="s">
        <v>803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ht="15.2" spans="1:10">
      <c r="A903" s="58" t="s">
        <v>127</v>
      </c>
      <c r="B903" s="59">
        <v>425</v>
      </c>
      <c r="C903" s="59">
        <v>892</v>
      </c>
      <c r="D903" s="59" t="s">
        <v>801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ht="15.2" spans="1:10">
      <c r="A904" s="58" t="s">
        <v>1670</v>
      </c>
      <c r="B904" s="59">
        <v>578</v>
      </c>
      <c r="C904" s="59">
        <v>1281</v>
      </c>
      <c r="D904" s="59" t="s">
        <v>801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ht="15.2" spans="1:10">
      <c r="A905" s="58" t="s">
        <v>1671</v>
      </c>
      <c r="B905" s="59">
        <v>1295.84</v>
      </c>
      <c r="C905" s="59">
        <v>2199</v>
      </c>
      <c r="D905" s="59" t="s">
        <v>803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ht="15.2" spans="1:10">
      <c r="A906" s="58" t="s">
        <v>1672</v>
      </c>
      <c r="B906" s="59">
        <v>0</v>
      </c>
      <c r="C906" s="59">
        <v>0</v>
      </c>
      <c r="D906" s="59" t="s">
        <v>815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ht="15.2" spans="1:10">
      <c r="A907" s="58" t="s">
        <v>1673</v>
      </c>
      <c r="B907" s="59">
        <v>0</v>
      </c>
      <c r="C907" s="59">
        <v>0</v>
      </c>
      <c r="D907" s="59" t="s">
        <v>815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ht="15.2" spans="1:10">
      <c r="A908" s="58" t="s">
        <v>1674</v>
      </c>
      <c r="B908" s="59">
        <v>1354.77</v>
      </c>
      <c r="C908" s="59">
        <v>2299</v>
      </c>
      <c r="D908" s="59" t="s">
        <v>803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ht="15.2" spans="1:10">
      <c r="A909" s="58" t="s">
        <v>1675</v>
      </c>
      <c r="B909" s="59">
        <v>351</v>
      </c>
      <c r="C909" s="59">
        <v>820</v>
      </c>
      <c r="D909" s="59" t="s">
        <v>801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ht="15.2" spans="1:10">
      <c r="A910" s="58" t="s">
        <v>1676</v>
      </c>
      <c r="B910" s="59">
        <v>564</v>
      </c>
      <c r="C910" s="59">
        <v>1032</v>
      </c>
      <c r="D910" s="59" t="s">
        <v>801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</v>
      </c>
    </row>
    <row r="911" ht="15.2" spans="1:10">
      <c r="A911" s="58" t="s">
        <v>1677</v>
      </c>
      <c r="B911" s="59">
        <v>4249.39</v>
      </c>
      <c r="C911" s="59">
        <v>6999</v>
      </c>
      <c r="D911" s="59" t="s">
        <v>803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</v>
      </c>
      <c r="J911" s="60">
        <f t="shared" si="45"/>
        <v>6999</v>
      </c>
    </row>
    <row r="912" ht="15.2" spans="1:10">
      <c r="A912" s="58" t="s">
        <v>1678</v>
      </c>
      <c r="B912" s="59">
        <v>8499.39</v>
      </c>
      <c r="C912" s="59">
        <v>13999</v>
      </c>
      <c r="D912" s="59" t="s">
        <v>803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ht="15.2" spans="1:10">
      <c r="A913" s="58" t="s">
        <v>1679</v>
      </c>
      <c r="B913" s="59">
        <v>1642.05</v>
      </c>
      <c r="C913" s="59">
        <v>2499</v>
      </c>
      <c r="D913" s="59" t="s">
        <v>803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ht="15.2" spans="1:10">
      <c r="A914" s="58" t="s">
        <v>1680</v>
      </c>
      <c r="B914" s="59">
        <v>1517.25</v>
      </c>
      <c r="C914" s="59">
        <v>2499</v>
      </c>
      <c r="D914" s="59" t="s">
        <v>803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ht="15.2" spans="1:10">
      <c r="A915" s="58" t="s">
        <v>1681</v>
      </c>
      <c r="B915" s="59">
        <v>1092.25</v>
      </c>
      <c r="C915" s="59">
        <v>1799</v>
      </c>
      <c r="D915" s="59" t="s">
        <v>803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ht="15.2" spans="1:10">
      <c r="A916" s="58" t="s">
        <v>1682</v>
      </c>
      <c r="B916" s="59">
        <v>231</v>
      </c>
      <c r="C916" s="59">
        <v>565</v>
      </c>
      <c r="D916" s="59" t="s">
        <v>801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323.4</v>
      </c>
      <c r="J916" s="60">
        <f t="shared" si="45"/>
        <v>791</v>
      </c>
    </row>
    <row r="917" ht="15.2" spans="1:10">
      <c r="A917" s="58" t="s">
        <v>1683</v>
      </c>
      <c r="B917" s="59">
        <v>1444.92</v>
      </c>
      <c r="C917" s="59">
        <v>2199</v>
      </c>
      <c r="D917" s="59" t="s">
        <v>803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ht="15.2" spans="1:10">
      <c r="A918" s="58" t="s">
        <v>1684</v>
      </c>
      <c r="B918" s="59">
        <v>973</v>
      </c>
      <c r="C918" s="59">
        <v>2472</v>
      </c>
      <c r="D918" s="59" t="s">
        <v>801</v>
      </c>
      <c r="E918" s="59">
        <v>2.2</v>
      </c>
      <c r="F918" s="59">
        <v>2.2</v>
      </c>
      <c r="G918" s="59">
        <v>0</v>
      </c>
      <c r="H918" s="60">
        <f t="shared" si="43"/>
        <v>2.2</v>
      </c>
      <c r="I918" s="60">
        <f t="shared" si="44"/>
        <v>2140.6</v>
      </c>
      <c r="J918" s="60">
        <f t="shared" si="45"/>
        <v>5438.4</v>
      </c>
    </row>
    <row r="919" ht="15.2" spans="1:10">
      <c r="A919" s="58" t="s">
        <v>1685</v>
      </c>
      <c r="B919" s="59">
        <v>452.69</v>
      </c>
      <c r="C919" s="59">
        <v>699</v>
      </c>
      <c r="D919" s="59" t="s">
        <v>803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ht="15.2" spans="1:10">
      <c r="A920" s="58" t="s">
        <v>1686</v>
      </c>
      <c r="B920" s="59">
        <v>906.02</v>
      </c>
      <c r="C920" s="59">
        <v>1399</v>
      </c>
      <c r="D920" s="59" t="s">
        <v>803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ht="15.2" spans="1:10">
      <c r="A921" s="58" t="s">
        <v>1687</v>
      </c>
      <c r="B921" s="59">
        <v>1092.25</v>
      </c>
      <c r="C921" s="59">
        <v>1799</v>
      </c>
      <c r="D921" s="59" t="s">
        <v>803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ht="15.2" spans="1:10">
      <c r="A922" s="58" t="s">
        <v>1688</v>
      </c>
      <c r="B922" s="59">
        <v>1510.63</v>
      </c>
      <c r="C922" s="59">
        <v>2299</v>
      </c>
      <c r="D922" s="59" t="s">
        <v>803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ht="15.2" spans="1:10">
      <c r="A923" s="58" t="s">
        <v>1689</v>
      </c>
      <c r="B923" s="59">
        <v>236</v>
      </c>
      <c r="C923" s="59">
        <v>745</v>
      </c>
      <c r="D923" s="59" t="s">
        <v>801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ht="15.2" spans="1:10">
      <c r="A924" s="58" t="s">
        <v>1690</v>
      </c>
      <c r="B924" s="59">
        <v>255</v>
      </c>
      <c r="C924" s="59">
        <v>605</v>
      </c>
      <c r="D924" s="59" t="s">
        <v>801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ht="15.2" spans="1:10">
      <c r="A925" s="58" t="s">
        <v>1691</v>
      </c>
      <c r="B925" s="59">
        <v>660</v>
      </c>
      <c r="C925" s="59">
        <v>1360</v>
      </c>
      <c r="D925" s="59" t="s">
        <v>801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ht="15.2" spans="1:10">
      <c r="A926" s="58" t="s">
        <v>1692</v>
      </c>
      <c r="B926" s="59">
        <v>425</v>
      </c>
      <c r="C926" s="59">
        <v>951</v>
      </c>
      <c r="D926" s="59" t="s">
        <v>801</v>
      </c>
      <c r="E926" s="59">
        <v>1.1</v>
      </c>
      <c r="F926" s="59">
        <v>1.1</v>
      </c>
      <c r="G926" s="59">
        <v>0</v>
      </c>
      <c r="H926" s="60">
        <f t="shared" si="43"/>
        <v>1.1</v>
      </c>
      <c r="I926" s="60">
        <f t="shared" si="44"/>
        <v>467.5</v>
      </c>
      <c r="J926" s="60">
        <f t="shared" si="45"/>
        <v>1046.1</v>
      </c>
    </row>
    <row r="927" ht="15.2" spans="1:10">
      <c r="A927" s="58" t="s">
        <v>1693</v>
      </c>
      <c r="B927" s="59">
        <v>841</v>
      </c>
      <c r="C927" s="59">
        <v>1992</v>
      </c>
      <c r="D927" s="59" t="s">
        <v>801</v>
      </c>
      <c r="E927" s="59">
        <v>2.2</v>
      </c>
      <c r="F927" s="59">
        <v>2.2</v>
      </c>
      <c r="G927" s="59">
        <v>0</v>
      </c>
      <c r="H927" s="60">
        <f t="shared" ref="H927:H990" si="46">E927-G927</f>
        <v>2.2</v>
      </c>
      <c r="I927" s="60">
        <f t="shared" si="44"/>
        <v>1850.2</v>
      </c>
      <c r="J927" s="60">
        <f t="shared" si="45"/>
        <v>4382.4</v>
      </c>
    </row>
    <row r="928" ht="15.2" spans="1:10">
      <c r="A928" s="58" t="s">
        <v>1694</v>
      </c>
      <c r="B928" s="59">
        <v>654</v>
      </c>
      <c r="C928" s="59">
        <v>1455</v>
      </c>
      <c r="D928" s="59" t="s">
        <v>801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ht="15.2" spans="1:10">
      <c r="A929" s="58" t="s">
        <v>1695</v>
      </c>
      <c r="B929" s="59">
        <v>1395.82</v>
      </c>
      <c r="C929" s="59">
        <v>2299</v>
      </c>
      <c r="D929" s="59" t="s">
        <v>803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ht="15.2" spans="1:10">
      <c r="A930" s="58" t="s">
        <v>1696</v>
      </c>
      <c r="B930" s="59">
        <v>970.78</v>
      </c>
      <c r="C930" s="59">
        <v>1499</v>
      </c>
      <c r="D930" s="59" t="s">
        <v>803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ht="15.2" spans="1:10">
      <c r="A931" s="58" t="s">
        <v>1697</v>
      </c>
      <c r="B931" s="59">
        <v>390</v>
      </c>
      <c r="C931" s="59">
        <v>911</v>
      </c>
      <c r="D931" s="59" t="s">
        <v>801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318.85</v>
      </c>
    </row>
    <row r="932" ht="15.2" spans="1:10">
      <c r="A932" s="58" t="s">
        <v>1698</v>
      </c>
      <c r="B932" s="59">
        <v>2731.54</v>
      </c>
      <c r="C932" s="59">
        <v>4499</v>
      </c>
      <c r="D932" s="59" t="s">
        <v>803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ht="15.2" spans="1:10">
      <c r="A933" s="58" t="s">
        <v>1699</v>
      </c>
      <c r="B933" s="59">
        <v>385</v>
      </c>
      <c r="C933" s="59">
        <v>810</v>
      </c>
      <c r="D933" s="59" t="s">
        <v>801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ht="15.2" spans="1:10">
      <c r="A934" s="58" t="s">
        <v>1700</v>
      </c>
      <c r="B934" s="59">
        <v>909.4</v>
      </c>
      <c r="C934" s="59">
        <v>1399</v>
      </c>
      <c r="D934" s="59" t="s">
        <v>803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ht="15.2" spans="1:10">
      <c r="A935" s="58" t="s">
        <v>1701</v>
      </c>
      <c r="B935" s="59">
        <v>1395.82</v>
      </c>
      <c r="C935" s="59">
        <v>2299</v>
      </c>
      <c r="D935" s="59" t="s">
        <v>803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ht="15.2" spans="1:10">
      <c r="A936" s="58" t="s">
        <v>1702</v>
      </c>
      <c r="B936" s="59">
        <v>517.45</v>
      </c>
      <c r="C936" s="59">
        <v>799</v>
      </c>
      <c r="D936" s="59" t="s">
        <v>803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ht="15.2" spans="1:10">
      <c r="A937" s="58" t="s">
        <v>1703</v>
      </c>
      <c r="B937" s="59">
        <v>1510.63</v>
      </c>
      <c r="C937" s="59">
        <v>2299</v>
      </c>
      <c r="D937" s="59" t="s">
        <v>803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ht="15.2" spans="1:10">
      <c r="A938" s="58" t="s">
        <v>1704</v>
      </c>
      <c r="B938" s="59">
        <v>6481.55</v>
      </c>
      <c r="C938" s="59">
        <v>10999</v>
      </c>
      <c r="D938" s="59" t="s">
        <v>803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ht="15.2" spans="1:10">
      <c r="A939" s="58" t="s">
        <v>1705</v>
      </c>
      <c r="B939" s="59">
        <v>1510.63</v>
      </c>
      <c r="C939" s="59">
        <v>2299</v>
      </c>
      <c r="D939" s="59" t="s">
        <v>803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ht="15.2" spans="1:10">
      <c r="A940" s="58" t="s">
        <v>1706</v>
      </c>
      <c r="B940" s="59">
        <v>646.97</v>
      </c>
      <c r="C940" s="59">
        <v>999</v>
      </c>
      <c r="D940" s="59" t="s">
        <v>803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ht="15.2" spans="1:10">
      <c r="A941" s="58" t="s">
        <v>1707</v>
      </c>
      <c r="B941" s="59">
        <v>564</v>
      </c>
      <c r="C941" s="59">
        <v>1323</v>
      </c>
      <c r="D941" s="59" t="s">
        <v>801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1071.6</v>
      </c>
      <c r="J941" s="60">
        <f t="shared" si="45"/>
        <v>2513.7</v>
      </c>
    </row>
    <row r="942" ht="15.2" spans="1:10">
      <c r="A942" s="58" t="s">
        <v>1708</v>
      </c>
      <c r="B942" s="59">
        <v>1456.54</v>
      </c>
      <c r="C942" s="59">
        <v>2399</v>
      </c>
      <c r="D942" s="59" t="s">
        <v>803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ht="15.2" spans="1:10">
      <c r="A943" s="58" t="s">
        <v>1709</v>
      </c>
      <c r="B943" s="59">
        <v>589</v>
      </c>
      <c r="C943" s="59">
        <v>1315</v>
      </c>
      <c r="D943" s="59" t="s">
        <v>801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ht="15.2" spans="1:10">
      <c r="A944" s="58" t="s">
        <v>1710</v>
      </c>
      <c r="B944" s="59">
        <v>295.02</v>
      </c>
      <c r="C944" s="59">
        <v>449</v>
      </c>
      <c r="D944" s="59" t="s">
        <v>803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ht="15.2" spans="1:10">
      <c r="A945" s="58" t="s">
        <v>1711</v>
      </c>
      <c r="B945" s="59">
        <v>1313.5</v>
      </c>
      <c r="C945" s="59">
        <v>1999</v>
      </c>
      <c r="D945" s="59" t="s">
        <v>803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ht="15.2" spans="1:10">
      <c r="A946" s="58" t="s">
        <v>1712</v>
      </c>
      <c r="B946" s="59">
        <v>489.3</v>
      </c>
      <c r="C946" s="59">
        <v>1468</v>
      </c>
      <c r="D946" s="59" t="s">
        <v>801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ht="15.2" spans="1:10">
      <c r="A947" s="58" t="s">
        <v>1713</v>
      </c>
      <c r="B947" s="59">
        <v>1092.25</v>
      </c>
      <c r="C947" s="59">
        <v>1799</v>
      </c>
      <c r="D947" s="59" t="s">
        <v>803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ht="15.2" spans="1:10">
      <c r="A948" s="58" t="s">
        <v>1714</v>
      </c>
      <c r="B948" s="59">
        <v>1247.8</v>
      </c>
      <c r="C948" s="59">
        <v>1899</v>
      </c>
      <c r="D948" s="59" t="s">
        <v>803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ht="15.2" spans="1:10">
      <c r="A949" s="58" t="s">
        <v>1715</v>
      </c>
      <c r="B949" s="59">
        <v>1485</v>
      </c>
      <c r="C949" s="59">
        <v>3810</v>
      </c>
      <c r="D949" s="59" t="s">
        <v>801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ht="15.2" spans="1:10">
      <c r="A950" s="58" t="s">
        <v>1716</v>
      </c>
      <c r="B950" s="59">
        <v>1707.76</v>
      </c>
      <c r="C950" s="59">
        <v>2599</v>
      </c>
      <c r="D950" s="59" t="s">
        <v>803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ht="15.2" spans="1:10">
      <c r="A951" s="58" t="s">
        <v>1717</v>
      </c>
      <c r="B951" s="59">
        <v>1444.92</v>
      </c>
      <c r="C951" s="59">
        <v>2199</v>
      </c>
      <c r="D951" s="59" t="s">
        <v>803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ht="15.2" spans="1:10">
      <c r="A952" s="58" t="s">
        <v>1718</v>
      </c>
      <c r="B952" s="59">
        <v>1379.21</v>
      </c>
      <c r="C952" s="59">
        <v>2099</v>
      </c>
      <c r="D952" s="59" t="s">
        <v>803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ht="15.2" spans="1:10">
      <c r="A953" s="58" t="s">
        <v>1719</v>
      </c>
      <c r="B953" s="59">
        <v>1576.34</v>
      </c>
      <c r="C953" s="59">
        <v>2399</v>
      </c>
      <c r="D953" s="59" t="s">
        <v>803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ht="15.2" spans="1:10">
      <c r="A954" s="58" t="s">
        <v>1720</v>
      </c>
      <c r="B954" s="59">
        <v>474</v>
      </c>
      <c r="C954" s="59">
        <v>1079</v>
      </c>
      <c r="D954" s="59" t="s">
        <v>801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ht="15.2" spans="1:10">
      <c r="A955" s="58" t="s">
        <v>1721</v>
      </c>
      <c r="B955" s="59">
        <v>1707.76</v>
      </c>
      <c r="C955" s="59">
        <v>2599</v>
      </c>
      <c r="D955" s="59" t="s">
        <v>803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ht="15.2" spans="1:10">
      <c r="A956" s="58" t="s">
        <v>1722</v>
      </c>
      <c r="B956" s="59">
        <v>1274.4</v>
      </c>
      <c r="C956" s="59">
        <v>2099</v>
      </c>
      <c r="D956" s="59" t="s">
        <v>803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</v>
      </c>
      <c r="J956" s="60">
        <f t="shared" si="45"/>
        <v>4198</v>
      </c>
    </row>
    <row r="957" ht="15.2" spans="1:10">
      <c r="A957" s="58" t="s">
        <v>190</v>
      </c>
      <c r="B957" s="59">
        <v>702</v>
      </c>
      <c r="C957" s="59">
        <v>1785</v>
      </c>
      <c r="D957" s="59" t="s">
        <v>801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ht="15.2" spans="1:10">
      <c r="A958" s="58" t="s">
        <v>1723</v>
      </c>
      <c r="B958" s="59">
        <v>307</v>
      </c>
      <c r="C958" s="59">
        <v>745</v>
      </c>
      <c r="D958" s="59" t="s">
        <v>801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</v>
      </c>
      <c r="J958" s="60">
        <f t="shared" si="45"/>
        <v>1192</v>
      </c>
    </row>
    <row r="959" ht="15.2" spans="1:10">
      <c r="A959" s="58" t="s">
        <v>1724</v>
      </c>
      <c r="B959" s="59">
        <v>1247.8</v>
      </c>
      <c r="C959" s="59">
        <v>1899</v>
      </c>
      <c r="D959" s="59" t="s">
        <v>803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ht="15.2" spans="1:10">
      <c r="A960" s="58" t="s">
        <v>1725</v>
      </c>
      <c r="B960" s="59">
        <v>3642.25</v>
      </c>
      <c r="C960" s="59">
        <v>5999</v>
      </c>
      <c r="D960" s="59" t="s">
        <v>803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ht="15.2" spans="1:10">
      <c r="A961" s="58" t="s">
        <v>1726</v>
      </c>
      <c r="B961" s="59">
        <v>1416.6</v>
      </c>
      <c r="C961" s="59">
        <v>2199</v>
      </c>
      <c r="D961" s="59" t="s">
        <v>803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ht="15.2" spans="1:10">
      <c r="A962" s="58" t="s">
        <v>1727</v>
      </c>
      <c r="B962" s="59">
        <v>1247.8</v>
      </c>
      <c r="C962" s="59">
        <v>1899</v>
      </c>
      <c r="D962" s="59" t="s">
        <v>803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ht="15.2" spans="1:10">
      <c r="A963" s="58" t="s">
        <v>1728</v>
      </c>
      <c r="B963" s="59">
        <v>904.43</v>
      </c>
      <c r="C963" s="59">
        <v>1399</v>
      </c>
      <c r="D963" s="59" t="s">
        <v>803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ht="15.2" spans="1:10">
      <c r="A964" s="58" t="s">
        <v>1729</v>
      </c>
      <c r="B964" s="59">
        <v>1354.77</v>
      </c>
      <c r="C964" s="59">
        <v>2299</v>
      </c>
      <c r="D964" s="59" t="s">
        <v>803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ht="15.2" spans="1:10">
      <c r="A965" s="58" t="s">
        <v>1730</v>
      </c>
      <c r="B965" s="59">
        <v>899.1</v>
      </c>
      <c r="C965" s="59">
        <v>2145</v>
      </c>
      <c r="D965" s="59" t="s">
        <v>801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</v>
      </c>
      <c r="J965" s="60">
        <f t="shared" si="48"/>
        <v>6327.75</v>
      </c>
    </row>
    <row r="966" ht="15.2" spans="1:10">
      <c r="A966" s="58" t="s">
        <v>1731</v>
      </c>
      <c r="B966" s="59">
        <v>1295.84</v>
      </c>
      <c r="C966" s="59">
        <v>2199</v>
      </c>
      <c r="D966" s="59" t="s">
        <v>803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ht="15.2" spans="1:10">
      <c r="A967" s="58" t="s">
        <v>1732</v>
      </c>
      <c r="B967" s="59">
        <v>1576.34</v>
      </c>
      <c r="C967" s="59">
        <v>2399</v>
      </c>
      <c r="D967" s="59" t="s">
        <v>803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ht="15.2" spans="1:10">
      <c r="A968" s="58" t="s">
        <v>1733</v>
      </c>
      <c r="B968" s="59">
        <v>2651.2</v>
      </c>
      <c r="C968" s="59">
        <v>4499</v>
      </c>
      <c r="D968" s="59" t="s">
        <v>803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ht="15.2" spans="1:10">
      <c r="A969" s="58" t="s">
        <v>1734</v>
      </c>
      <c r="B969" s="59">
        <v>1213.68</v>
      </c>
      <c r="C969" s="59">
        <v>1999</v>
      </c>
      <c r="D969" s="59" t="s">
        <v>803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ht="15.2" spans="1:10">
      <c r="A970" s="58" t="s">
        <v>1735</v>
      </c>
      <c r="B970" s="59">
        <v>2102</v>
      </c>
      <c r="C970" s="59">
        <v>3199</v>
      </c>
      <c r="D970" s="59" t="s">
        <v>803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ht="15.2" spans="1:10">
      <c r="A971" s="58" t="s">
        <v>330</v>
      </c>
      <c r="B971" s="59">
        <v>923</v>
      </c>
      <c r="C971" s="59">
        <v>2182</v>
      </c>
      <c r="D971" s="59" t="s">
        <v>801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</v>
      </c>
      <c r="J971" s="60">
        <f t="shared" si="48"/>
        <v>45385.6</v>
      </c>
    </row>
    <row r="972" ht="15.2" spans="1:10">
      <c r="A972" s="58" t="s">
        <v>1736</v>
      </c>
      <c r="B972" s="59">
        <v>1335.11</v>
      </c>
      <c r="C972" s="59">
        <v>2199</v>
      </c>
      <c r="D972" s="59" t="s">
        <v>803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ht="15.2" spans="1:10">
      <c r="A973" s="58" t="s">
        <v>33</v>
      </c>
      <c r="B973" s="59">
        <v>263</v>
      </c>
      <c r="C973" s="59">
        <v>570</v>
      </c>
      <c r="D973" s="59" t="s">
        <v>801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1919.9</v>
      </c>
      <c r="J973" s="60">
        <f t="shared" si="48"/>
        <v>4161</v>
      </c>
    </row>
    <row r="974" ht="15.2" spans="1:10">
      <c r="A974" s="58" t="s">
        <v>1737</v>
      </c>
      <c r="B974" s="59">
        <v>841</v>
      </c>
      <c r="C974" s="59">
        <v>1943</v>
      </c>
      <c r="D974" s="59" t="s">
        <v>801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ht="15.2" spans="1:10">
      <c r="A975" s="58" t="s">
        <v>1738</v>
      </c>
      <c r="B975" s="59">
        <v>1112</v>
      </c>
      <c r="C975" s="59">
        <v>1699</v>
      </c>
      <c r="D975" s="59" t="s">
        <v>803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ht="15.2" spans="1:10">
      <c r="A976" s="58" t="s">
        <v>1739</v>
      </c>
      <c r="B976" s="59">
        <v>270</v>
      </c>
      <c r="C976" s="59">
        <v>599</v>
      </c>
      <c r="D976" s="59" t="s">
        <v>801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ht="15.2" spans="1:10">
      <c r="A977" s="58" t="s">
        <v>1740</v>
      </c>
      <c r="B977" s="59">
        <v>1158.92</v>
      </c>
      <c r="C977" s="59">
        <v>1799</v>
      </c>
      <c r="D977" s="59" t="s">
        <v>803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ht="15.2" spans="1:10">
      <c r="A978" s="58" t="s">
        <v>1741</v>
      </c>
      <c r="B978" s="59">
        <v>906.02</v>
      </c>
      <c r="C978" s="59">
        <v>1399</v>
      </c>
      <c r="D978" s="59" t="s">
        <v>803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ht="15.2" spans="1:10">
      <c r="A979" s="58" t="s">
        <v>1742</v>
      </c>
      <c r="B979" s="59">
        <v>203.32</v>
      </c>
      <c r="C979" s="59">
        <v>299</v>
      </c>
      <c r="D979" s="59" t="s">
        <v>803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ht="15.2" spans="1:10">
      <c r="A980" s="58" t="s">
        <v>1743</v>
      </c>
      <c r="B980" s="59">
        <v>5892.27</v>
      </c>
      <c r="C980" s="59">
        <v>9999</v>
      </c>
      <c r="D980" s="59" t="s">
        <v>803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ht="15.2" spans="1:10">
      <c r="A981" s="58" t="s">
        <v>1744</v>
      </c>
      <c r="B981" s="59">
        <v>319</v>
      </c>
      <c r="C981" s="59">
        <v>670</v>
      </c>
      <c r="D981" s="59" t="s">
        <v>801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</v>
      </c>
      <c r="J981" s="60">
        <f t="shared" si="48"/>
        <v>134</v>
      </c>
    </row>
    <row r="982" ht="15.2" spans="1:10">
      <c r="A982" s="58" t="s">
        <v>1745</v>
      </c>
      <c r="B982" s="59">
        <v>1352.18</v>
      </c>
      <c r="C982" s="59">
        <v>2099</v>
      </c>
      <c r="D982" s="59" t="s">
        <v>803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ht="15.2" spans="1:10">
      <c r="A983" s="58" t="s">
        <v>1746</v>
      </c>
      <c r="B983" s="59">
        <v>1738.7</v>
      </c>
      <c r="C983" s="59">
        <v>2699</v>
      </c>
      <c r="D983" s="59" t="s">
        <v>803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ht="15.2" spans="1:10">
      <c r="A984" s="58" t="s">
        <v>1747</v>
      </c>
      <c r="B984" s="59">
        <v>234</v>
      </c>
      <c r="C984" s="59">
        <v>555</v>
      </c>
      <c r="D984" s="59" t="s">
        <v>801</v>
      </c>
      <c r="E984" s="59">
        <v>4.9</v>
      </c>
      <c r="F984" s="59">
        <v>4.9</v>
      </c>
      <c r="G984" s="59">
        <v>0</v>
      </c>
      <c r="H984" s="60">
        <f t="shared" si="46"/>
        <v>4.9</v>
      </c>
      <c r="I984" s="60">
        <f t="shared" si="47"/>
        <v>1146.6</v>
      </c>
      <c r="J984" s="60">
        <f t="shared" si="48"/>
        <v>2719.5</v>
      </c>
    </row>
    <row r="985" ht="15.2" spans="1:10">
      <c r="A985" s="58" t="s">
        <v>1748</v>
      </c>
      <c r="B985" s="59">
        <v>270</v>
      </c>
      <c r="C985" s="59">
        <v>615</v>
      </c>
      <c r="D985" s="59" t="s">
        <v>801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ht="15.2" spans="1:10">
      <c r="A986" s="58" t="s">
        <v>1749</v>
      </c>
      <c r="B986" s="59">
        <v>1158.92</v>
      </c>
      <c r="C986" s="59">
        <v>1799</v>
      </c>
      <c r="D986" s="59" t="s">
        <v>803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ht="15.2" spans="1:10">
      <c r="A987" s="58" t="s">
        <v>1750</v>
      </c>
      <c r="B987" s="59">
        <v>1295.84</v>
      </c>
      <c r="C987" s="59">
        <v>2199</v>
      </c>
      <c r="D987" s="59" t="s">
        <v>803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ht="15.2" spans="1:10">
      <c r="A988" s="58" t="s">
        <v>1751</v>
      </c>
      <c r="B988" s="59">
        <v>1416.6</v>
      </c>
      <c r="C988" s="59">
        <v>2199</v>
      </c>
      <c r="D988" s="59" t="s">
        <v>803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ht="15.2" spans="1:10">
      <c r="A989" s="58" t="s">
        <v>1752</v>
      </c>
      <c r="B989" s="59">
        <v>1313.5</v>
      </c>
      <c r="C989" s="59">
        <v>1999</v>
      </c>
      <c r="D989" s="59" t="s">
        <v>803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ht="15.2" spans="1:10">
      <c r="A990" s="58" t="s">
        <v>1753</v>
      </c>
      <c r="B990" s="59">
        <v>1699.4</v>
      </c>
      <c r="C990" s="59">
        <v>2799</v>
      </c>
      <c r="D990" s="59" t="s">
        <v>803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ht="15.2" spans="1:10">
      <c r="A991" s="58" t="s">
        <v>1754</v>
      </c>
      <c r="B991" s="59">
        <v>410</v>
      </c>
      <c r="C991" s="59">
        <v>1032</v>
      </c>
      <c r="D991" s="59" t="s">
        <v>801</v>
      </c>
      <c r="E991" s="59">
        <v>9.2</v>
      </c>
      <c r="F991" s="59">
        <v>9.2</v>
      </c>
      <c r="G991" s="59">
        <v>0</v>
      </c>
      <c r="H991" s="60">
        <f t="shared" ref="H991:H1054" si="49">E991-G991</f>
        <v>9.2</v>
      </c>
      <c r="I991" s="60">
        <f t="shared" si="47"/>
        <v>3772</v>
      </c>
      <c r="J991" s="60">
        <f t="shared" si="48"/>
        <v>9494.4</v>
      </c>
    </row>
    <row r="992" ht="15.2" spans="1:10">
      <c r="A992" s="58" t="s">
        <v>1755</v>
      </c>
      <c r="B992" s="59">
        <v>509</v>
      </c>
      <c r="C992" s="59">
        <v>1096</v>
      </c>
      <c r="D992" s="59" t="s">
        <v>801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ht="15.2" spans="1:10">
      <c r="A993" s="58" t="s">
        <v>1756</v>
      </c>
      <c r="B993" s="59">
        <v>841.26</v>
      </c>
      <c r="C993" s="59">
        <v>1299</v>
      </c>
      <c r="D993" s="59" t="s">
        <v>803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ht="15.2" spans="1:10">
      <c r="A994" s="58" t="s">
        <v>1757</v>
      </c>
      <c r="B994" s="59">
        <v>1177.98</v>
      </c>
      <c r="C994" s="59">
        <v>1999</v>
      </c>
      <c r="D994" s="59" t="s">
        <v>803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ht="15.2" spans="1:10">
      <c r="A995" s="58" t="s">
        <v>1758</v>
      </c>
      <c r="B995" s="59">
        <v>1313.5</v>
      </c>
      <c r="C995" s="59">
        <v>1999</v>
      </c>
      <c r="D995" s="59" t="s">
        <v>803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ht="15.2" spans="1:10">
      <c r="A996" s="58" t="s">
        <v>1759</v>
      </c>
      <c r="B996" s="59">
        <v>1942.25</v>
      </c>
      <c r="C996" s="59">
        <v>3199</v>
      </c>
      <c r="D996" s="59" t="s">
        <v>803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ht="15.2" spans="1:10">
      <c r="A997" s="58" t="s">
        <v>1760</v>
      </c>
      <c r="B997" s="59">
        <v>525</v>
      </c>
      <c r="C997" s="59">
        <v>799</v>
      </c>
      <c r="D997" s="59" t="s">
        <v>803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ht="15.2" spans="1:10">
      <c r="A998" s="58" t="s">
        <v>1761</v>
      </c>
      <c r="B998" s="59">
        <v>676</v>
      </c>
      <c r="C998" s="59">
        <v>1473</v>
      </c>
      <c r="D998" s="59" t="s">
        <v>801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</v>
      </c>
      <c r="J998" s="60">
        <f t="shared" si="48"/>
        <v>589.2</v>
      </c>
    </row>
    <row r="999" ht="15.2" spans="1:10">
      <c r="A999" s="58" t="s">
        <v>1762</v>
      </c>
      <c r="B999" s="59">
        <v>578</v>
      </c>
      <c r="C999" s="59">
        <v>1207</v>
      </c>
      <c r="D999" s="59" t="s">
        <v>801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</v>
      </c>
      <c r="J999" s="60">
        <f t="shared" si="48"/>
        <v>120.7</v>
      </c>
    </row>
    <row r="1000" ht="15.2" spans="1:10">
      <c r="A1000" s="58" t="s">
        <v>1763</v>
      </c>
      <c r="B1000" s="59">
        <v>1820.82</v>
      </c>
      <c r="C1000" s="59">
        <v>2999</v>
      </c>
      <c r="D1000" s="59" t="s">
        <v>803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ht="15.2" spans="1:10">
      <c r="A1001" s="58" t="s">
        <v>1764</v>
      </c>
      <c r="B1001" s="59">
        <v>1499</v>
      </c>
      <c r="C1001" s="59">
        <v>4251</v>
      </c>
      <c r="D1001" s="59" t="s">
        <v>801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32307.6</v>
      </c>
    </row>
    <row r="1002" ht="15.2" spans="1:10">
      <c r="A1002" s="58" t="s">
        <v>1765</v>
      </c>
      <c r="B1002" s="59">
        <v>217</v>
      </c>
      <c r="C1002" s="59">
        <v>446</v>
      </c>
      <c r="D1002" s="59" t="s">
        <v>801</v>
      </c>
      <c r="E1002" s="59">
        <v>4.35</v>
      </c>
      <c r="F1002" s="59">
        <v>4.35</v>
      </c>
      <c r="G1002" s="59">
        <v>0</v>
      </c>
      <c r="H1002" s="60">
        <f t="shared" si="49"/>
        <v>4.35</v>
      </c>
      <c r="I1002" s="60">
        <f t="shared" si="47"/>
        <v>943.95</v>
      </c>
      <c r="J1002" s="60">
        <f t="shared" si="48"/>
        <v>1940.1</v>
      </c>
    </row>
    <row r="1003" ht="15.2" spans="1:10">
      <c r="A1003" s="58" t="s">
        <v>95</v>
      </c>
      <c r="B1003" s="59">
        <v>260</v>
      </c>
      <c r="C1003" s="59">
        <v>683</v>
      </c>
      <c r="D1003" s="59" t="s">
        <v>801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ht="15.2" spans="1:10">
      <c r="A1004" s="58" t="s">
        <v>1766</v>
      </c>
      <c r="B1004" s="59">
        <v>332.8</v>
      </c>
      <c r="C1004" s="59">
        <v>1032</v>
      </c>
      <c r="D1004" s="59" t="s">
        <v>801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ht="15.2" spans="1:10">
      <c r="A1005" s="58" t="s">
        <v>1767</v>
      </c>
      <c r="B1005" s="59">
        <v>2002.96</v>
      </c>
      <c r="C1005" s="59">
        <v>3299</v>
      </c>
      <c r="D1005" s="59" t="s">
        <v>803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ht="15.2" spans="1:10">
      <c r="A1006" s="58" t="s">
        <v>1768</v>
      </c>
      <c r="B1006" s="59">
        <v>1295.84</v>
      </c>
      <c r="C1006" s="59">
        <v>2199</v>
      </c>
      <c r="D1006" s="59" t="s">
        <v>803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ht="15.2" spans="1:10">
      <c r="A1007" s="58" t="s">
        <v>1769</v>
      </c>
      <c r="B1007" s="59">
        <v>317</v>
      </c>
      <c r="C1007" s="59">
        <v>795</v>
      </c>
      <c r="D1007" s="59" t="s">
        <v>801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ht="15.2" spans="1:10">
      <c r="A1008" s="58" t="s">
        <v>1770</v>
      </c>
      <c r="B1008" s="59">
        <v>1274.39</v>
      </c>
      <c r="C1008" s="59">
        <v>2099</v>
      </c>
      <c r="D1008" s="59" t="s">
        <v>803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</v>
      </c>
      <c r="J1008" s="60">
        <f t="shared" si="48"/>
        <v>2099</v>
      </c>
    </row>
    <row r="1009" ht="15.2" spans="1:10">
      <c r="A1009" s="58" t="s">
        <v>1771</v>
      </c>
      <c r="B1009" s="59">
        <v>1881.54</v>
      </c>
      <c r="C1009" s="59">
        <v>3099</v>
      </c>
      <c r="D1009" s="59" t="s">
        <v>803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ht="15.2" spans="1:10">
      <c r="A1010" s="58" t="s">
        <v>1772</v>
      </c>
      <c r="B1010" s="59">
        <v>1119.05</v>
      </c>
      <c r="C1010" s="59">
        <v>1899</v>
      </c>
      <c r="D1010" s="59" t="s">
        <v>803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ht="15.2" spans="1:10">
      <c r="A1011" s="58" t="s">
        <v>1773</v>
      </c>
      <c r="B1011" s="59">
        <v>295.02</v>
      </c>
      <c r="C1011" s="59">
        <v>449</v>
      </c>
      <c r="D1011" s="59" t="s">
        <v>803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ht="15.2" spans="1:10">
      <c r="A1012" s="58" t="s">
        <v>1774</v>
      </c>
      <c r="B1012" s="59">
        <v>1738.7</v>
      </c>
      <c r="C1012" s="59">
        <v>2699</v>
      </c>
      <c r="D1012" s="59" t="s">
        <v>803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ht="15.2" spans="1:10">
      <c r="A1013" s="58" t="s">
        <v>1775</v>
      </c>
      <c r="B1013" s="59">
        <v>2167.7</v>
      </c>
      <c r="C1013" s="59">
        <v>3299</v>
      </c>
      <c r="D1013" s="59" t="s">
        <v>803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2167.7</v>
      </c>
      <c r="J1013" s="60">
        <f t="shared" si="48"/>
        <v>3299</v>
      </c>
    </row>
    <row r="1014" ht="15.2" spans="1:10">
      <c r="A1014" s="58" t="s">
        <v>1776</v>
      </c>
      <c r="B1014" s="59">
        <v>1354.77</v>
      </c>
      <c r="C1014" s="59">
        <v>2299</v>
      </c>
      <c r="D1014" s="59" t="s">
        <v>803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ht="15.2" spans="1:10">
      <c r="A1015" s="58" t="s">
        <v>1777</v>
      </c>
      <c r="B1015" s="59">
        <v>1577.97</v>
      </c>
      <c r="C1015" s="59">
        <v>2599</v>
      </c>
      <c r="D1015" s="59" t="s">
        <v>803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ht="15.2" spans="1:10">
      <c r="A1016" s="58" t="s">
        <v>1778</v>
      </c>
      <c r="B1016" s="59">
        <v>1116.38</v>
      </c>
      <c r="C1016" s="59">
        <v>1699</v>
      </c>
      <c r="D1016" s="59" t="s">
        <v>803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</v>
      </c>
      <c r="J1016" s="60">
        <f t="shared" si="48"/>
        <v>1699</v>
      </c>
    </row>
    <row r="1017" ht="15.2" spans="1:10">
      <c r="A1017" s="58" t="s">
        <v>1779</v>
      </c>
      <c r="B1017" s="59">
        <v>1128</v>
      </c>
      <c r="C1017" s="59">
        <v>3115</v>
      </c>
      <c r="D1017" s="59" t="s">
        <v>801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ht="15.2" spans="1:10">
      <c r="A1018" s="58" t="s">
        <v>1780</v>
      </c>
      <c r="B1018" s="59">
        <v>564</v>
      </c>
      <c r="C1018" s="59">
        <v>1431</v>
      </c>
      <c r="D1018" s="59" t="s">
        <v>801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5132.4</v>
      </c>
      <c r="J1018" s="60">
        <f t="shared" si="48"/>
        <v>13022.1</v>
      </c>
    </row>
    <row r="1019" ht="15.2" spans="1:10">
      <c r="A1019" s="58" t="s">
        <v>1781</v>
      </c>
      <c r="B1019" s="59">
        <v>984.96</v>
      </c>
      <c r="C1019" s="59">
        <v>1499</v>
      </c>
      <c r="D1019" s="59" t="s">
        <v>803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ht="15.2" spans="1:10">
      <c r="A1020" s="58" t="s">
        <v>1782</v>
      </c>
      <c r="B1020" s="59">
        <v>1213.68</v>
      </c>
      <c r="C1020" s="59">
        <v>1999</v>
      </c>
      <c r="D1020" s="59" t="s">
        <v>803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ht="15.2" spans="1:10">
      <c r="A1021" s="58" t="s">
        <v>1783</v>
      </c>
      <c r="B1021" s="59">
        <v>1456.54</v>
      </c>
      <c r="C1021" s="59">
        <v>2399</v>
      </c>
      <c r="D1021" s="59" t="s">
        <v>803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ht="15.2" spans="1:10">
      <c r="A1022" s="58" t="s">
        <v>1784</v>
      </c>
      <c r="B1022" s="59">
        <v>1354.77</v>
      </c>
      <c r="C1022" s="59">
        <v>2299</v>
      </c>
      <c r="D1022" s="59" t="s">
        <v>803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ht="15.2" spans="1:10">
      <c r="A1023" s="58" t="s">
        <v>1785</v>
      </c>
      <c r="B1023" s="59">
        <v>1456.54</v>
      </c>
      <c r="C1023" s="59">
        <v>2399</v>
      </c>
      <c r="D1023" s="59" t="s">
        <v>803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ht="15.2" spans="1:10">
      <c r="A1024" s="58" t="s">
        <v>1786</v>
      </c>
      <c r="B1024" s="59">
        <v>1354.77</v>
      </c>
      <c r="C1024" s="59">
        <v>2299</v>
      </c>
      <c r="D1024" s="59" t="s">
        <v>803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ht="15.2" spans="1:10">
      <c r="A1025" s="58" t="s">
        <v>1787</v>
      </c>
      <c r="B1025" s="59">
        <v>656.42</v>
      </c>
      <c r="C1025" s="59">
        <v>999</v>
      </c>
      <c r="D1025" s="59" t="s">
        <v>803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ht="15.2" spans="1:10">
      <c r="A1026" s="58" t="s">
        <v>1788</v>
      </c>
      <c r="B1026" s="59">
        <v>1510.63</v>
      </c>
      <c r="C1026" s="59">
        <v>2299</v>
      </c>
      <c r="D1026" s="59" t="s">
        <v>803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ht="15.2" spans="1:10">
      <c r="A1027" s="58" t="s">
        <v>1789</v>
      </c>
      <c r="B1027" s="59">
        <v>1274.39</v>
      </c>
      <c r="C1027" s="59">
        <v>2099</v>
      </c>
      <c r="D1027" s="59" t="s">
        <v>803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</v>
      </c>
      <c r="J1027" s="60">
        <f t="shared" si="51"/>
        <v>2099</v>
      </c>
    </row>
    <row r="1028" ht="15.2" spans="1:10">
      <c r="A1028" s="58" t="s">
        <v>1790</v>
      </c>
      <c r="B1028" s="59">
        <v>1331</v>
      </c>
      <c r="C1028" s="59">
        <v>3156</v>
      </c>
      <c r="D1028" s="59" t="s">
        <v>801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ht="15.2" spans="1:10">
      <c r="A1029" s="58" t="s">
        <v>1791</v>
      </c>
      <c r="B1029" s="59">
        <v>1444.92</v>
      </c>
      <c r="C1029" s="59">
        <v>2199</v>
      </c>
      <c r="D1029" s="59" t="s">
        <v>803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ht="15.2" spans="1:10">
      <c r="A1030" s="58" t="s">
        <v>1792</v>
      </c>
      <c r="B1030" s="59">
        <v>841</v>
      </c>
      <c r="C1030" s="59">
        <v>2131</v>
      </c>
      <c r="D1030" s="59" t="s">
        <v>801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ht="15.2" spans="1:10">
      <c r="A1031" s="58" t="s">
        <v>1793</v>
      </c>
      <c r="B1031" s="59">
        <v>649</v>
      </c>
      <c r="C1031" s="59">
        <v>1363</v>
      </c>
      <c r="D1031" s="59" t="s">
        <v>801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</v>
      </c>
      <c r="J1031" s="60">
        <f t="shared" si="51"/>
        <v>136.3</v>
      </c>
    </row>
    <row r="1032" ht="15.2" spans="1:10">
      <c r="A1032" s="58" t="s">
        <v>1794</v>
      </c>
      <c r="B1032" s="59">
        <v>425</v>
      </c>
      <c r="C1032" s="59">
        <v>951</v>
      </c>
      <c r="D1032" s="59" t="s">
        <v>801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</v>
      </c>
    </row>
    <row r="1033" ht="15.2" spans="1:10">
      <c r="A1033" s="58" t="s">
        <v>1795</v>
      </c>
      <c r="B1033" s="59">
        <v>897</v>
      </c>
      <c r="C1033" s="59">
        <v>2131</v>
      </c>
      <c r="D1033" s="59" t="s">
        <v>801</v>
      </c>
      <c r="E1033" s="59">
        <v>1.1</v>
      </c>
      <c r="F1033" s="59">
        <v>1.1</v>
      </c>
      <c r="G1033" s="59">
        <v>0</v>
      </c>
      <c r="H1033" s="60">
        <f t="shared" si="49"/>
        <v>1.1</v>
      </c>
      <c r="I1033" s="60">
        <f t="shared" si="50"/>
        <v>986.7</v>
      </c>
      <c r="J1033" s="60">
        <f t="shared" si="51"/>
        <v>2344.1</v>
      </c>
    </row>
    <row r="1034" ht="15.2" spans="1:10">
      <c r="A1034" s="58" t="s">
        <v>1796</v>
      </c>
      <c r="B1034" s="59">
        <v>1213.68</v>
      </c>
      <c r="C1034" s="59">
        <v>1999</v>
      </c>
      <c r="D1034" s="59" t="s">
        <v>803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ht="15.2" spans="1:10">
      <c r="A1035" s="58" t="s">
        <v>1797</v>
      </c>
      <c r="B1035" s="59">
        <v>984.96</v>
      </c>
      <c r="C1035" s="59">
        <v>1499</v>
      </c>
      <c r="D1035" s="59" t="s">
        <v>803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ht="15.2" spans="1:10">
      <c r="A1036" s="58" t="s">
        <v>1798</v>
      </c>
      <c r="B1036" s="59">
        <v>582.21</v>
      </c>
      <c r="C1036" s="59">
        <v>899</v>
      </c>
      <c r="D1036" s="59" t="s">
        <v>803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ht="15.2" spans="1:10">
      <c r="A1037" s="58" t="s">
        <v>1799</v>
      </c>
      <c r="B1037" s="59">
        <v>1295.84</v>
      </c>
      <c r="C1037" s="59">
        <v>2199</v>
      </c>
      <c r="D1037" s="59" t="s">
        <v>803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ht="15.2" spans="1:10">
      <c r="A1038" s="58" t="s">
        <v>1800</v>
      </c>
      <c r="B1038" s="59">
        <v>970.78</v>
      </c>
      <c r="C1038" s="59">
        <v>1499</v>
      </c>
      <c r="D1038" s="59" t="s">
        <v>803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ht="15.2" spans="1:10">
      <c r="A1039" s="58" t="s">
        <v>1801</v>
      </c>
      <c r="B1039" s="59">
        <v>317</v>
      </c>
      <c r="C1039" s="59">
        <v>735</v>
      </c>
      <c r="D1039" s="59" t="s">
        <v>801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</v>
      </c>
      <c r="J1039" s="60">
        <f t="shared" si="51"/>
        <v>5806.5</v>
      </c>
    </row>
    <row r="1040" ht="15.2" spans="1:10">
      <c r="A1040" s="58" t="s">
        <v>1802</v>
      </c>
      <c r="B1040" s="59">
        <v>1236.91</v>
      </c>
      <c r="C1040" s="59">
        <v>2099</v>
      </c>
      <c r="D1040" s="59" t="s">
        <v>803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</v>
      </c>
      <c r="J1040" s="60">
        <f t="shared" si="51"/>
        <v>4198</v>
      </c>
    </row>
    <row r="1041" ht="15.2" spans="1:10">
      <c r="A1041" s="58" t="s">
        <v>1803</v>
      </c>
      <c r="B1041" s="59">
        <v>1000</v>
      </c>
      <c r="C1041" s="59">
        <v>1599</v>
      </c>
      <c r="D1041" s="59" t="s">
        <v>803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ht="15.2" spans="1:10">
      <c r="A1042" s="58" t="s">
        <v>729</v>
      </c>
      <c r="B1042" s="59">
        <v>431</v>
      </c>
      <c r="C1042" s="59">
        <v>1071</v>
      </c>
      <c r="D1042" s="59" t="s">
        <v>801</v>
      </c>
      <c r="E1042" s="59">
        <v>9.2</v>
      </c>
      <c r="F1042" s="59">
        <v>9.2</v>
      </c>
      <c r="G1042" s="59">
        <v>0</v>
      </c>
      <c r="H1042" s="60">
        <f t="shared" si="49"/>
        <v>9.2</v>
      </c>
      <c r="I1042" s="60">
        <f t="shared" si="50"/>
        <v>3965.2</v>
      </c>
      <c r="J1042" s="60">
        <f t="shared" si="51"/>
        <v>9853.2</v>
      </c>
    </row>
    <row r="1043" ht="15.2" spans="1:10">
      <c r="A1043" s="58" t="s">
        <v>1804</v>
      </c>
      <c r="B1043" s="59">
        <v>1177.98</v>
      </c>
      <c r="C1043" s="59">
        <v>1999</v>
      </c>
      <c r="D1043" s="59" t="s">
        <v>803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ht="15.2" spans="1:10">
      <c r="A1044" s="58" t="s">
        <v>1805</v>
      </c>
      <c r="B1044" s="59">
        <v>1287.76</v>
      </c>
      <c r="C1044" s="59">
        <v>1999</v>
      </c>
      <c r="D1044" s="59" t="s">
        <v>803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ht="15.2" spans="1:10">
      <c r="A1045" s="58" t="s">
        <v>1806</v>
      </c>
      <c r="B1045" s="59">
        <v>1472.63</v>
      </c>
      <c r="C1045" s="59">
        <v>2499</v>
      </c>
      <c r="D1045" s="59" t="s">
        <v>803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ht="15.2" spans="1:10">
      <c r="A1046" s="58" t="s">
        <v>1807</v>
      </c>
      <c r="B1046" s="59">
        <v>283</v>
      </c>
      <c r="C1046" s="59">
        <v>632</v>
      </c>
      <c r="D1046" s="59" t="s">
        <v>801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ht="15.2" spans="1:10">
      <c r="A1047" s="58" t="s">
        <v>1808</v>
      </c>
      <c r="B1047" s="59">
        <v>517.45</v>
      </c>
      <c r="C1047" s="59">
        <v>799</v>
      </c>
      <c r="D1047" s="59" t="s">
        <v>803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ht="15.2" spans="1:10">
      <c r="A1048" s="58" t="s">
        <v>1809</v>
      </c>
      <c r="B1048" s="59">
        <v>1274.39</v>
      </c>
      <c r="C1048" s="59">
        <v>2099</v>
      </c>
      <c r="D1048" s="59" t="s">
        <v>803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</v>
      </c>
      <c r="J1048" s="60">
        <f t="shared" si="51"/>
        <v>2099</v>
      </c>
    </row>
    <row r="1049" ht="15.2" spans="1:10">
      <c r="A1049" s="58" t="s">
        <v>104</v>
      </c>
      <c r="B1049" s="59">
        <v>266</v>
      </c>
      <c r="C1049" s="59">
        <v>529</v>
      </c>
      <c r="D1049" s="59" t="s">
        <v>801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ht="15.2" spans="1:10">
      <c r="A1050" s="58" t="s">
        <v>1810</v>
      </c>
      <c r="B1050" s="59">
        <v>517.45</v>
      </c>
      <c r="C1050" s="59">
        <v>799</v>
      </c>
      <c r="D1050" s="59" t="s">
        <v>803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</v>
      </c>
      <c r="J1050" s="60">
        <f t="shared" si="51"/>
        <v>799</v>
      </c>
    </row>
    <row r="1051" ht="15.2" spans="1:10">
      <c r="A1051" s="58" t="s">
        <v>1811</v>
      </c>
      <c r="B1051" s="59">
        <v>1707.76</v>
      </c>
      <c r="C1051" s="59">
        <v>2599</v>
      </c>
      <c r="D1051" s="59" t="s">
        <v>803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ht="15.2" spans="1:10">
      <c r="A1052" s="58" t="s">
        <v>1812</v>
      </c>
      <c r="B1052" s="59">
        <v>1025</v>
      </c>
      <c r="C1052" s="59">
        <v>2599</v>
      </c>
      <c r="D1052" s="59" t="s">
        <v>801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</v>
      </c>
    </row>
    <row r="1053" ht="15.2" spans="1:10">
      <c r="A1053" s="58" t="s">
        <v>1813</v>
      </c>
      <c r="B1053" s="59">
        <v>299</v>
      </c>
      <c r="C1053" s="59">
        <v>660</v>
      </c>
      <c r="D1053" s="59" t="s">
        <v>801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ht="15.2" spans="1:10">
      <c r="A1054" s="58" t="s">
        <v>1814</v>
      </c>
      <c r="B1054" s="59">
        <v>1517.25</v>
      </c>
      <c r="C1054" s="59">
        <v>2499</v>
      </c>
      <c r="D1054" s="59" t="s">
        <v>803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ht="15.2" spans="1:10">
      <c r="A1055" s="58" t="s">
        <v>1815</v>
      </c>
      <c r="B1055" s="59">
        <v>549</v>
      </c>
      <c r="C1055" s="59">
        <v>1223</v>
      </c>
      <c r="D1055" s="59" t="s">
        <v>801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ht="15.2" spans="1:10">
      <c r="A1056" s="58" t="s">
        <v>1816</v>
      </c>
      <c r="B1056" s="59">
        <v>1379.21</v>
      </c>
      <c r="C1056" s="59">
        <v>2099</v>
      </c>
      <c r="D1056" s="59" t="s">
        <v>803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ht="15.2" spans="1:10">
      <c r="A1057" s="58" t="s">
        <v>1817</v>
      </c>
      <c r="B1057" s="59">
        <v>1354.77</v>
      </c>
      <c r="C1057" s="59">
        <v>2299</v>
      </c>
      <c r="D1057" s="59" t="s">
        <v>803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ht="15.2" spans="1:10">
      <c r="A1058" s="58" t="s">
        <v>1818</v>
      </c>
      <c r="B1058" s="59">
        <v>1517.25</v>
      </c>
      <c r="C1058" s="59">
        <v>2499</v>
      </c>
      <c r="D1058" s="59" t="s">
        <v>803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ht="15.2" spans="1:10">
      <c r="A1059" s="58" t="s">
        <v>1819</v>
      </c>
      <c r="B1059" s="59">
        <v>259</v>
      </c>
      <c r="C1059" s="59">
        <v>635</v>
      </c>
      <c r="D1059" s="59" t="s">
        <v>801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</v>
      </c>
      <c r="J1059" s="60">
        <f t="shared" si="51"/>
        <v>2032</v>
      </c>
    </row>
    <row r="1060" ht="15.2" spans="1:10">
      <c r="A1060" s="58" t="s">
        <v>1820</v>
      </c>
      <c r="B1060" s="59">
        <v>579</v>
      </c>
      <c r="C1060" s="59">
        <v>1362</v>
      </c>
      <c r="D1060" s="59" t="s">
        <v>801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ht="15.2" spans="1:10">
      <c r="A1061" s="58" t="s">
        <v>1821</v>
      </c>
      <c r="B1061" s="59">
        <v>1313.5</v>
      </c>
      <c r="C1061" s="59">
        <v>1999</v>
      </c>
      <c r="D1061" s="59" t="s">
        <v>803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ht="15.2" spans="1:10">
      <c r="A1062" s="58" t="s">
        <v>1822</v>
      </c>
      <c r="B1062" s="59">
        <v>359</v>
      </c>
      <c r="C1062" s="59">
        <v>835</v>
      </c>
      <c r="D1062" s="59" t="s">
        <v>801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2441.2</v>
      </c>
      <c r="J1062" s="60">
        <f t="shared" si="51"/>
        <v>5678</v>
      </c>
    </row>
    <row r="1063" ht="15.2" spans="1:10">
      <c r="A1063" s="58" t="s">
        <v>1823</v>
      </c>
      <c r="B1063" s="59">
        <v>984.96</v>
      </c>
      <c r="C1063" s="59">
        <v>1499</v>
      </c>
      <c r="D1063" s="59" t="s">
        <v>803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ht="15.2" spans="1:10">
      <c r="A1064" s="58" t="s">
        <v>1824</v>
      </c>
      <c r="B1064" s="59">
        <v>1092.25</v>
      </c>
      <c r="C1064" s="59">
        <v>1799</v>
      </c>
      <c r="D1064" s="59" t="s">
        <v>803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ht="15.2" spans="1:10">
      <c r="A1065" s="58" t="s">
        <v>1825</v>
      </c>
      <c r="B1065" s="59">
        <v>299</v>
      </c>
      <c r="C1065" s="59">
        <v>660</v>
      </c>
      <c r="D1065" s="59" t="s">
        <v>801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ht="15.2" spans="1:10">
      <c r="A1066" s="58" t="s">
        <v>1826</v>
      </c>
      <c r="B1066" s="59">
        <v>630</v>
      </c>
      <c r="C1066" s="59">
        <v>1394</v>
      </c>
      <c r="D1066" s="59" t="s">
        <v>801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ht="15.2" spans="1:10">
      <c r="A1067" s="58" t="s">
        <v>1827</v>
      </c>
      <c r="B1067" s="59">
        <v>1576.34</v>
      </c>
      <c r="C1067" s="59">
        <v>2399</v>
      </c>
      <c r="D1067" s="59" t="s">
        <v>803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ht="15.2" spans="1:10">
      <c r="A1068" s="58" t="s">
        <v>1828</v>
      </c>
      <c r="B1068" s="59">
        <v>1416.6</v>
      </c>
      <c r="C1068" s="59">
        <v>2199</v>
      </c>
      <c r="D1068" s="59" t="s">
        <v>803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ht="15.2" spans="1:10">
      <c r="A1069" s="58" t="s">
        <v>1829</v>
      </c>
      <c r="B1069" s="59">
        <v>1119.05</v>
      </c>
      <c r="C1069" s="59">
        <v>1899</v>
      </c>
      <c r="D1069" s="59" t="s">
        <v>803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ht="15.2" spans="1:10">
      <c r="A1070" s="58" t="s">
        <v>1830</v>
      </c>
      <c r="B1070" s="59">
        <v>1444.92</v>
      </c>
      <c r="C1070" s="59">
        <v>2199</v>
      </c>
      <c r="D1070" s="59" t="s">
        <v>803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ht="15.2" spans="1:10">
      <c r="A1071" s="58" t="s">
        <v>1831</v>
      </c>
      <c r="B1071" s="59">
        <v>410</v>
      </c>
      <c r="C1071" s="59">
        <v>913</v>
      </c>
      <c r="D1071" s="59" t="s">
        <v>801</v>
      </c>
      <c r="E1071" s="59">
        <v>4.35</v>
      </c>
      <c r="F1071" s="59">
        <v>4.35</v>
      </c>
      <c r="G1071" s="59">
        <v>0</v>
      </c>
      <c r="H1071" s="60">
        <f t="shared" si="52"/>
        <v>4.35</v>
      </c>
      <c r="I1071" s="60">
        <f t="shared" si="50"/>
        <v>1783.5</v>
      </c>
      <c r="J1071" s="60">
        <f t="shared" si="51"/>
        <v>3971.55</v>
      </c>
    </row>
    <row r="1072" ht="15.2" spans="1:10">
      <c r="A1072" s="58" t="s">
        <v>1832</v>
      </c>
      <c r="B1072" s="59">
        <v>1577.96</v>
      </c>
      <c r="C1072" s="59">
        <v>2599</v>
      </c>
      <c r="D1072" s="59" t="s">
        <v>803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ht="15.2" spans="1:10">
      <c r="A1073" s="58" t="s">
        <v>1833</v>
      </c>
      <c r="B1073" s="59">
        <v>359</v>
      </c>
      <c r="C1073" s="59">
        <v>907</v>
      </c>
      <c r="D1073" s="59" t="s">
        <v>801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5241.4</v>
      </c>
      <c r="J1073" s="60">
        <f t="shared" si="51"/>
        <v>13242.2</v>
      </c>
    </row>
    <row r="1074" ht="15.2" spans="1:10">
      <c r="A1074" s="58" t="s">
        <v>1834</v>
      </c>
      <c r="B1074" s="59">
        <v>436</v>
      </c>
      <c r="C1074" s="59">
        <v>1099</v>
      </c>
      <c r="D1074" s="59" t="s">
        <v>801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</v>
      </c>
      <c r="J1074" s="60">
        <f t="shared" si="51"/>
        <v>15825.6</v>
      </c>
    </row>
    <row r="1075" ht="15.2" spans="1:10">
      <c r="A1075" s="58" t="s">
        <v>1835</v>
      </c>
      <c r="B1075" s="59">
        <v>646</v>
      </c>
      <c r="C1075" s="59">
        <v>1358</v>
      </c>
      <c r="D1075" s="59" t="s">
        <v>801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ht="15.2" spans="1:10">
      <c r="A1076" s="58" t="s">
        <v>58</v>
      </c>
      <c r="B1076" s="59">
        <v>499</v>
      </c>
      <c r="C1076" s="59">
        <v>1117</v>
      </c>
      <c r="D1076" s="59" t="s">
        <v>801</v>
      </c>
      <c r="E1076" s="59">
        <v>5.1</v>
      </c>
      <c r="F1076" s="59">
        <v>5.1</v>
      </c>
      <c r="G1076" s="59">
        <v>0</v>
      </c>
      <c r="H1076" s="60">
        <f t="shared" si="52"/>
        <v>5.1</v>
      </c>
      <c r="I1076" s="60">
        <f t="shared" si="50"/>
        <v>2544.9</v>
      </c>
      <c r="J1076" s="60">
        <f t="shared" si="51"/>
        <v>5696.7</v>
      </c>
    </row>
    <row r="1077" ht="15.2" spans="1:10">
      <c r="A1077" s="58" t="s">
        <v>1836</v>
      </c>
      <c r="B1077" s="59">
        <v>1416.6</v>
      </c>
      <c r="C1077" s="59">
        <v>2199</v>
      </c>
      <c r="D1077" s="59" t="s">
        <v>803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ht="15.2" spans="1:10">
      <c r="A1078" s="58" t="s">
        <v>1837</v>
      </c>
      <c r="B1078" s="59">
        <v>1545.44</v>
      </c>
      <c r="C1078" s="59">
        <v>2399</v>
      </c>
      <c r="D1078" s="59" t="s">
        <v>803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ht="15.2" spans="1:10">
      <c r="A1079" s="58" t="s">
        <v>1838</v>
      </c>
      <c r="B1079" s="59">
        <v>737</v>
      </c>
      <c r="C1079" s="59">
        <v>1549</v>
      </c>
      <c r="D1079" s="59" t="s">
        <v>801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ht="15.2" spans="1:10">
      <c r="A1080" s="58" t="s">
        <v>1839</v>
      </c>
      <c r="B1080" s="59">
        <v>906.02</v>
      </c>
      <c r="C1080" s="59">
        <v>1399</v>
      </c>
      <c r="D1080" s="59" t="s">
        <v>803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ht="15.2" spans="1:10">
      <c r="A1081" s="58" t="s">
        <v>1840</v>
      </c>
      <c r="B1081" s="59">
        <v>1738.7</v>
      </c>
      <c r="C1081" s="59">
        <v>2699</v>
      </c>
      <c r="D1081" s="59" t="s">
        <v>803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ht="15.2" spans="1:10">
      <c r="A1082" s="58" t="s">
        <v>1841</v>
      </c>
      <c r="B1082" s="59">
        <v>549.83</v>
      </c>
      <c r="C1082" s="59">
        <v>849</v>
      </c>
      <c r="D1082" s="59" t="s">
        <v>803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</v>
      </c>
      <c r="J1082" s="60">
        <f t="shared" si="51"/>
        <v>2547</v>
      </c>
    </row>
    <row r="1083" ht="15.2" spans="1:10">
      <c r="A1083" s="58" t="s">
        <v>1842</v>
      </c>
      <c r="B1083" s="59">
        <v>1510.63</v>
      </c>
      <c r="C1083" s="59">
        <v>2299</v>
      </c>
      <c r="D1083" s="59" t="s">
        <v>803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ht="15.2" spans="1:10">
      <c r="A1084" s="58" t="s">
        <v>1843</v>
      </c>
      <c r="B1084" s="59">
        <v>555</v>
      </c>
      <c r="C1084" s="59">
        <v>1166</v>
      </c>
      <c r="D1084" s="59" t="s">
        <v>801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</v>
      </c>
    </row>
    <row r="1085" ht="15.2" spans="1:10">
      <c r="A1085" s="58" t="s">
        <v>1844</v>
      </c>
      <c r="B1085" s="59">
        <v>441</v>
      </c>
      <c r="C1085" s="59">
        <v>1032</v>
      </c>
      <c r="D1085" s="59" t="s">
        <v>801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ht="15.2" spans="1:10">
      <c r="A1086" s="58" t="s">
        <v>1845</v>
      </c>
      <c r="B1086" s="59">
        <v>538</v>
      </c>
      <c r="C1086" s="59">
        <v>1331</v>
      </c>
      <c r="D1086" s="59" t="s">
        <v>801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753.2</v>
      </c>
      <c r="J1086" s="60">
        <f t="shared" si="51"/>
        <v>1863.4</v>
      </c>
    </row>
    <row r="1087" ht="15.2" spans="1:10">
      <c r="A1087" s="58" t="s">
        <v>1846</v>
      </c>
      <c r="B1087" s="59">
        <v>1510.63</v>
      </c>
      <c r="C1087" s="59">
        <v>2299</v>
      </c>
      <c r="D1087" s="59" t="s">
        <v>803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ht="15.2" spans="1:10">
      <c r="A1088" s="58" t="s">
        <v>1847</v>
      </c>
      <c r="B1088" s="59">
        <v>450</v>
      </c>
      <c r="C1088" s="59">
        <v>1008</v>
      </c>
      <c r="D1088" s="59" t="s">
        <v>801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</v>
      </c>
    </row>
    <row r="1089" ht="15.2" spans="1:10">
      <c r="A1089" s="58" t="s">
        <v>1848</v>
      </c>
      <c r="B1089" s="59">
        <v>1881.54</v>
      </c>
      <c r="C1089" s="59">
        <v>3099</v>
      </c>
      <c r="D1089" s="59" t="s">
        <v>803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ht="15.2" spans="1:10">
      <c r="A1090" s="58" t="s">
        <v>1849</v>
      </c>
      <c r="B1090" s="59">
        <v>222.1</v>
      </c>
      <c r="C1090" s="59">
        <v>669</v>
      </c>
      <c r="D1090" s="59" t="s">
        <v>801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</v>
      </c>
    </row>
    <row r="1091" ht="15.2" spans="1:10">
      <c r="A1091" s="58" t="s">
        <v>342</v>
      </c>
      <c r="B1091" s="59">
        <v>651</v>
      </c>
      <c r="C1091" s="59">
        <v>1616</v>
      </c>
      <c r="D1091" s="59" t="s">
        <v>801</v>
      </c>
      <c r="E1091" s="59">
        <v>4.15</v>
      </c>
      <c r="F1091" s="59">
        <v>4.15</v>
      </c>
      <c r="G1091" s="59">
        <v>0</v>
      </c>
      <c r="H1091" s="60">
        <f t="shared" si="52"/>
        <v>4.15</v>
      </c>
      <c r="I1091" s="60">
        <f t="shared" si="53"/>
        <v>2701.65</v>
      </c>
      <c r="J1091" s="60">
        <f t="shared" si="54"/>
        <v>6706.4</v>
      </c>
    </row>
    <row r="1092" ht="15.2" spans="1:10">
      <c r="A1092" s="58" t="s">
        <v>336</v>
      </c>
      <c r="B1092" s="59">
        <v>1844</v>
      </c>
      <c r="C1092" s="59">
        <v>4299</v>
      </c>
      <c r="D1092" s="59" t="s">
        <v>801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</v>
      </c>
      <c r="J1092" s="60">
        <f t="shared" si="54"/>
        <v>3869.1</v>
      </c>
    </row>
    <row r="1093" ht="15.2" spans="1:10">
      <c r="A1093" s="58" t="s">
        <v>1850</v>
      </c>
      <c r="B1093" s="59">
        <v>910.24</v>
      </c>
      <c r="C1093" s="59">
        <v>1399</v>
      </c>
      <c r="D1093" s="59" t="s">
        <v>803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ht="15.2" spans="1:10">
      <c r="A1094" s="58" t="s">
        <v>1851</v>
      </c>
      <c r="B1094" s="59">
        <v>517.45</v>
      </c>
      <c r="C1094" s="59">
        <v>799</v>
      </c>
      <c r="D1094" s="59" t="s">
        <v>803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</v>
      </c>
      <c r="J1094" s="60">
        <f t="shared" si="54"/>
        <v>799</v>
      </c>
    </row>
    <row r="1095" ht="15.2" spans="1:10">
      <c r="A1095" s="58" t="s">
        <v>1852</v>
      </c>
      <c r="B1095" s="59">
        <v>3535.13</v>
      </c>
      <c r="C1095" s="59">
        <v>5999</v>
      </c>
      <c r="D1095" s="59" t="s">
        <v>803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ht="15.2" spans="1:10">
      <c r="A1096" s="58" t="s">
        <v>1853</v>
      </c>
      <c r="B1096" s="59">
        <v>1456.54</v>
      </c>
      <c r="C1096" s="59">
        <v>2399</v>
      </c>
      <c r="D1096" s="59" t="s">
        <v>803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ht="15.2" spans="1:10">
      <c r="A1097" s="58" t="s">
        <v>1854</v>
      </c>
      <c r="B1097" s="59">
        <v>656.42</v>
      </c>
      <c r="C1097" s="59">
        <v>999</v>
      </c>
      <c r="D1097" s="59" t="s">
        <v>803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ht="15.2" spans="1:10">
      <c r="A1098" s="58" t="s">
        <v>1855</v>
      </c>
      <c r="B1098" s="59">
        <v>4856.54</v>
      </c>
      <c r="C1098" s="59">
        <v>7999</v>
      </c>
      <c r="D1098" s="59" t="s">
        <v>803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ht="15.2" spans="1:10">
      <c r="A1099" s="58" t="s">
        <v>1856</v>
      </c>
      <c r="B1099" s="59">
        <v>647</v>
      </c>
      <c r="C1099" s="59">
        <v>1428</v>
      </c>
      <c r="D1099" s="59" t="s">
        <v>801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999.6</v>
      </c>
    </row>
    <row r="1100" ht="15.2" spans="1:10">
      <c r="A1100" s="58" t="s">
        <v>1857</v>
      </c>
      <c r="B1100" s="59">
        <v>1577.96</v>
      </c>
      <c r="C1100" s="59">
        <v>2599</v>
      </c>
      <c r="D1100" s="59" t="s">
        <v>803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ht="15.2" spans="1:10">
      <c r="A1101" s="58" t="s">
        <v>1858</v>
      </c>
      <c r="B1101" s="59">
        <v>984.96</v>
      </c>
      <c r="C1101" s="59">
        <v>1499</v>
      </c>
      <c r="D1101" s="59" t="s">
        <v>803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ht="15.2" spans="1:10">
      <c r="A1102" s="58" t="s">
        <v>1859</v>
      </c>
      <c r="B1102" s="59">
        <v>1335.11</v>
      </c>
      <c r="C1102" s="59">
        <v>2199</v>
      </c>
      <c r="D1102" s="59" t="s">
        <v>803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ht="15.2" spans="1:10">
      <c r="A1103" s="58" t="s">
        <v>1860</v>
      </c>
      <c r="B1103" s="59">
        <v>1213.68</v>
      </c>
      <c r="C1103" s="59">
        <v>1999</v>
      </c>
      <c r="D1103" s="59" t="s">
        <v>803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ht="15.2" spans="1:10">
      <c r="A1104" s="58" t="s">
        <v>1861</v>
      </c>
      <c r="B1104" s="59">
        <v>1213.68</v>
      </c>
      <c r="C1104" s="59">
        <v>1999</v>
      </c>
      <c r="D1104" s="59" t="s">
        <v>803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ht="15.2" spans="1:10">
      <c r="A1105" s="58" t="s">
        <v>1862</v>
      </c>
      <c r="B1105" s="59">
        <v>1299</v>
      </c>
      <c r="C1105" s="59">
        <v>2947</v>
      </c>
      <c r="D1105" s="59" t="s">
        <v>801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2208.3</v>
      </c>
      <c r="J1105" s="60">
        <f t="shared" si="54"/>
        <v>5009.9</v>
      </c>
    </row>
    <row r="1106" ht="15.2" spans="1:10">
      <c r="A1106" s="58" t="s">
        <v>1863</v>
      </c>
      <c r="B1106" s="59">
        <v>1247.8</v>
      </c>
      <c r="C1106" s="59">
        <v>1899</v>
      </c>
      <c r="D1106" s="59" t="s">
        <v>803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ht="15.2" spans="1:10">
      <c r="A1107" s="58" t="s">
        <v>1864</v>
      </c>
      <c r="B1107" s="59">
        <v>2254</v>
      </c>
      <c r="C1107" s="59">
        <v>5863</v>
      </c>
      <c r="D1107" s="59" t="s">
        <v>801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ht="15.2" spans="1:10">
      <c r="A1108" s="58" t="s">
        <v>1865</v>
      </c>
      <c r="B1108" s="59">
        <v>1354.77</v>
      </c>
      <c r="C1108" s="59">
        <v>2299</v>
      </c>
      <c r="D1108" s="59" t="s">
        <v>803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ht="15.2" spans="1:10">
      <c r="A1109" s="58" t="s">
        <v>1866</v>
      </c>
      <c r="B1109" s="59">
        <v>582.21</v>
      </c>
      <c r="C1109" s="59">
        <v>899</v>
      </c>
      <c r="D1109" s="59" t="s">
        <v>803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ht="15.2" spans="1:10">
      <c r="A1110" s="58" t="s">
        <v>1867</v>
      </c>
      <c r="B1110" s="59">
        <v>295.02</v>
      </c>
      <c r="C1110" s="59">
        <v>449</v>
      </c>
      <c r="D1110" s="59" t="s">
        <v>803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ht="15.2" spans="1:10">
      <c r="A1111" s="58" t="s">
        <v>1868</v>
      </c>
      <c r="B1111" s="59">
        <v>290.78</v>
      </c>
      <c r="C1111" s="59">
        <v>449</v>
      </c>
      <c r="D1111" s="59" t="s">
        <v>803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290.78</v>
      </c>
      <c r="J1111" s="60">
        <f t="shared" si="54"/>
        <v>449</v>
      </c>
    </row>
    <row r="1112" ht="15.2" spans="1:10">
      <c r="A1112" s="58" t="s">
        <v>149</v>
      </c>
      <c r="B1112" s="59">
        <v>461</v>
      </c>
      <c r="C1112" s="59">
        <v>1165</v>
      </c>
      <c r="D1112" s="59" t="s">
        <v>801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</v>
      </c>
      <c r="J1112" s="60">
        <f t="shared" si="54"/>
        <v>4485.25</v>
      </c>
    </row>
    <row r="1113" ht="15.2" spans="1:10">
      <c r="A1113" s="58" t="s">
        <v>1869</v>
      </c>
      <c r="B1113" s="59">
        <v>1182.09</v>
      </c>
      <c r="C1113" s="59">
        <v>1799</v>
      </c>
      <c r="D1113" s="59" t="s">
        <v>803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2364.18</v>
      </c>
      <c r="J1113" s="60">
        <f t="shared" si="54"/>
        <v>3598</v>
      </c>
    </row>
    <row r="1114" ht="15.2" spans="1:10">
      <c r="A1114" s="58" t="s">
        <v>1870</v>
      </c>
      <c r="B1114" s="59">
        <v>220</v>
      </c>
      <c r="C1114" s="59">
        <v>492</v>
      </c>
      <c r="D1114" s="59" t="s">
        <v>801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ht="15.2" spans="1:10">
      <c r="A1115" s="58" t="s">
        <v>1871</v>
      </c>
      <c r="B1115" s="59">
        <v>511</v>
      </c>
      <c r="C1115" s="59">
        <v>1117</v>
      </c>
      <c r="D1115" s="59" t="s">
        <v>801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</v>
      </c>
      <c r="J1115" s="60">
        <f t="shared" si="54"/>
        <v>2345.7</v>
      </c>
    </row>
    <row r="1116" ht="15.2" spans="1:10">
      <c r="A1116" s="58" t="s">
        <v>1872</v>
      </c>
      <c r="B1116" s="59">
        <v>1379.21</v>
      </c>
      <c r="C1116" s="59">
        <v>2099</v>
      </c>
      <c r="D1116" s="59" t="s">
        <v>803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ht="15.2" spans="1:10">
      <c r="A1117" s="58" t="s">
        <v>1873</v>
      </c>
      <c r="B1117" s="59">
        <v>908.83</v>
      </c>
      <c r="C1117" s="59">
        <v>1399</v>
      </c>
      <c r="D1117" s="59" t="s">
        <v>803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ht="15.2" spans="1:10">
      <c r="A1118" s="58" t="s">
        <v>1874</v>
      </c>
      <c r="B1118" s="59">
        <v>769</v>
      </c>
      <c r="C1118" s="59">
        <v>1700</v>
      </c>
      <c r="D1118" s="59" t="s">
        <v>801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</v>
      </c>
      <c r="J1118" s="60">
        <f t="shared" si="54"/>
        <v>170</v>
      </c>
    </row>
    <row r="1119" ht="15.2" spans="1:10">
      <c r="A1119" s="58" t="s">
        <v>1875</v>
      </c>
      <c r="B1119" s="59">
        <v>2167.7</v>
      </c>
      <c r="C1119" s="59">
        <v>3299</v>
      </c>
      <c r="D1119" s="59" t="s">
        <v>803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2167.7</v>
      </c>
      <c r="J1119" s="60">
        <f t="shared" si="54"/>
        <v>3299</v>
      </c>
    </row>
    <row r="1120" ht="15.2" spans="1:10">
      <c r="A1120" s="58" t="s">
        <v>1876</v>
      </c>
      <c r="B1120" s="59">
        <v>562</v>
      </c>
      <c r="C1120" s="59">
        <v>1299</v>
      </c>
      <c r="D1120" s="59" t="s">
        <v>801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ht="15.2" spans="1:10">
      <c r="A1121" s="58" t="s">
        <v>1877</v>
      </c>
      <c r="B1121" s="59">
        <v>406</v>
      </c>
      <c r="C1121" s="59">
        <v>943</v>
      </c>
      <c r="D1121" s="59" t="s">
        <v>801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</v>
      </c>
    </row>
    <row r="1122" ht="15.2" spans="1:10">
      <c r="A1122" s="58" t="s">
        <v>1878</v>
      </c>
      <c r="B1122" s="59">
        <v>1274.39</v>
      </c>
      <c r="C1122" s="59">
        <v>2099</v>
      </c>
      <c r="D1122" s="59" t="s">
        <v>803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ht="15.2" spans="1:10">
      <c r="A1123" s="58" t="s">
        <v>1879</v>
      </c>
      <c r="B1123" s="59">
        <v>1970.58</v>
      </c>
      <c r="C1123" s="59">
        <v>2999</v>
      </c>
      <c r="D1123" s="59" t="s">
        <v>803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ht="15.2" spans="1:10">
      <c r="A1124" s="58" t="s">
        <v>1880</v>
      </c>
      <c r="B1124" s="59">
        <v>409</v>
      </c>
      <c r="C1124" s="59">
        <v>1032</v>
      </c>
      <c r="D1124" s="59" t="s">
        <v>801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</v>
      </c>
      <c r="J1124" s="60">
        <f t="shared" si="54"/>
        <v>1341.6</v>
      </c>
    </row>
    <row r="1125" ht="15.2" spans="1:10">
      <c r="A1125" s="58" t="s">
        <v>1881</v>
      </c>
      <c r="B1125" s="59">
        <v>1456.54</v>
      </c>
      <c r="C1125" s="59">
        <v>2399</v>
      </c>
      <c r="D1125" s="59" t="s">
        <v>803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ht="15.2" spans="1:10">
      <c r="A1126" s="58" t="s">
        <v>1882</v>
      </c>
      <c r="B1126" s="59">
        <v>1295.84</v>
      </c>
      <c r="C1126" s="59">
        <v>2199</v>
      </c>
      <c r="D1126" s="59" t="s">
        <v>803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1295.84</v>
      </c>
      <c r="J1126" s="60">
        <f t="shared" si="54"/>
        <v>2199</v>
      </c>
    </row>
    <row r="1127" ht="15.2" spans="1:10">
      <c r="A1127" s="58" t="s">
        <v>1883</v>
      </c>
      <c r="B1127" s="59">
        <v>251</v>
      </c>
      <c r="C1127" s="59">
        <v>608</v>
      </c>
      <c r="D1127" s="59" t="s">
        <v>801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</v>
      </c>
    </row>
    <row r="1128" ht="15.2" spans="1:10">
      <c r="A1128" s="58" t="s">
        <v>1884</v>
      </c>
      <c r="B1128" s="59">
        <v>1517.25</v>
      </c>
      <c r="C1128" s="59">
        <v>2499</v>
      </c>
      <c r="D1128" s="59" t="s">
        <v>803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ht="15.2" spans="1:10">
      <c r="A1129" s="58" t="s">
        <v>1885</v>
      </c>
      <c r="B1129" s="59">
        <v>317</v>
      </c>
      <c r="C1129" s="59">
        <v>700</v>
      </c>
      <c r="D1129" s="59" t="s">
        <v>801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</v>
      </c>
      <c r="J1129" s="60">
        <f t="shared" si="54"/>
        <v>140</v>
      </c>
    </row>
    <row r="1130" ht="15.2" spans="1:10">
      <c r="A1130" s="58" t="s">
        <v>1886</v>
      </c>
      <c r="B1130" s="59">
        <v>517.45</v>
      </c>
      <c r="C1130" s="59">
        <v>799</v>
      </c>
      <c r="D1130" s="59" t="s">
        <v>803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</v>
      </c>
      <c r="J1130" s="60">
        <f t="shared" si="54"/>
        <v>799</v>
      </c>
    </row>
    <row r="1131" ht="15.2" spans="1:10">
      <c r="A1131" s="58" t="s">
        <v>1887</v>
      </c>
      <c r="B1131" s="59">
        <v>242</v>
      </c>
      <c r="C1131" s="59">
        <v>570</v>
      </c>
      <c r="D1131" s="59" t="s">
        <v>801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459.8</v>
      </c>
      <c r="J1131" s="60">
        <f t="shared" si="54"/>
        <v>1083</v>
      </c>
    </row>
    <row r="1132" ht="15.2" spans="1:10">
      <c r="A1132" s="58" t="s">
        <v>1888</v>
      </c>
      <c r="B1132" s="59">
        <v>1274.39</v>
      </c>
      <c r="C1132" s="59">
        <v>2099</v>
      </c>
      <c r="D1132" s="59" t="s">
        <v>803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</v>
      </c>
      <c r="J1132" s="60">
        <f t="shared" si="54"/>
        <v>2099</v>
      </c>
    </row>
    <row r="1133" ht="15.2" spans="1:10">
      <c r="A1133" s="58" t="s">
        <v>1889</v>
      </c>
      <c r="B1133" s="59">
        <v>335</v>
      </c>
      <c r="C1133" s="59">
        <v>765</v>
      </c>
      <c r="D1133" s="59" t="s">
        <v>801</v>
      </c>
      <c r="E1133" s="59">
        <v>2.3</v>
      </c>
      <c r="F1133" s="59">
        <v>2.3</v>
      </c>
      <c r="G1133" s="59">
        <v>0</v>
      </c>
      <c r="H1133" s="60">
        <f t="shared" si="55"/>
        <v>2.3</v>
      </c>
      <c r="I1133" s="60">
        <f t="shared" si="53"/>
        <v>770.5</v>
      </c>
      <c r="J1133" s="60">
        <f t="shared" si="54"/>
        <v>1759.5</v>
      </c>
    </row>
    <row r="1134" ht="15.2" spans="1:10">
      <c r="A1134" s="58" t="s">
        <v>1890</v>
      </c>
      <c r="B1134" s="59">
        <v>1517.25</v>
      </c>
      <c r="C1134" s="59">
        <v>2499</v>
      </c>
      <c r="D1134" s="59" t="s">
        <v>803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ht="15.2" spans="1:10">
      <c r="A1135" s="58" t="s">
        <v>1891</v>
      </c>
      <c r="B1135" s="59">
        <v>1247.8</v>
      </c>
      <c r="C1135" s="59">
        <v>1899</v>
      </c>
      <c r="D1135" s="59" t="s">
        <v>803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ht="15.2" spans="1:10">
      <c r="A1136" s="58" t="s">
        <v>15</v>
      </c>
      <c r="B1136" s="59">
        <v>614</v>
      </c>
      <c r="C1136" s="59">
        <v>1485</v>
      </c>
      <c r="D1136" s="59" t="s">
        <v>801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1166.6</v>
      </c>
      <c r="J1136" s="60">
        <f t="shared" si="54"/>
        <v>2821.5</v>
      </c>
    </row>
    <row r="1137" ht="15.2" spans="1:10">
      <c r="A1137" s="58" t="s">
        <v>1892</v>
      </c>
      <c r="B1137" s="59">
        <v>1638.68</v>
      </c>
      <c r="C1137" s="59">
        <v>2699</v>
      </c>
      <c r="D1137" s="59" t="s">
        <v>803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ht="15.2" spans="1:10">
      <c r="A1138" s="58" t="s">
        <v>1893</v>
      </c>
      <c r="B1138" s="59">
        <v>906.02</v>
      </c>
      <c r="C1138" s="59">
        <v>1399</v>
      </c>
      <c r="D1138" s="59" t="s">
        <v>803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ht="15.2" spans="1:10">
      <c r="A1139" s="58" t="s">
        <v>1894</v>
      </c>
      <c r="B1139" s="59">
        <v>1182.09</v>
      </c>
      <c r="C1139" s="59">
        <v>1799</v>
      </c>
      <c r="D1139" s="59" t="s">
        <v>803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ht="15.2" spans="1:10">
      <c r="A1140" s="58" t="s">
        <v>1895</v>
      </c>
      <c r="B1140" s="59">
        <v>499</v>
      </c>
      <c r="C1140" s="59">
        <v>1048</v>
      </c>
      <c r="D1140" s="59" t="s">
        <v>801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ht="15.2" spans="1:10">
      <c r="A1141" s="58" t="s">
        <v>1896</v>
      </c>
      <c r="B1141" s="59">
        <v>359</v>
      </c>
      <c r="C1141" s="59">
        <v>630</v>
      </c>
      <c r="D1141" s="59" t="s">
        <v>801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ht="15.2" spans="1:10">
      <c r="A1142" s="58" t="s">
        <v>1897</v>
      </c>
      <c r="B1142" s="59">
        <v>1517.25</v>
      </c>
      <c r="C1142" s="59">
        <v>2499</v>
      </c>
      <c r="D1142" s="59" t="s">
        <v>803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ht="15.2" spans="1:10">
      <c r="A1143" s="58" t="s">
        <v>217</v>
      </c>
      <c r="B1143" s="59">
        <v>461</v>
      </c>
      <c r="C1143" s="59">
        <v>1165</v>
      </c>
      <c r="D1143" s="59" t="s">
        <v>801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ht="15.2" spans="1:10">
      <c r="A1144" s="58" t="s">
        <v>1898</v>
      </c>
      <c r="B1144" s="59">
        <v>492</v>
      </c>
      <c r="C1144" s="59">
        <v>1181</v>
      </c>
      <c r="D1144" s="59" t="s">
        <v>801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ht="15.2" spans="1:10">
      <c r="A1145" s="58" t="s">
        <v>1899</v>
      </c>
      <c r="B1145" s="59">
        <v>1236.91</v>
      </c>
      <c r="C1145" s="59">
        <v>2099</v>
      </c>
      <c r="D1145" s="59" t="s">
        <v>803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</v>
      </c>
      <c r="J1145" s="60">
        <f t="shared" si="54"/>
        <v>2099</v>
      </c>
    </row>
    <row r="1146" ht="15.2" spans="1:10">
      <c r="A1146" s="58" t="s">
        <v>236</v>
      </c>
      <c r="B1146" s="59">
        <v>110</v>
      </c>
      <c r="C1146" s="59">
        <v>225</v>
      </c>
      <c r="D1146" s="59" t="s">
        <v>801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ht="15.2" spans="1:10">
      <c r="A1147" s="58" t="s">
        <v>1900</v>
      </c>
      <c r="B1147" s="59">
        <v>630</v>
      </c>
      <c r="C1147" s="59">
        <v>1479</v>
      </c>
      <c r="D1147" s="59" t="s">
        <v>801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ht="15.2" spans="1:10">
      <c r="A1148" s="58" t="s">
        <v>1901</v>
      </c>
      <c r="B1148" s="59">
        <v>384</v>
      </c>
      <c r="C1148" s="59">
        <v>966</v>
      </c>
      <c r="D1148" s="59" t="s">
        <v>801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652.8</v>
      </c>
      <c r="J1148" s="60">
        <f t="shared" si="54"/>
        <v>1642.2</v>
      </c>
    </row>
    <row r="1149" ht="15.2" spans="1:10">
      <c r="A1149" s="58" t="s">
        <v>1902</v>
      </c>
      <c r="B1149" s="59">
        <v>1638.68</v>
      </c>
      <c r="C1149" s="59">
        <v>2699</v>
      </c>
      <c r="D1149" s="59" t="s">
        <v>803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ht="15.2" spans="1:10">
      <c r="A1150" s="58" t="s">
        <v>1903</v>
      </c>
      <c r="B1150" s="59">
        <v>1158.92</v>
      </c>
      <c r="C1150" s="59">
        <v>1799</v>
      </c>
      <c r="D1150" s="59" t="s">
        <v>803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ht="15.2" spans="1:10">
      <c r="A1151" s="58" t="s">
        <v>1904</v>
      </c>
      <c r="B1151" s="59">
        <v>1767.27</v>
      </c>
      <c r="C1151" s="59">
        <v>2999</v>
      </c>
      <c r="D1151" s="59" t="s">
        <v>803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ht="15.2" spans="1:10">
      <c r="A1152" s="58" t="s">
        <v>1905</v>
      </c>
      <c r="B1152" s="59">
        <v>1177.98</v>
      </c>
      <c r="C1152" s="59">
        <v>1999</v>
      </c>
      <c r="D1152" s="59" t="s">
        <v>803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ht="15.2" spans="1:10">
      <c r="A1153" s="58" t="s">
        <v>1906</v>
      </c>
      <c r="B1153" s="59">
        <v>1354.77</v>
      </c>
      <c r="C1153" s="59">
        <v>2299</v>
      </c>
      <c r="D1153" s="59" t="s">
        <v>803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ht="15.2" spans="1:10">
      <c r="A1154" s="58" t="s">
        <v>1907</v>
      </c>
      <c r="B1154" s="59">
        <v>1444.92</v>
      </c>
      <c r="C1154" s="59">
        <v>2199</v>
      </c>
      <c r="D1154" s="59" t="s">
        <v>803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ht="15.2" spans="1:10">
      <c r="A1155" s="58" t="s">
        <v>1908</v>
      </c>
      <c r="B1155" s="59">
        <v>1247.8</v>
      </c>
      <c r="C1155" s="59">
        <v>1899</v>
      </c>
      <c r="D1155" s="59" t="s">
        <v>803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ht="15.2" spans="1:10">
      <c r="A1156" s="58" t="s">
        <v>1909</v>
      </c>
      <c r="B1156" s="59">
        <v>6677.96</v>
      </c>
      <c r="C1156" s="59">
        <v>10999</v>
      </c>
      <c r="D1156" s="59" t="s">
        <v>803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ht="15.2" spans="1:10">
      <c r="A1157" s="58" t="s">
        <v>1910</v>
      </c>
      <c r="B1157" s="59">
        <v>661</v>
      </c>
      <c r="C1157" s="59">
        <v>1471</v>
      </c>
      <c r="D1157" s="59" t="s">
        <v>801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3172.8</v>
      </c>
      <c r="J1157" s="60">
        <f t="shared" si="57"/>
        <v>7060.8</v>
      </c>
    </row>
    <row r="1158" ht="15.2" spans="1:10">
      <c r="A1158" s="58" t="s">
        <v>1911</v>
      </c>
      <c r="B1158" s="59">
        <v>1313.5</v>
      </c>
      <c r="C1158" s="59">
        <v>1999</v>
      </c>
      <c r="D1158" s="59" t="s">
        <v>803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ht="15.2" spans="1:10">
      <c r="A1159" s="58" t="s">
        <v>1912</v>
      </c>
      <c r="B1159" s="59">
        <v>1517.25</v>
      </c>
      <c r="C1159" s="59">
        <v>2499</v>
      </c>
      <c r="D1159" s="59" t="s">
        <v>803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ht="15.2" spans="1:10">
      <c r="A1160" s="58" t="s">
        <v>1913</v>
      </c>
      <c r="B1160" s="59">
        <v>1379.21</v>
      </c>
      <c r="C1160" s="59">
        <v>2099</v>
      </c>
      <c r="D1160" s="59" t="s">
        <v>803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ht="15.2" spans="1:10">
      <c r="A1161" s="58" t="s">
        <v>1914</v>
      </c>
      <c r="B1161" s="59">
        <v>1182.09</v>
      </c>
      <c r="C1161" s="59">
        <v>1799</v>
      </c>
      <c r="D1161" s="59" t="s">
        <v>803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ht="15.2" spans="1:10">
      <c r="A1162" s="58" t="s">
        <v>1915</v>
      </c>
      <c r="B1162" s="59">
        <v>2167.7</v>
      </c>
      <c r="C1162" s="59">
        <v>3299</v>
      </c>
      <c r="D1162" s="59" t="s">
        <v>803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ht="15.2" spans="1:10">
      <c r="A1163" s="58" t="s">
        <v>36</v>
      </c>
      <c r="B1163" s="59">
        <v>1619.1</v>
      </c>
      <c r="C1163" s="59">
        <v>3778</v>
      </c>
      <c r="D1163" s="59" t="s">
        <v>801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ht="15.2" spans="1:10">
      <c r="A1164" s="58" t="s">
        <v>1916</v>
      </c>
      <c r="B1164" s="59">
        <v>325</v>
      </c>
      <c r="C1164" s="59">
        <v>683</v>
      </c>
      <c r="D1164" s="59" t="s">
        <v>801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</v>
      </c>
    </row>
    <row r="1165" ht="15.2" spans="1:10">
      <c r="A1165" s="58" t="s">
        <v>1917</v>
      </c>
      <c r="B1165" s="59">
        <v>1177.98</v>
      </c>
      <c r="C1165" s="59">
        <v>1999</v>
      </c>
      <c r="D1165" s="59" t="s">
        <v>803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ht="15.2" spans="1:10">
      <c r="A1166" s="58" t="s">
        <v>1918</v>
      </c>
      <c r="B1166" s="59">
        <v>1354.77</v>
      </c>
      <c r="C1166" s="59">
        <v>2299</v>
      </c>
      <c r="D1166" s="59" t="s">
        <v>803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ht="15.2" spans="1:10">
      <c r="A1167" s="58" t="s">
        <v>1919</v>
      </c>
      <c r="B1167" s="59">
        <v>315</v>
      </c>
      <c r="C1167" s="59">
        <v>735</v>
      </c>
      <c r="D1167" s="59" t="s">
        <v>801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ht="15.2" spans="1:10">
      <c r="A1168" s="58" t="s">
        <v>1920</v>
      </c>
      <c r="B1168" s="59">
        <v>1444.92</v>
      </c>
      <c r="C1168" s="59">
        <v>2199</v>
      </c>
      <c r="D1168" s="59" t="s">
        <v>803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ht="15.2" spans="1:10">
      <c r="A1169" s="58" t="s">
        <v>1921</v>
      </c>
      <c r="B1169" s="59">
        <v>1331</v>
      </c>
      <c r="C1169" s="59">
        <v>3364</v>
      </c>
      <c r="D1169" s="59" t="s">
        <v>801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ht="15.2" spans="1:10">
      <c r="A1170" s="58" t="s">
        <v>1922</v>
      </c>
      <c r="B1170" s="59">
        <v>1699.39</v>
      </c>
      <c r="C1170" s="59">
        <v>2799</v>
      </c>
      <c r="D1170" s="59" t="s">
        <v>803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ht="15.2" spans="1:10">
      <c r="A1171" s="58" t="s">
        <v>1923</v>
      </c>
      <c r="B1171" s="59">
        <v>234</v>
      </c>
      <c r="C1171" s="59">
        <v>555</v>
      </c>
      <c r="D1171" s="59" t="s">
        <v>801</v>
      </c>
      <c r="E1171" s="59">
        <v>8.8</v>
      </c>
      <c r="F1171" s="59">
        <v>8.8</v>
      </c>
      <c r="G1171" s="59">
        <v>0</v>
      </c>
      <c r="H1171" s="60">
        <f t="shared" si="55"/>
        <v>8.8</v>
      </c>
      <c r="I1171" s="60">
        <f t="shared" si="56"/>
        <v>2059.2</v>
      </c>
      <c r="J1171" s="60">
        <f t="shared" si="57"/>
        <v>4884</v>
      </c>
    </row>
    <row r="1172" ht="15.2" spans="1:10">
      <c r="A1172" s="58" t="s">
        <v>1924</v>
      </c>
      <c r="B1172" s="59">
        <v>1395.82</v>
      </c>
      <c r="C1172" s="59">
        <v>2299</v>
      </c>
      <c r="D1172" s="59" t="s">
        <v>803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ht="15.2" spans="1:10">
      <c r="A1173" s="58" t="s">
        <v>1925</v>
      </c>
      <c r="B1173" s="59">
        <v>1738.7</v>
      </c>
      <c r="C1173" s="59">
        <v>2699</v>
      </c>
      <c r="D1173" s="59" t="s">
        <v>803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ht="15.2" spans="1:10">
      <c r="A1174" s="58" t="s">
        <v>1926</v>
      </c>
      <c r="B1174" s="59">
        <v>1119.05</v>
      </c>
      <c r="C1174" s="59">
        <v>1899</v>
      </c>
      <c r="D1174" s="59" t="s">
        <v>803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ht="15.2" spans="1:10">
      <c r="A1175" s="58" t="s">
        <v>1927</v>
      </c>
      <c r="B1175" s="59">
        <v>1247.8</v>
      </c>
      <c r="C1175" s="59">
        <v>1899</v>
      </c>
      <c r="D1175" s="59" t="s">
        <v>803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ht="15.2" spans="1:10">
      <c r="A1176" s="58" t="s">
        <v>1928</v>
      </c>
      <c r="B1176" s="59">
        <v>618</v>
      </c>
      <c r="C1176" s="59">
        <v>1380</v>
      </c>
      <c r="D1176" s="59" t="s">
        <v>801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ht="15.2" spans="1:10">
      <c r="A1177" s="58" t="s">
        <v>335</v>
      </c>
      <c r="B1177" s="59">
        <v>629</v>
      </c>
      <c r="C1177" s="59">
        <v>1407</v>
      </c>
      <c r="D1177" s="59" t="s">
        <v>801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ht="15.2" spans="1:10">
      <c r="A1178" s="58" t="s">
        <v>1929</v>
      </c>
      <c r="B1178" s="59">
        <v>1274.39</v>
      </c>
      <c r="C1178" s="59">
        <v>2099</v>
      </c>
      <c r="D1178" s="59" t="s">
        <v>803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ht="15.2" spans="1:10">
      <c r="A1179" s="58" t="s">
        <v>1930</v>
      </c>
      <c r="B1179" s="59">
        <v>1850</v>
      </c>
      <c r="C1179" s="59">
        <v>5490</v>
      </c>
      <c r="D1179" s="59" t="s">
        <v>815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ht="15.2" spans="1:10">
      <c r="A1180" s="58" t="s">
        <v>1931</v>
      </c>
      <c r="B1180" s="59">
        <v>3535.13</v>
      </c>
      <c r="C1180" s="59">
        <v>5999</v>
      </c>
      <c r="D1180" s="59" t="s">
        <v>803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ht="15.2" spans="1:10">
      <c r="A1181" s="58" t="s">
        <v>1932</v>
      </c>
      <c r="B1181" s="59">
        <v>1049</v>
      </c>
      <c r="C1181" s="59">
        <v>2365</v>
      </c>
      <c r="D1181" s="59" t="s">
        <v>801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ht="15.2" spans="1:10">
      <c r="A1182" s="58" t="s">
        <v>1933</v>
      </c>
      <c r="B1182" s="59">
        <v>290.78</v>
      </c>
      <c r="C1182" s="59">
        <v>449</v>
      </c>
      <c r="D1182" s="59" t="s">
        <v>803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290.78</v>
      </c>
      <c r="J1182" s="60">
        <f t="shared" si="57"/>
        <v>449</v>
      </c>
    </row>
    <row r="1183" ht="15.2" spans="1:10">
      <c r="A1183" s="58" t="s">
        <v>1934</v>
      </c>
      <c r="B1183" s="59">
        <v>352</v>
      </c>
      <c r="C1183" s="59">
        <v>821</v>
      </c>
      <c r="D1183" s="59" t="s">
        <v>801</v>
      </c>
      <c r="E1183" s="59">
        <v>0.55</v>
      </c>
      <c r="F1183" s="59">
        <v>0.55</v>
      </c>
      <c r="G1183" s="59">
        <v>0</v>
      </c>
      <c r="H1183" s="60">
        <f t="shared" ref="H1183:H1246" si="58">E1183-G1183</f>
        <v>0.55</v>
      </c>
      <c r="I1183" s="60">
        <f t="shared" si="56"/>
        <v>193.6</v>
      </c>
      <c r="J1183" s="60">
        <f t="shared" si="57"/>
        <v>451.55</v>
      </c>
    </row>
    <row r="1184" ht="15.2" spans="1:10">
      <c r="A1184" s="58" t="s">
        <v>1935</v>
      </c>
      <c r="B1184" s="59">
        <v>1609.86</v>
      </c>
      <c r="C1184" s="59">
        <v>2499</v>
      </c>
      <c r="D1184" s="59" t="s">
        <v>803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ht="15.2" spans="1:10">
      <c r="A1185" s="58" t="s">
        <v>1936</v>
      </c>
      <c r="B1185" s="59">
        <v>1295.84</v>
      </c>
      <c r="C1185" s="59">
        <v>2199</v>
      </c>
      <c r="D1185" s="59" t="s">
        <v>803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ht="15.2" spans="1:10">
      <c r="A1186" s="58" t="s">
        <v>1937</v>
      </c>
      <c r="B1186" s="59">
        <v>1820.82</v>
      </c>
      <c r="C1186" s="59">
        <v>2999</v>
      </c>
      <c r="D1186" s="59" t="s">
        <v>803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ht="15.2" spans="1:10">
      <c r="A1187" s="58" t="s">
        <v>1938</v>
      </c>
      <c r="B1187" s="59">
        <v>399</v>
      </c>
      <c r="C1187" s="59">
        <v>892</v>
      </c>
      <c r="D1187" s="59" t="s">
        <v>801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ht="15.2" spans="1:10">
      <c r="A1188" s="58" t="s">
        <v>1939</v>
      </c>
      <c r="B1188" s="59">
        <v>525</v>
      </c>
      <c r="C1188" s="59">
        <v>1102</v>
      </c>
      <c r="D1188" s="59" t="s">
        <v>801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ht="15.2" spans="1:10">
      <c r="A1189" s="58" t="s">
        <v>1940</v>
      </c>
      <c r="B1189" s="59">
        <v>564</v>
      </c>
      <c r="C1189" s="59">
        <v>1337</v>
      </c>
      <c r="D1189" s="59" t="s">
        <v>801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197.4</v>
      </c>
      <c r="J1189" s="60">
        <f t="shared" si="57"/>
        <v>467.95</v>
      </c>
    </row>
    <row r="1190" ht="15.2" spans="1:10">
      <c r="A1190" s="58" t="s">
        <v>1941</v>
      </c>
      <c r="B1190" s="59">
        <v>1760.11</v>
      </c>
      <c r="C1190" s="59">
        <v>2899</v>
      </c>
      <c r="D1190" s="59" t="s">
        <v>803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ht="15.2" spans="1:10">
      <c r="A1191" s="58" t="s">
        <v>1942</v>
      </c>
      <c r="B1191" s="59">
        <v>646.97</v>
      </c>
      <c r="C1191" s="59">
        <v>999</v>
      </c>
      <c r="D1191" s="59" t="s">
        <v>803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ht="15.2" spans="1:10">
      <c r="A1192" s="58" t="s">
        <v>1943</v>
      </c>
      <c r="B1192" s="59">
        <v>614</v>
      </c>
      <c r="C1192" s="59">
        <v>1370</v>
      </c>
      <c r="D1192" s="59" t="s">
        <v>801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</v>
      </c>
      <c r="J1192" s="60">
        <f t="shared" si="57"/>
        <v>548</v>
      </c>
    </row>
    <row r="1193" ht="15.2" spans="1:10">
      <c r="A1193" s="58" t="s">
        <v>1944</v>
      </c>
      <c r="B1193" s="59">
        <v>656.42</v>
      </c>
      <c r="C1193" s="59">
        <v>999</v>
      </c>
      <c r="D1193" s="59" t="s">
        <v>803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ht="15.2" spans="1:10">
      <c r="A1194" s="58" t="s">
        <v>1945</v>
      </c>
      <c r="B1194" s="59">
        <v>1274.4</v>
      </c>
      <c r="C1194" s="59">
        <v>2099</v>
      </c>
      <c r="D1194" s="59" t="s">
        <v>803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</v>
      </c>
      <c r="J1194" s="60">
        <f t="shared" si="57"/>
        <v>4198</v>
      </c>
    </row>
    <row r="1195" ht="15.2" spans="1:10">
      <c r="A1195" s="58" t="s">
        <v>1946</v>
      </c>
      <c r="B1195" s="59">
        <v>335.4</v>
      </c>
      <c r="C1195" s="59">
        <v>926</v>
      </c>
      <c r="D1195" s="59" t="s">
        <v>801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</v>
      </c>
    </row>
    <row r="1196" ht="15.2" spans="1:10">
      <c r="A1196" s="58" t="s">
        <v>1947</v>
      </c>
      <c r="B1196" s="59">
        <v>1456.54</v>
      </c>
      <c r="C1196" s="59">
        <v>2299</v>
      </c>
      <c r="D1196" s="59" t="s">
        <v>803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ht="15.2" spans="1:10">
      <c r="A1197" s="58" t="s">
        <v>1948</v>
      </c>
      <c r="B1197" s="59">
        <v>1638.68</v>
      </c>
      <c r="C1197" s="59">
        <v>2699</v>
      </c>
      <c r="D1197" s="59" t="s">
        <v>803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ht="15.2" spans="1:10">
      <c r="A1198" s="58" t="s">
        <v>1949</v>
      </c>
      <c r="B1198" s="59">
        <v>1395.82</v>
      </c>
      <c r="C1198" s="59">
        <v>2299</v>
      </c>
      <c r="D1198" s="59" t="s">
        <v>803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ht="15.2" spans="1:10">
      <c r="A1199" s="58" t="s">
        <v>1950</v>
      </c>
      <c r="B1199" s="59">
        <v>390</v>
      </c>
      <c r="C1199" s="59">
        <v>819</v>
      </c>
      <c r="D1199" s="59" t="s">
        <v>801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ht="15.2" spans="1:10">
      <c r="A1200" s="58" t="s">
        <v>1951</v>
      </c>
      <c r="B1200" s="59">
        <v>559.3</v>
      </c>
      <c r="C1200" s="59">
        <v>1678</v>
      </c>
      <c r="D1200" s="59" t="s">
        <v>801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6543.81</v>
      </c>
      <c r="J1200" s="60">
        <f t="shared" si="57"/>
        <v>19632.6</v>
      </c>
    </row>
    <row r="1201" ht="15.2" spans="1:10">
      <c r="A1201" s="58" t="s">
        <v>1952</v>
      </c>
      <c r="B1201" s="59">
        <v>646.97</v>
      </c>
      <c r="C1201" s="59">
        <v>999</v>
      </c>
      <c r="D1201" s="59" t="s">
        <v>803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ht="15.2" spans="1:10">
      <c r="A1202" s="58" t="s">
        <v>1953</v>
      </c>
      <c r="B1202" s="59">
        <v>1839.16</v>
      </c>
      <c r="C1202" s="59">
        <v>2799</v>
      </c>
      <c r="D1202" s="59" t="s">
        <v>803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ht="15.2" spans="1:10">
      <c r="A1203" s="58" t="s">
        <v>1954</v>
      </c>
      <c r="B1203" s="59">
        <v>1213.68</v>
      </c>
      <c r="C1203" s="59">
        <v>1999</v>
      </c>
      <c r="D1203" s="59" t="s">
        <v>803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ht="15.2" spans="1:10">
      <c r="A1204" s="58" t="s">
        <v>1955</v>
      </c>
      <c r="B1204" s="59">
        <v>1499</v>
      </c>
      <c r="C1204" s="59">
        <v>3399</v>
      </c>
      <c r="D1204" s="59" t="s">
        <v>801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3229.05</v>
      </c>
    </row>
    <row r="1205" ht="15.2" spans="1:10">
      <c r="A1205" s="58" t="s">
        <v>1956</v>
      </c>
      <c r="B1205" s="59">
        <v>1247.8</v>
      </c>
      <c r="C1205" s="59">
        <v>1899</v>
      </c>
      <c r="D1205" s="59" t="s">
        <v>803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ht="15.2" spans="1:10">
      <c r="A1206" s="58" t="s">
        <v>1957</v>
      </c>
      <c r="B1206" s="59">
        <v>1274.39</v>
      </c>
      <c r="C1206" s="59">
        <v>2099</v>
      </c>
      <c r="D1206" s="59" t="s">
        <v>803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</v>
      </c>
      <c r="J1206" s="60">
        <f t="shared" si="57"/>
        <v>4198</v>
      </c>
    </row>
    <row r="1207" ht="15.2" spans="1:10">
      <c r="A1207" s="58" t="s">
        <v>1958</v>
      </c>
      <c r="B1207" s="59">
        <v>1416.6</v>
      </c>
      <c r="C1207" s="59">
        <v>2199</v>
      </c>
      <c r="D1207" s="59" t="s">
        <v>803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ht="15.2" spans="1:10">
      <c r="A1208" s="58" t="s">
        <v>1959</v>
      </c>
      <c r="B1208" s="59">
        <v>1638.68</v>
      </c>
      <c r="C1208" s="59">
        <v>2699</v>
      </c>
      <c r="D1208" s="59" t="s">
        <v>803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ht="15.2" spans="1:10">
      <c r="A1209" s="58" t="s">
        <v>1960</v>
      </c>
      <c r="B1209" s="59">
        <v>1247.8</v>
      </c>
      <c r="C1209" s="59">
        <v>1899</v>
      </c>
      <c r="D1209" s="59" t="s">
        <v>803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ht="15.2" spans="1:10">
      <c r="A1210" s="58" t="s">
        <v>1961</v>
      </c>
      <c r="B1210" s="59">
        <v>364</v>
      </c>
      <c r="C1210" s="59">
        <v>919</v>
      </c>
      <c r="D1210" s="59" t="s">
        <v>801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ht="15.2" spans="1:10">
      <c r="A1211" s="58" t="s">
        <v>1962</v>
      </c>
      <c r="B1211" s="59">
        <v>517.45</v>
      </c>
      <c r="C1211" s="59">
        <v>799</v>
      </c>
      <c r="D1211" s="59" t="s">
        <v>803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</v>
      </c>
      <c r="J1211" s="60">
        <f t="shared" si="57"/>
        <v>799</v>
      </c>
    </row>
    <row r="1212" ht="15.2" spans="1:10">
      <c r="A1212" s="58" t="s">
        <v>1963</v>
      </c>
      <c r="B1212" s="59">
        <v>549</v>
      </c>
      <c r="C1212" s="59">
        <v>1223</v>
      </c>
      <c r="D1212" s="59" t="s">
        <v>801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ht="15.2" spans="1:10">
      <c r="A1213" s="58" t="s">
        <v>1964</v>
      </c>
      <c r="B1213" s="59">
        <v>1119.05</v>
      </c>
      <c r="C1213" s="59">
        <v>1899</v>
      </c>
      <c r="D1213" s="59" t="s">
        <v>803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ht="15.2" spans="1:10">
      <c r="A1214" s="58" t="s">
        <v>1965</v>
      </c>
      <c r="B1214" s="59">
        <v>1177.98</v>
      </c>
      <c r="C1214" s="59">
        <v>1999</v>
      </c>
      <c r="D1214" s="59" t="s">
        <v>803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ht="15.2" spans="1:10">
      <c r="A1215" s="58" t="s">
        <v>1966</v>
      </c>
      <c r="B1215" s="59">
        <v>656.42</v>
      </c>
      <c r="C1215" s="59">
        <v>999</v>
      </c>
      <c r="D1215" s="59" t="s">
        <v>803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ht="15.2" spans="1:10">
      <c r="A1216" s="58" t="s">
        <v>1967</v>
      </c>
      <c r="B1216" s="59">
        <v>1335.11</v>
      </c>
      <c r="C1216" s="59">
        <v>2199</v>
      </c>
      <c r="D1216" s="59" t="s">
        <v>803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ht="15.2" spans="1:10">
      <c r="A1217" s="58" t="s">
        <v>1968</v>
      </c>
      <c r="B1217" s="59">
        <v>413</v>
      </c>
      <c r="C1217" s="59">
        <v>1016</v>
      </c>
      <c r="D1217" s="59" t="s">
        <v>801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247.8</v>
      </c>
      <c r="J1217" s="60">
        <f t="shared" si="57"/>
        <v>609.6</v>
      </c>
    </row>
    <row r="1218" ht="15.2" spans="1:10">
      <c r="A1218" s="58" t="s">
        <v>1969</v>
      </c>
      <c r="B1218" s="59">
        <v>656.42</v>
      </c>
      <c r="C1218" s="59">
        <v>999</v>
      </c>
      <c r="D1218" s="59" t="s">
        <v>803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ht="15.2" spans="1:10">
      <c r="A1219" s="58" t="s">
        <v>1970</v>
      </c>
      <c r="B1219" s="59">
        <v>1092.25</v>
      </c>
      <c r="C1219" s="59">
        <v>1799</v>
      </c>
      <c r="D1219" s="59" t="s">
        <v>803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ht="15.2" spans="1:10">
      <c r="A1220" s="58" t="s">
        <v>1971</v>
      </c>
      <c r="B1220" s="59">
        <v>906.02</v>
      </c>
      <c r="C1220" s="59">
        <v>1399</v>
      </c>
      <c r="D1220" s="59" t="s">
        <v>803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ht="15.2" spans="1:10">
      <c r="A1221" s="58" t="s">
        <v>1972</v>
      </c>
      <c r="B1221" s="59">
        <v>656.42</v>
      </c>
      <c r="C1221" s="59">
        <v>999</v>
      </c>
      <c r="D1221" s="59" t="s">
        <v>803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ht="15.2" spans="1:10">
      <c r="A1222" s="58" t="s">
        <v>1973</v>
      </c>
      <c r="B1222" s="59">
        <v>1313.5</v>
      </c>
      <c r="C1222" s="59">
        <v>1999</v>
      </c>
      <c r="D1222" s="59" t="s">
        <v>803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ht="15.2" spans="1:10">
      <c r="A1223" s="58" t="s">
        <v>1974</v>
      </c>
      <c r="B1223" s="59">
        <v>1092.25</v>
      </c>
      <c r="C1223" s="59">
        <v>1799</v>
      </c>
      <c r="D1223" s="59" t="s">
        <v>803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ht="15.2" spans="1:10">
      <c r="A1224" s="58" t="s">
        <v>1975</v>
      </c>
      <c r="B1224" s="59">
        <v>1499</v>
      </c>
      <c r="C1224" s="59">
        <v>4251</v>
      </c>
      <c r="D1224" s="59" t="s">
        <v>801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ht="15.2" spans="1:10">
      <c r="A1225" s="58" t="s">
        <v>1976</v>
      </c>
      <c r="B1225" s="59">
        <v>1456.54</v>
      </c>
      <c r="C1225" s="59">
        <v>2399</v>
      </c>
      <c r="D1225" s="59" t="s">
        <v>803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ht="15.2" spans="1:10">
      <c r="A1226" s="58" t="s">
        <v>1977</v>
      </c>
      <c r="B1226" s="59">
        <v>1395.82</v>
      </c>
      <c r="C1226" s="59">
        <v>2299</v>
      </c>
      <c r="D1226" s="59" t="s">
        <v>803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ht="15.2" spans="1:10">
      <c r="A1227" s="58" t="s">
        <v>1978</v>
      </c>
      <c r="B1227" s="59">
        <v>417</v>
      </c>
      <c r="C1227" s="59">
        <v>951</v>
      </c>
      <c r="D1227" s="59" t="s">
        <v>801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3138.3</v>
      </c>
    </row>
    <row r="1228" ht="15.2" spans="1:10">
      <c r="A1228" s="58" t="s">
        <v>1979</v>
      </c>
      <c r="B1228" s="59">
        <v>1295.84</v>
      </c>
      <c r="C1228" s="59">
        <v>2199</v>
      </c>
      <c r="D1228" s="59" t="s">
        <v>803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ht="15.2" spans="1:10">
      <c r="A1229" s="58" t="s">
        <v>1980</v>
      </c>
      <c r="B1229" s="59">
        <v>517.45</v>
      </c>
      <c r="C1229" s="59">
        <v>799</v>
      </c>
      <c r="D1229" s="59" t="s">
        <v>803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ht="15.2" spans="1:10">
      <c r="A1230" s="58" t="s">
        <v>1981</v>
      </c>
      <c r="B1230" s="59">
        <v>1092.25</v>
      </c>
      <c r="C1230" s="59">
        <v>1799</v>
      </c>
      <c r="D1230" s="59" t="s">
        <v>803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ht="15.2" spans="1:10">
      <c r="A1231" s="58" t="s">
        <v>1982</v>
      </c>
      <c r="B1231" s="59">
        <v>352</v>
      </c>
      <c r="C1231" s="59">
        <v>873</v>
      </c>
      <c r="D1231" s="59" t="s">
        <v>801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ht="15.2" spans="1:10">
      <c r="A1232" s="58" t="s">
        <v>1983</v>
      </c>
      <c r="B1232" s="59">
        <v>1881.54</v>
      </c>
      <c r="C1232" s="59">
        <v>3099</v>
      </c>
      <c r="D1232" s="59" t="s">
        <v>803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ht="15.2" spans="1:10">
      <c r="A1233" s="58" t="s">
        <v>1984</v>
      </c>
      <c r="B1233" s="59">
        <v>487</v>
      </c>
      <c r="C1233" s="59">
        <v>1172</v>
      </c>
      <c r="D1233" s="59" t="s">
        <v>801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</v>
      </c>
    </row>
    <row r="1234" ht="15.2" spans="1:10">
      <c r="A1234" s="58" t="s">
        <v>224</v>
      </c>
      <c r="B1234" s="59">
        <v>282</v>
      </c>
      <c r="C1234" s="59">
        <v>725</v>
      </c>
      <c r="D1234" s="59" t="s">
        <v>801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</v>
      </c>
      <c r="J1234" s="60">
        <f t="shared" si="60"/>
        <v>1160</v>
      </c>
    </row>
    <row r="1235" ht="15.2" spans="1:10">
      <c r="A1235" s="58" t="s">
        <v>1985</v>
      </c>
      <c r="B1235" s="59">
        <v>351</v>
      </c>
      <c r="C1235" s="59">
        <v>873</v>
      </c>
      <c r="D1235" s="59" t="s">
        <v>801</v>
      </c>
      <c r="E1235" s="59">
        <v>4.4</v>
      </c>
      <c r="F1235" s="59">
        <v>4.4</v>
      </c>
      <c r="G1235" s="59">
        <v>0</v>
      </c>
      <c r="H1235" s="60">
        <f t="shared" si="58"/>
        <v>4.4</v>
      </c>
      <c r="I1235" s="60">
        <f t="shared" si="59"/>
        <v>1544.4</v>
      </c>
      <c r="J1235" s="60">
        <f t="shared" si="60"/>
        <v>3841.2</v>
      </c>
    </row>
    <row r="1236" ht="15.2" spans="1:10">
      <c r="A1236" s="58" t="s">
        <v>1986</v>
      </c>
      <c r="B1236" s="59">
        <v>564</v>
      </c>
      <c r="C1236" s="59">
        <v>1393</v>
      </c>
      <c r="D1236" s="59" t="s">
        <v>801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ht="15.2" spans="1:10">
      <c r="A1237" s="58" t="s">
        <v>1987</v>
      </c>
      <c r="B1237" s="59">
        <v>1119.05</v>
      </c>
      <c r="C1237" s="59">
        <v>1899</v>
      </c>
      <c r="D1237" s="59" t="s">
        <v>803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ht="15.2" spans="1:10">
      <c r="A1238" s="58" t="s">
        <v>71</v>
      </c>
      <c r="B1238" s="59">
        <v>589</v>
      </c>
      <c r="C1238" s="59">
        <v>1237</v>
      </c>
      <c r="D1238" s="59" t="s">
        <v>801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11256.7</v>
      </c>
    </row>
    <row r="1239" ht="15.2" spans="1:10">
      <c r="A1239" s="58" t="s">
        <v>1988</v>
      </c>
      <c r="B1239" s="59">
        <v>228</v>
      </c>
      <c r="C1239" s="59">
        <v>533</v>
      </c>
      <c r="D1239" s="59" t="s">
        <v>801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</v>
      </c>
    </row>
    <row r="1240" ht="15.2" spans="1:10">
      <c r="A1240" s="58" t="s">
        <v>1989</v>
      </c>
      <c r="B1240" s="59">
        <v>1177.98</v>
      </c>
      <c r="C1240" s="59">
        <v>1999</v>
      </c>
      <c r="D1240" s="59" t="s">
        <v>803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ht="15.2" spans="1:10">
      <c r="A1241" s="58" t="s">
        <v>1990</v>
      </c>
      <c r="B1241" s="59">
        <v>940.46</v>
      </c>
      <c r="C1241" s="59">
        <v>1549</v>
      </c>
      <c r="D1241" s="59" t="s">
        <v>803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ht="15.2" spans="1:10">
      <c r="A1242" s="58" t="s">
        <v>1991</v>
      </c>
      <c r="B1242" s="59">
        <v>1177.98</v>
      </c>
      <c r="C1242" s="59">
        <v>1999</v>
      </c>
      <c r="D1242" s="59" t="s">
        <v>803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ht="15.2" spans="1:10">
      <c r="A1243" s="58" t="s">
        <v>1992</v>
      </c>
      <c r="B1243" s="59">
        <v>480.9</v>
      </c>
      <c r="C1243" s="59">
        <v>1271</v>
      </c>
      <c r="D1243" s="59" t="s">
        <v>801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</v>
      </c>
    </row>
    <row r="1244" ht="15.2" spans="1:10">
      <c r="A1244" s="58" t="s">
        <v>1993</v>
      </c>
      <c r="B1244" s="59">
        <v>955</v>
      </c>
      <c r="C1244" s="59">
        <v>2235</v>
      </c>
      <c r="D1244" s="59" t="s">
        <v>801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ht="15.2" spans="1:10">
      <c r="A1245" s="58" t="s">
        <v>1994</v>
      </c>
      <c r="B1245" s="59">
        <v>2233.41</v>
      </c>
      <c r="C1245" s="59">
        <v>3399</v>
      </c>
      <c r="D1245" s="59" t="s">
        <v>803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ht="15.2" spans="1:10">
      <c r="A1246" s="58" t="s">
        <v>1995</v>
      </c>
      <c r="B1246" s="59">
        <v>853.55</v>
      </c>
      <c r="C1246" s="59">
        <v>1299</v>
      </c>
      <c r="D1246" s="59" t="s">
        <v>803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ht="15.2" spans="1:10">
      <c r="A1247" s="58" t="s">
        <v>1996</v>
      </c>
      <c r="B1247" s="59">
        <v>1456.54</v>
      </c>
      <c r="C1247" s="59">
        <v>2399</v>
      </c>
      <c r="D1247" s="59" t="s">
        <v>803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ht="15.2" spans="1:10">
      <c r="A1248" s="58" t="s">
        <v>1997</v>
      </c>
      <c r="B1248" s="59">
        <v>1092.25</v>
      </c>
      <c r="C1248" s="59">
        <v>1799</v>
      </c>
      <c r="D1248" s="59" t="s">
        <v>803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ht="15.2" spans="1:10">
      <c r="A1249" s="58" t="s">
        <v>1998</v>
      </c>
      <c r="B1249" s="59">
        <v>449</v>
      </c>
      <c r="C1249" s="59">
        <v>765</v>
      </c>
      <c r="D1249" s="59" t="s">
        <v>801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ht="15.2" spans="1:10">
      <c r="A1250" s="58" t="s">
        <v>1999</v>
      </c>
      <c r="B1250" s="59">
        <v>578</v>
      </c>
      <c r="C1250" s="59">
        <v>1281</v>
      </c>
      <c r="D1250" s="59" t="s">
        <v>801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</v>
      </c>
      <c r="J1250" s="60">
        <f t="shared" si="60"/>
        <v>2049.6</v>
      </c>
    </row>
    <row r="1251" ht="15.2" spans="1:10">
      <c r="A1251" s="58" t="s">
        <v>2000</v>
      </c>
      <c r="B1251" s="59">
        <v>2766</v>
      </c>
      <c r="C1251" s="59">
        <v>7082</v>
      </c>
      <c r="D1251" s="59" t="s">
        <v>801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ht="15.2" spans="1:10">
      <c r="A1252" s="58" t="s">
        <v>2001</v>
      </c>
      <c r="B1252" s="59">
        <v>1152.97</v>
      </c>
      <c r="C1252" s="59">
        <v>1899</v>
      </c>
      <c r="D1252" s="59" t="s">
        <v>803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ht="15.2" spans="1:10">
      <c r="A1253" s="58" t="s">
        <v>2002</v>
      </c>
      <c r="B1253" s="59">
        <v>938.4</v>
      </c>
      <c r="C1253" s="59">
        <v>1449</v>
      </c>
      <c r="D1253" s="59" t="s">
        <v>803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ht="15.2" spans="1:10">
      <c r="A1254" s="58" t="s">
        <v>2003</v>
      </c>
      <c r="B1254" s="59">
        <v>570.86</v>
      </c>
      <c r="C1254" s="59">
        <v>2641</v>
      </c>
      <c r="D1254" s="59" t="s">
        <v>801</v>
      </c>
      <c r="E1254" s="59">
        <v>0.55</v>
      </c>
      <c r="F1254" s="59">
        <v>0.55</v>
      </c>
      <c r="G1254" s="59">
        <v>0</v>
      </c>
      <c r="H1254" s="60">
        <f t="shared" si="61"/>
        <v>0.55</v>
      </c>
      <c r="I1254" s="60">
        <f t="shared" si="59"/>
        <v>313.973</v>
      </c>
      <c r="J1254" s="60">
        <f t="shared" si="60"/>
        <v>1452.55</v>
      </c>
    </row>
    <row r="1255" ht="15.2" spans="1:10">
      <c r="A1255" s="58" t="s">
        <v>2004</v>
      </c>
      <c r="B1255" s="59">
        <v>1247.8</v>
      </c>
      <c r="C1255" s="59">
        <v>1899</v>
      </c>
      <c r="D1255" s="59" t="s">
        <v>803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ht="15.2" spans="1:10">
      <c r="A1256" s="58" t="s">
        <v>2005</v>
      </c>
      <c r="B1256" s="59">
        <v>787.84</v>
      </c>
      <c r="C1256" s="59">
        <v>1199</v>
      </c>
      <c r="D1256" s="59" t="s">
        <v>803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ht="15.2" spans="1:10">
      <c r="A1257" s="58" t="s">
        <v>2006</v>
      </c>
      <c r="B1257" s="59">
        <v>4249.39</v>
      </c>
      <c r="C1257" s="59">
        <v>6999</v>
      </c>
      <c r="D1257" s="59" t="s">
        <v>803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ht="15.2" spans="1:10">
      <c r="A1258" s="58" t="s">
        <v>2007</v>
      </c>
      <c r="B1258" s="59">
        <v>399</v>
      </c>
      <c r="C1258" s="59">
        <v>892</v>
      </c>
      <c r="D1258" s="59" t="s">
        <v>801</v>
      </c>
      <c r="E1258" s="59">
        <v>4.6</v>
      </c>
      <c r="F1258" s="59">
        <v>4.6</v>
      </c>
      <c r="G1258" s="59">
        <v>0</v>
      </c>
      <c r="H1258" s="60">
        <f t="shared" si="61"/>
        <v>4.6</v>
      </c>
      <c r="I1258" s="60">
        <f t="shared" si="59"/>
        <v>1835.4</v>
      </c>
      <c r="J1258" s="60">
        <f t="shared" si="60"/>
        <v>4103.2</v>
      </c>
    </row>
    <row r="1259" ht="15.2" spans="1:10">
      <c r="A1259" s="58" t="s">
        <v>2008</v>
      </c>
      <c r="B1259" s="59">
        <v>489</v>
      </c>
      <c r="C1259" s="59">
        <v>1061</v>
      </c>
      <c r="D1259" s="59" t="s">
        <v>801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</v>
      </c>
      <c r="J1259" s="60">
        <f t="shared" si="60"/>
        <v>53.05</v>
      </c>
    </row>
    <row r="1260" ht="15.2" spans="1:10">
      <c r="A1260" s="58" t="s">
        <v>2009</v>
      </c>
      <c r="B1260" s="59">
        <v>1274.39</v>
      </c>
      <c r="C1260" s="59">
        <v>2099</v>
      </c>
      <c r="D1260" s="59" t="s">
        <v>803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</v>
      </c>
      <c r="J1260" s="60">
        <f t="shared" si="60"/>
        <v>4198</v>
      </c>
    </row>
    <row r="1261" ht="15.2" spans="1:10">
      <c r="A1261" s="58" t="s">
        <v>2010</v>
      </c>
      <c r="B1261" s="59">
        <v>1395.82</v>
      </c>
      <c r="C1261" s="59">
        <v>2299</v>
      </c>
      <c r="D1261" s="59" t="s">
        <v>803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ht="15.2" spans="1:10">
      <c r="A1262" s="58" t="s">
        <v>2011</v>
      </c>
      <c r="B1262" s="59">
        <v>4124.41</v>
      </c>
      <c r="C1262" s="59">
        <v>6999</v>
      </c>
      <c r="D1262" s="59" t="s">
        <v>803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ht="15.2" spans="1:10">
      <c r="A1263" s="58" t="s">
        <v>100</v>
      </c>
      <c r="B1263" s="59">
        <v>0</v>
      </c>
      <c r="C1263" s="59">
        <v>0</v>
      </c>
      <c r="D1263" s="59" t="s">
        <v>801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ht="15.2" spans="1:10">
      <c r="A1264" s="58" t="s">
        <v>2012</v>
      </c>
      <c r="B1264" s="59">
        <v>973</v>
      </c>
      <c r="C1264" s="59">
        <v>2472</v>
      </c>
      <c r="D1264" s="59" t="s">
        <v>801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9827.3</v>
      </c>
      <c r="J1264" s="60">
        <f t="shared" si="60"/>
        <v>24967.2</v>
      </c>
    </row>
    <row r="1265" ht="15.2" spans="1:10">
      <c r="A1265" s="58" t="s">
        <v>2013</v>
      </c>
      <c r="B1265" s="59">
        <v>525</v>
      </c>
      <c r="C1265" s="59">
        <v>1102</v>
      </c>
      <c r="D1265" s="59" t="s">
        <v>801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ht="15.2" spans="1:10">
      <c r="A1266" s="58" t="s">
        <v>2014</v>
      </c>
      <c r="B1266" s="59">
        <v>970.78</v>
      </c>
      <c r="C1266" s="59">
        <v>1499</v>
      </c>
      <c r="D1266" s="59" t="s">
        <v>803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ht="15.2" spans="1:10">
      <c r="A1267" s="58" t="s">
        <v>2015</v>
      </c>
      <c r="B1267" s="59">
        <v>570.86</v>
      </c>
      <c r="C1267" s="59">
        <v>2360</v>
      </c>
      <c r="D1267" s="59" t="s">
        <v>801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ht="15.2" spans="1:10">
      <c r="A1268" s="58" t="s">
        <v>2016</v>
      </c>
      <c r="B1268" s="59">
        <v>1354.77</v>
      </c>
      <c r="C1268" s="59">
        <v>2299</v>
      </c>
      <c r="D1268" s="59" t="s">
        <v>803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ht="15.2" spans="1:10">
      <c r="A1269" s="58" t="s">
        <v>2017</v>
      </c>
      <c r="B1269" s="59">
        <v>417</v>
      </c>
      <c r="C1269" s="59">
        <v>951</v>
      </c>
      <c r="D1269" s="59" t="s">
        <v>801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ht="15.2" spans="1:10">
      <c r="A1270" s="58" t="s">
        <v>2018</v>
      </c>
      <c r="B1270" s="59">
        <v>665</v>
      </c>
      <c r="C1270" s="59">
        <v>1517</v>
      </c>
      <c r="D1270" s="59" t="s">
        <v>801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ht="15.2" spans="1:10">
      <c r="A1271" s="58" t="s">
        <v>2019</v>
      </c>
      <c r="B1271" s="59">
        <v>1416.6</v>
      </c>
      <c r="C1271" s="59">
        <v>2199</v>
      </c>
      <c r="D1271" s="59" t="s">
        <v>803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ht="15.2" spans="1:10">
      <c r="A1272" s="58" t="s">
        <v>2020</v>
      </c>
      <c r="B1272" s="59">
        <v>1177.98</v>
      </c>
      <c r="C1272" s="59">
        <v>1999</v>
      </c>
      <c r="D1272" s="59" t="s">
        <v>803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ht="15.2" spans="1:10">
      <c r="A1273" s="58" t="s">
        <v>2021</v>
      </c>
      <c r="B1273" s="59">
        <v>288</v>
      </c>
      <c r="C1273" s="59">
        <v>645</v>
      </c>
      <c r="D1273" s="59" t="s">
        <v>801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ht="15.2" spans="1:10">
      <c r="A1274" s="58" t="s">
        <v>172</v>
      </c>
      <c r="B1274" s="59">
        <v>306</v>
      </c>
      <c r="C1274" s="59">
        <v>750</v>
      </c>
      <c r="D1274" s="59" t="s">
        <v>801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ht="15.2" spans="1:10">
      <c r="A1275" s="58" t="s">
        <v>2022</v>
      </c>
      <c r="B1275" s="59">
        <v>245</v>
      </c>
      <c r="C1275" s="59">
        <v>503</v>
      </c>
      <c r="D1275" s="59" t="s">
        <v>801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</v>
      </c>
    </row>
    <row r="1276" ht="15.2" spans="1:10">
      <c r="A1276" s="58" t="s">
        <v>2023</v>
      </c>
      <c r="B1276" s="59">
        <v>299</v>
      </c>
      <c r="C1276" s="59">
        <v>628</v>
      </c>
      <c r="D1276" s="59" t="s">
        <v>801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ht="15.2" spans="1:10">
      <c r="A1277" s="58" t="s">
        <v>2024</v>
      </c>
      <c r="B1277" s="59">
        <v>1416.6</v>
      </c>
      <c r="C1277" s="59">
        <v>2199</v>
      </c>
      <c r="D1277" s="59" t="s">
        <v>803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ht="15.2" spans="1:10">
      <c r="A1278" s="58" t="s">
        <v>2025</v>
      </c>
      <c r="B1278" s="59">
        <v>910.24</v>
      </c>
      <c r="C1278" s="59">
        <v>1399</v>
      </c>
      <c r="D1278" s="59" t="s">
        <v>803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ht="15.2" spans="1:10">
      <c r="A1279" s="58" t="s">
        <v>2026</v>
      </c>
      <c r="B1279" s="59">
        <v>970.78</v>
      </c>
      <c r="C1279" s="59">
        <v>1499</v>
      </c>
      <c r="D1279" s="59" t="s">
        <v>803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ht="15.2" spans="1:10">
      <c r="A1280" s="58" t="s">
        <v>2027</v>
      </c>
      <c r="B1280" s="59">
        <v>1707.76</v>
      </c>
      <c r="C1280" s="59">
        <v>2599</v>
      </c>
      <c r="D1280" s="59" t="s">
        <v>803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ht="15.2" spans="1:10">
      <c r="A1281" s="58" t="s">
        <v>2028</v>
      </c>
      <c r="B1281" s="59">
        <v>582.21</v>
      </c>
      <c r="C1281" s="59">
        <v>899</v>
      </c>
      <c r="D1281" s="59" t="s">
        <v>803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ht="15.2" spans="1:10">
      <c r="A1282" s="58" t="s">
        <v>2029</v>
      </c>
      <c r="B1282" s="59">
        <v>970.82</v>
      </c>
      <c r="C1282" s="59">
        <v>1599</v>
      </c>
      <c r="D1282" s="59" t="s">
        <v>803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ht="15.2" spans="1:10">
      <c r="A1283" s="58" t="s">
        <v>2030</v>
      </c>
      <c r="B1283" s="59">
        <v>289</v>
      </c>
      <c r="C1283" s="59">
        <v>725</v>
      </c>
      <c r="D1283" s="59" t="s">
        <v>801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</v>
      </c>
      <c r="J1283" s="60">
        <f t="shared" si="63"/>
        <v>652.5</v>
      </c>
    </row>
    <row r="1284" ht="15.2" spans="1:10">
      <c r="A1284" s="58" t="s">
        <v>2031</v>
      </c>
      <c r="B1284" s="59">
        <v>1354.77</v>
      </c>
      <c r="C1284" s="59">
        <v>2299</v>
      </c>
      <c r="D1284" s="59" t="s">
        <v>803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ht="15.2" spans="1:10">
      <c r="A1285" s="58" t="s">
        <v>2032</v>
      </c>
      <c r="B1285" s="59">
        <v>350.9</v>
      </c>
      <c r="C1285" s="59">
        <v>1091</v>
      </c>
      <c r="D1285" s="59" t="s">
        <v>801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ht="15.2" spans="1:10">
      <c r="A1286" s="58" t="s">
        <v>2033</v>
      </c>
      <c r="B1286" s="59">
        <v>1619.1</v>
      </c>
      <c r="C1286" s="59">
        <v>4097</v>
      </c>
      <c r="D1286" s="59" t="s">
        <v>801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</v>
      </c>
    </row>
    <row r="1287" ht="15.2" spans="1:10">
      <c r="A1287" s="58" t="s">
        <v>2034</v>
      </c>
      <c r="B1287" s="59">
        <v>1577.96</v>
      </c>
      <c r="C1287" s="59">
        <v>2599</v>
      </c>
      <c r="D1287" s="59" t="s">
        <v>803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ht="15.2" spans="1:10">
      <c r="A1288" s="58" t="s">
        <v>2035</v>
      </c>
      <c r="B1288" s="59">
        <v>907.71</v>
      </c>
      <c r="C1288" s="59">
        <v>1399</v>
      </c>
      <c r="D1288" s="59" t="s">
        <v>803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ht="15.2" spans="1:10">
      <c r="A1289" s="58" t="s">
        <v>2036</v>
      </c>
      <c r="B1289" s="59">
        <v>1444.92</v>
      </c>
      <c r="C1289" s="59">
        <v>2199</v>
      </c>
      <c r="D1289" s="59" t="s">
        <v>803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ht="15.2" spans="1:10">
      <c r="A1290" s="58" t="s">
        <v>2037</v>
      </c>
      <c r="B1290" s="59">
        <v>1274.39</v>
      </c>
      <c r="C1290" s="59">
        <v>2099</v>
      </c>
      <c r="D1290" s="59" t="s">
        <v>803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ht="15.2" spans="1:10">
      <c r="A1291" s="58" t="s">
        <v>2038</v>
      </c>
      <c r="B1291" s="59">
        <v>1287.76</v>
      </c>
      <c r="C1291" s="59">
        <v>1999</v>
      </c>
      <c r="D1291" s="59" t="s">
        <v>803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ht="15.2" spans="1:10">
      <c r="A1292" s="58" t="s">
        <v>2039</v>
      </c>
      <c r="B1292" s="59">
        <v>913.24</v>
      </c>
      <c r="C1292" s="59">
        <v>1399</v>
      </c>
      <c r="D1292" s="59" t="s">
        <v>803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ht="15.2" spans="1:10">
      <c r="A1293" s="58" t="s">
        <v>2040</v>
      </c>
      <c r="B1293" s="59">
        <v>316</v>
      </c>
      <c r="C1293" s="59">
        <v>830</v>
      </c>
      <c r="D1293" s="59" t="s">
        <v>801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ht="15.2" spans="1:10">
      <c r="A1294" s="58" t="s">
        <v>2041</v>
      </c>
      <c r="B1294" s="59">
        <v>1472.63</v>
      </c>
      <c r="C1294" s="59">
        <v>2499</v>
      </c>
      <c r="D1294" s="59" t="s">
        <v>803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ht="15.2" spans="1:10">
      <c r="A1295" s="58" t="s">
        <v>2042</v>
      </c>
      <c r="B1295" s="59">
        <v>555</v>
      </c>
      <c r="C1295" s="59">
        <v>1166</v>
      </c>
      <c r="D1295" s="59" t="s">
        <v>801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ht="15.2" spans="1:10">
      <c r="A1296" s="58" t="s">
        <v>2043</v>
      </c>
      <c r="B1296" s="59">
        <v>476</v>
      </c>
      <c r="C1296" s="59">
        <v>1025</v>
      </c>
      <c r="D1296" s="59" t="s">
        <v>801</v>
      </c>
      <c r="E1296" s="59">
        <v>0.55</v>
      </c>
      <c r="F1296" s="59">
        <v>0.55</v>
      </c>
      <c r="G1296" s="59">
        <v>0</v>
      </c>
      <c r="H1296" s="60">
        <f t="shared" si="61"/>
        <v>0.55</v>
      </c>
      <c r="I1296" s="60">
        <f t="shared" si="62"/>
        <v>261.8</v>
      </c>
      <c r="J1296" s="60">
        <f t="shared" si="63"/>
        <v>563.75</v>
      </c>
    </row>
    <row r="1297" ht="15.2" spans="1:10">
      <c r="A1297" s="58" t="s">
        <v>2044</v>
      </c>
      <c r="B1297" s="59">
        <v>4239.47</v>
      </c>
      <c r="C1297" s="59">
        <v>7999</v>
      </c>
      <c r="D1297" s="59" t="s">
        <v>803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ht="15.2" spans="1:10">
      <c r="A1298" s="58" t="s">
        <v>2045</v>
      </c>
      <c r="B1298" s="59">
        <v>317</v>
      </c>
      <c r="C1298" s="59">
        <v>754</v>
      </c>
      <c r="D1298" s="59" t="s">
        <v>801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ht="15.2" spans="1:10">
      <c r="A1299" s="58" t="s">
        <v>2046</v>
      </c>
      <c r="B1299" s="59">
        <v>499</v>
      </c>
      <c r="C1299" s="59">
        <v>1117</v>
      </c>
      <c r="D1299" s="59" t="s">
        <v>801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ht="15.2" spans="1:10">
      <c r="A1300" s="58" t="s">
        <v>2047</v>
      </c>
      <c r="B1300" s="59">
        <v>614</v>
      </c>
      <c r="C1300" s="59">
        <v>1426</v>
      </c>
      <c r="D1300" s="59" t="s">
        <v>801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ht="15.2" spans="1:10">
      <c r="A1301" s="58" t="s">
        <v>2048</v>
      </c>
      <c r="B1301" s="59">
        <v>1050.67</v>
      </c>
      <c r="C1301" s="59">
        <v>1599</v>
      </c>
      <c r="D1301" s="59" t="s">
        <v>803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ht="15.2" spans="1:10">
      <c r="A1302" s="58" t="s">
        <v>2049</v>
      </c>
      <c r="B1302" s="59">
        <v>1092.25</v>
      </c>
      <c r="C1302" s="59">
        <v>1799</v>
      </c>
      <c r="D1302" s="59" t="s">
        <v>803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ht="15.2" spans="1:10">
      <c r="A1303" s="58" t="s">
        <v>2050</v>
      </c>
      <c r="B1303" s="59">
        <v>908.83</v>
      </c>
      <c r="C1303" s="59">
        <v>1399</v>
      </c>
      <c r="D1303" s="59" t="s">
        <v>803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ht="15.2" spans="1:10">
      <c r="A1304" s="58" t="s">
        <v>2051</v>
      </c>
      <c r="B1304" s="59">
        <v>1075</v>
      </c>
      <c r="C1304" s="59">
        <v>2798</v>
      </c>
      <c r="D1304" s="59" t="s">
        <v>801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ht="15.2" spans="1:10">
      <c r="A1305" s="58" t="s">
        <v>2052</v>
      </c>
      <c r="B1305" s="59">
        <v>4124.41</v>
      </c>
      <c r="C1305" s="59">
        <v>6999</v>
      </c>
      <c r="D1305" s="59" t="s">
        <v>803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ht="15.2" spans="1:10">
      <c r="A1306" s="58" t="s">
        <v>2053</v>
      </c>
      <c r="B1306" s="59">
        <v>1395.82</v>
      </c>
      <c r="C1306" s="59">
        <v>2299</v>
      </c>
      <c r="D1306" s="59" t="s">
        <v>803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ht="15.2" spans="1:10">
      <c r="A1307" s="58" t="s">
        <v>2054</v>
      </c>
      <c r="B1307" s="59">
        <v>1444.92</v>
      </c>
      <c r="C1307" s="59">
        <v>2199</v>
      </c>
      <c r="D1307" s="59" t="s">
        <v>803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ht="15.2" spans="1:10">
      <c r="A1308" s="58" t="s">
        <v>2055</v>
      </c>
      <c r="B1308" s="59">
        <v>384</v>
      </c>
      <c r="C1308" s="59">
        <v>904</v>
      </c>
      <c r="D1308" s="59" t="s">
        <v>801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115.2</v>
      </c>
      <c r="J1308" s="60">
        <f t="shared" si="63"/>
        <v>271.2</v>
      </c>
    </row>
    <row r="1309" ht="15.2" spans="1:10">
      <c r="A1309" s="58" t="s">
        <v>2056</v>
      </c>
      <c r="B1309" s="59">
        <v>1177.98</v>
      </c>
      <c r="C1309" s="59">
        <v>1999</v>
      </c>
      <c r="D1309" s="59" t="s">
        <v>803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ht="15.2" spans="1:10">
      <c r="A1310" s="58" t="s">
        <v>2057</v>
      </c>
      <c r="B1310" s="59">
        <v>290.78</v>
      </c>
      <c r="C1310" s="59">
        <v>449</v>
      </c>
      <c r="D1310" s="59" t="s">
        <v>803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1163.12</v>
      </c>
      <c r="J1310" s="60">
        <f t="shared" si="63"/>
        <v>1796</v>
      </c>
    </row>
    <row r="1311" ht="15.2" spans="1:10">
      <c r="A1311" s="58" t="s">
        <v>2058</v>
      </c>
      <c r="B1311" s="59">
        <v>8499.39</v>
      </c>
      <c r="C1311" s="59">
        <v>13999</v>
      </c>
      <c r="D1311" s="59" t="s">
        <v>803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ht="15.2" spans="1:10">
      <c r="A1312" s="58" t="s">
        <v>2059</v>
      </c>
      <c r="B1312" s="59">
        <v>1609.86</v>
      </c>
      <c r="C1312" s="59">
        <v>2499</v>
      </c>
      <c r="D1312" s="59" t="s">
        <v>803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ht="15.2" spans="1:10">
      <c r="A1313" s="58" t="s">
        <v>2060</v>
      </c>
      <c r="B1313" s="59">
        <v>293</v>
      </c>
      <c r="C1313" s="59">
        <v>634</v>
      </c>
      <c r="D1313" s="59" t="s">
        <v>801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ht="15.2" spans="1:10">
      <c r="A1314" s="58" t="s">
        <v>2061</v>
      </c>
      <c r="B1314" s="59">
        <v>358</v>
      </c>
      <c r="C1314" s="59">
        <v>841</v>
      </c>
      <c r="D1314" s="59" t="s">
        <v>801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</v>
      </c>
      <c r="J1314" s="60">
        <f t="shared" si="63"/>
        <v>168.2</v>
      </c>
    </row>
    <row r="1315" ht="15.2" spans="1:10">
      <c r="A1315" s="58" t="s">
        <v>2062</v>
      </c>
      <c r="B1315" s="59">
        <v>294</v>
      </c>
      <c r="C1315" s="59">
        <v>720</v>
      </c>
      <c r="D1315" s="59" t="s">
        <v>801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ht="15.2" spans="1:10">
      <c r="A1316" s="58" t="s">
        <v>2063</v>
      </c>
      <c r="B1316" s="59">
        <v>1335.11</v>
      </c>
      <c r="C1316" s="59">
        <v>2199</v>
      </c>
      <c r="D1316" s="59" t="s">
        <v>803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ht="15.2" spans="1:10">
      <c r="A1317" s="58" t="s">
        <v>156</v>
      </c>
      <c r="B1317" s="59">
        <v>562</v>
      </c>
      <c r="C1317" s="59">
        <v>1299</v>
      </c>
      <c r="D1317" s="59" t="s">
        <v>801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ht="15.2" spans="1:10">
      <c r="A1318" s="58" t="s">
        <v>2064</v>
      </c>
      <c r="B1318" s="59">
        <v>1274.4</v>
      </c>
      <c r="C1318" s="59">
        <v>2099</v>
      </c>
      <c r="D1318" s="59" t="s">
        <v>803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</v>
      </c>
      <c r="J1318" s="60">
        <f t="shared" si="63"/>
        <v>4198</v>
      </c>
    </row>
    <row r="1319" ht="15.2" spans="1:10">
      <c r="A1319" s="58" t="s">
        <v>2065</v>
      </c>
      <c r="B1319" s="59">
        <v>1576.34</v>
      </c>
      <c r="C1319" s="59">
        <v>2399</v>
      </c>
      <c r="D1319" s="59" t="s">
        <v>803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ht="15.2" spans="1:10">
      <c r="A1320" s="58" t="s">
        <v>2066</v>
      </c>
      <c r="B1320" s="59">
        <v>1577.96</v>
      </c>
      <c r="C1320" s="59">
        <v>2499</v>
      </c>
      <c r="D1320" s="59" t="s">
        <v>803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ht="15.2" spans="1:10">
      <c r="A1321" s="58" t="s">
        <v>2067</v>
      </c>
      <c r="B1321" s="59">
        <v>293</v>
      </c>
      <c r="C1321" s="59">
        <v>637</v>
      </c>
      <c r="D1321" s="59" t="s">
        <v>801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ht="15.2" spans="1:10">
      <c r="A1322" s="58" t="s">
        <v>2068</v>
      </c>
      <c r="B1322" s="59">
        <v>1247.8</v>
      </c>
      <c r="C1322" s="59">
        <v>1899</v>
      </c>
      <c r="D1322" s="59" t="s">
        <v>803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ht="15.2" spans="1:10">
      <c r="A1323" s="58" t="s">
        <v>2069</v>
      </c>
      <c r="B1323" s="59">
        <v>744.11</v>
      </c>
      <c r="C1323" s="59">
        <v>1149</v>
      </c>
      <c r="D1323" s="59" t="s">
        <v>803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ht="15.2" spans="1:10">
      <c r="A1324" s="58" t="s">
        <v>2070</v>
      </c>
      <c r="B1324" s="59">
        <v>451</v>
      </c>
      <c r="C1324" s="59">
        <v>1057</v>
      </c>
      <c r="D1324" s="59" t="s">
        <v>801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ht="15.2" spans="1:10">
      <c r="A1325" s="58" t="s">
        <v>2071</v>
      </c>
      <c r="B1325" s="59">
        <v>4598.9</v>
      </c>
      <c r="C1325" s="59">
        <v>6999</v>
      </c>
      <c r="D1325" s="59" t="s">
        <v>803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ht="15.2" spans="1:10">
      <c r="A1326" s="58" t="s">
        <v>2072</v>
      </c>
      <c r="B1326" s="59">
        <v>517.45</v>
      </c>
      <c r="C1326" s="59">
        <v>799</v>
      </c>
      <c r="D1326" s="59" t="s">
        <v>803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ht="15.2" spans="1:10">
      <c r="A1327" s="58" t="s">
        <v>2073</v>
      </c>
      <c r="B1327" s="59">
        <v>351.7</v>
      </c>
      <c r="C1327" s="59">
        <v>1165</v>
      </c>
      <c r="D1327" s="59" t="s">
        <v>801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756.155</v>
      </c>
      <c r="J1327" s="60">
        <f t="shared" si="63"/>
        <v>2504.75</v>
      </c>
    </row>
    <row r="1328" ht="15.2" spans="1:10">
      <c r="A1328" s="58" t="s">
        <v>2074</v>
      </c>
      <c r="B1328" s="59">
        <v>564</v>
      </c>
      <c r="C1328" s="59">
        <v>1387</v>
      </c>
      <c r="D1328" s="59" t="s">
        <v>801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</v>
      </c>
      <c r="J1328" s="60">
        <f t="shared" si="63"/>
        <v>1109.6</v>
      </c>
    </row>
    <row r="1329" ht="15.2" spans="1:10">
      <c r="A1329" s="58" t="s">
        <v>2075</v>
      </c>
      <c r="B1329" s="59">
        <v>1094.5</v>
      </c>
      <c r="C1329" s="59">
        <v>1699</v>
      </c>
      <c r="D1329" s="59" t="s">
        <v>803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ht="15.2" spans="1:10">
      <c r="A1330" s="58" t="s">
        <v>2076</v>
      </c>
      <c r="B1330" s="59">
        <v>4249.39</v>
      </c>
      <c r="C1330" s="59">
        <v>6999</v>
      </c>
      <c r="D1330" s="59" t="s">
        <v>803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ht="15.2" spans="1:10">
      <c r="A1331" s="58" t="s">
        <v>2077</v>
      </c>
      <c r="B1331" s="59">
        <v>5892.27</v>
      </c>
      <c r="C1331" s="59">
        <v>9999</v>
      </c>
      <c r="D1331" s="59" t="s">
        <v>803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ht="15.2" spans="1:10">
      <c r="A1332" s="58" t="s">
        <v>2078</v>
      </c>
      <c r="B1332" s="59">
        <v>1274.39</v>
      </c>
      <c r="C1332" s="59">
        <v>2099</v>
      </c>
      <c r="D1332" s="59" t="s">
        <v>803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ht="15.2" spans="1:10">
      <c r="A1333" s="58" t="s">
        <v>2079</v>
      </c>
      <c r="B1333" s="59">
        <v>317</v>
      </c>
      <c r="C1333" s="59">
        <v>754</v>
      </c>
      <c r="D1333" s="59" t="s">
        <v>801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ht="15.2" spans="1:10">
      <c r="A1334" s="58" t="s">
        <v>2080</v>
      </c>
      <c r="B1334" s="59">
        <v>1649.41</v>
      </c>
      <c r="C1334" s="59">
        <v>2799</v>
      </c>
      <c r="D1334" s="59" t="s">
        <v>803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ht="15.2" spans="1:10">
      <c r="A1335" s="58" t="s">
        <v>2081</v>
      </c>
      <c r="B1335" s="59">
        <v>359.1</v>
      </c>
      <c r="C1335" s="59">
        <v>769</v>
      </c>
      <c r="D1335" s="59" t="s">
        <v>801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</v>
      </c>
      <c r="J1335" s="60">
        <f t="shared" si="63"/>
        <v>307.6</v>
      </c>
    </row>
    <row r="1336" ht="15.2" spans="1:10">
      <c r="A1336" s="58" t="s">
        <v>2082</v>
      </c>
      <c r="B1336" s="59">
        <v>1444.92</v>
      </c>
      <c r="C1336" s="59">
        <v>2199</v>
      </c>
      <c r="D1336" s="59" t="s">
        <v>803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ht="15.2" spans="1:10">
      <c r="A1337" s="58" t="s">
        <v>2083</v>
      </c>
      <c r="B1337" s="59">
        <v>370</v>
      </c>
      <c r="C1337" s="59">
        <v>880</v>
      </c>
      <c r="D1337" s="59" t="s">
        <v>801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ht="15.2" spans="1:10">
      <c r="A1338" s="58" t="s">
        <v>2084</v>
      </c>
      <c r="B1338" s="59">
        <v>4124.41</v>
      </c>
      <c r="C1338" s="59">
        <v>6999</v>
      </c>
      <c r="D1338" s="59" t="s">
        <v>803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ht="15.2" spans="1:10">
      <c r="A1339" s="58" t="s">
        <v>2085</v>
      </c>
      <c r="B1339" s="59">
        <v>0</v>
      </c>
      <c r="C1339" s="59">
        <v>0</v>
      </c>
      <c r="D1339" s="59" t="s">
        <v>815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ht="15.2" spans="1:10">
      <c r="A1340" s="58" t="s">
        <v>2086</v>
      </c>
      <c r="B1340" s="59">
        <v>409</v>
      </c>
      <c r="C1340" s="59">
        <v>970</v>
      </c>
      <c r="D1340" s="59" t="s">
        <v>801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245.4</v>
      </c>
      <c r="J1340" s="60">
        <f t="shared" si="63"/>
        <v>582</v>
      </c>
    </row>
    <row r="1341" ht="15.2" spans="1:10">
      <c r="A1341" s="58" t="s">
        <v>2087</v>
      </c>
      <c r="B1341" s="59">
        <v>436</v>
      </c>
      <c r="C1341" s="59">
        <v>1099</v>
      </c>
      <c r="D1341" s="59" t="s">
        <v>801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ht="15.2" spans="1:10">
      <c r="A1342" s="58" t="s">
        <v>2088</v>
      </c>
      <c r="B1342" s="59">
        <v>1638.68</v>
      </c>
      <c r="C1342" s="59">
        <v>2699</v>
      </c>
      <c r="D1342" s="59" t="s">
        <v>803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ht="15.2" spans="1:10">
      <c r="A1343" s="58" t="s">
        <v>2089</v>
      </c>
      <c r="B1343" s="59">
        <v>1456.54</v>
      </c>
      <c r="C1343" s="59">
        <v>2399</v>
      </c>
      <c r="D1343" s="59" t="s">
        <v>803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ht="15.2" spans="1:10">
      <c r="A1344" s="58" t="s">
        <v>2090</v>
      </c>
      <c r="B1344" s="59">
        <v>1274.39</v>
      </c>
      <c r="C1344" s="59">
        <v>2099</v>
      </c>
      <c r="D1344" s="59" t="s">
        <v>803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ht="15.2" spans="1:10">
      <c r="A1345" s="58" t="s">
        <v>2091</v>
      </c>
      <c r="B1345" s="59">
        <v>1545.44</v>
      </c>
      <c r="C1345" s="59">
        <v>2399</v>
      </c>
      <c r="D1345" s="59" t="s">
        <v>803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ht="15.2" spans="1:10">
      <c r="A1346" s="58" t="s">
        <v>2092</v>
      </c>
      <c r="B1346" s="59">
        <v>1760.11</v>
      </c>
      <c r="C1346" s="59">
        <v>2899</v>
      </c>
      <c r="D1346" s="59" t="s">
        <v>803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ht="15.2" spans="1:10">
      <c r="A1347" s="58" t="s">
        <v>2093</v>
      </c>
      <c r="B1347" s="59">
        <v>1649.41</v>
      </c>
      <c r="C1347" s="59">
        <v>2799</v>
      </c>
      <c r="D1347" s="59" t="s">
        <v>803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ht="15.2" spans="1:10">
      <c r="A1348" s="58" t="s">
        <v>2094</v>
      </c>
      <c r="B1348" s="59">
        <v>452.69</v>
      </c>
      <c r="C1348" s="59">
        <v>699</v>
      </c>
      <c r="D1348" s="59" t="s">
        <v>803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ht="15.2" spans="1:10">
      <c r="A1349" s="58" t="s">
        <v>2095</v>
      </c>
      <c r="B1349" s="59">
        <v>351</v>
      </c>
      <c r="C1349" s="59">
        <v>775</v>
      </c>
      <c r="D1349" s="59" t="s">
        <v>801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ht="15.2" spans="1:10">
      <c r="A1350" s="58" t="s">
        <v>2096</v>
      </c>
      <c r="B1350" s="59">
        <v>1881.54</v>
      </c>
      <c r="C1350" s="59">
        <v>3099</v>
      </c>
      <c r="D1350" s="59" t="s">
        <v>803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ht="15.2" spans="1:10">
      <c r="A1351" s="58" t="s">
        <v>2097</v>
      </c>
      <c r="B1351" s="59">
        <v>1213.68</v>
      </c>
      <c r="C1351" s="59">
        <v>1999</v>
      </c>
      <c r="D1351" s="59" t="s">
        <v>803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ht="15.2" spans="1:10">
      <c r="A1352" s="58" t="s">
        <v>2098</v>
      </c>
      <c r="B1352" s="59">
        <v>1177.98</v>
      </c>
      <c r="C1352" s="59">
        <v>1999</v>
      </c>
      <c r="D1352" s="59" t="s">
        <v>803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ht="15.2" spans="1:10">
      <c r="A1353" s="58" t="s">
        <v>2099</v>
      </c>
      <c r="B1353" s="59">
        <v>1247.8</v>
      </c>
      <c r="C1353" s="59">
        <v>1899</v>
      </c>
      <c r="D1353" s="59" t="s">
        <v>803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ht="15.2" spans="1:10">
      <c r="A1354" s="58" t="s">
        <v>2100</v>
      </c>
      <c r="B1354" s="59">
        <v>1395.82</v>
      </c>
      <c r="C1354" s="59">
        <v>2299</v>
      </c>
      <c r="D1354" s="59" t="s">
        <v>803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ht="15.2" spans="1:10">
      <c r="A1355" s="58" t="s">
        <v>2101</v>
      </c>
      <c r="B1355" s="59">
        <v>317</v>
      </c>
      <c r="C1355" s="59">
        <v>735</v>
      </c>
      <c r="D1355" s="59" t="s">
        <v>801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ht="15.2" spans="1:10">
      <c r="A1356" s="58" t="s">
        <v>2102</v>
      </c>
      <c r="B1356" s="59">
        <v>2651.2</v>
      </c>
      <c r="C1356" s="59">
        <v>4499</v>
      </c>
      <c r="D1356" s="59" t="s">
        <v>803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ht="15.2" spans="1:10">
      <c r="A1357" s="58" t="s">
        <v>2103</v>
      </c>
      <c r="B1357" s="59">
        <v>290.78</v>
      </c>
      <c r="C1357" s="59">
        <v>449</v>
      </c>
      <c r="D1357" s="59" t="s">
        <v>803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1163.12</v>
      </c>
      <c r="J1357" s="60">
        <f t="shared" si="66"/>
        <v>1796</v>
      </c>
    </row>
    <row r="1358" ht="15.2" spans="1:10">
      <c r="A1358" s="58" t="s">
        <v>2104</v>
      </c>
      <c r="B1358" s="59">
        <v>656.42</v>
      </c>
      <c r="C1358" s="59">
        <v>999</v>
      </c>
      <c r="D1358" s="59" t="s">
        <v>803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ht="15.2" spans="1:10">
      <c r="A1359" s="58" t="s">
        <v>2105</v>
      </c>
      <c r="B1359" s="59">
        <v>1119.05</v>
      </c>
      <c r="C1359" s="59">
        <v>1899</v>
      </c>
      <c r="D1359" s="59" t="s">
        <v>803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ht="15.2" spans="1:10">
      <c r="A1360" s="58" t="s">
        <v>2106</v>
      </c>
      <c r="B1360" s="59">
        <v>456</v>
      </c>
      <c r="C1360" s="59">
        <v>958</v>
      </c>
      <c r="D1360" s="59" t="s">
        <v>801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ht="15.2" spans="1:10">
      <c r="A1361" s="58" t="s">
        <v>2107</v>
      </c>
      <c r="B1361" s="59">
        <v>2167.7</v>
      </c>
      <c r="C1361" s="59">
        <v>3299</v>
      </c>
      <c r="D1361" s="59" t="s">
        <v>803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ht="15.2" spans="1:10">
      <c r="A1362" s="58" t="s">
        <v>2108</v>
      </c>
      <c r="B1362" s="59">
        <v>570.86</v>
      </c>
      <c r="C1362" s="59">
        <v>1913</v>
      </c>
      <c r="D1362" s="59" t="s">
        <v>801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ht="15.2" spans="1:10">
      <c r="A1363" s="58" t="s">
        <v>2109</v>
      </c>
      <c r="B1363" s="59">
        <v>582.21</v>
      </c>
      <c r="C1363" s="59">
        <v>899</v>
      </c>
      <c r="D1363" s="59" t="s">
        <v>803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ht="15.2" spans="1:10">
      <c r="A1364" s="58" t="s">
        <v>2110</v>
      </c>
      <c r="B1364" s="59">
        <v>1313.5</v>
      </c>
      <c r="C1364" s="59">
        <v>1999</v>
      </c>
      <c r="D1364" s="59" t="s">
        <v>803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ht="15.2" spans="1:10">
      <c r="A1365" s="58" t="s">
        <v>2111</v>
      </c>
      <c r="B1365" s="59">
        <v>1213.68</v>
      </c>
      <c r="C1365" s="59">
        <v>1999</v>
      </c>
      <c r="D1365" s="59" t="s">
        <v>803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ht="15.2" spans="1:10">
      <c r="A1366" s="58" t="s">
        <v>2112</v>
      </c>
      <c r="B1366" s="59">
        <v>1576.34</v>
      </c>
      <c r="C1366" s="59">
        <v>2499</v>
      </c>
      <c r="D1366" s="59" t="s">
        <v>803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ht="15.2" spans="1:10">
      <c r="A1367" s="58" t="s">
        <v>2113</v>
      </c>
      <c r="B1367" s="59">
        <v>1116.38</v>
      </c>
      <c r="C1367" s="59">
        <v>1699</v>
      </c>
      <c r="D1367" s="59" t="s">
        <v>803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</v>
      </c>
      <c r="J1367" s="60">
        <f t="shared" si="66"/>
        <v>1699</v>
      </c>
    </row>
    <row r="1368" ht="15.2" spans="1:10">
      <c r="A1368" s="58" t="s">
        <v>2114</v>
      </c>
      <c r="B1368" s="59">
        <v>1881.54</v>
      </c>
      <c r="C1368" s="59">
        <v>3099</v>
      </c>
      <c r="D1368" s="59" t="s">
        <v>803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ht="15.2" spans="1:10">
      <c r="A1369" s="58" t="s">
        <v>2115</v>
      </c>
      <c r="B1369" s="59">
        <v>8499.39</v>
      </c>
      <c r="C1369" s="59">
        <v>13999</v>
      </c>
      <c r="D1369" s="59" t="s">
        <v>803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ht="15.2" spans="1:10">
      <c r="A1370" s="58" t="s">
        <v>2116</v>
      </c>
      <c r="B1370" s="59">
        <v>1247.8</v>
      </c>
      <c r="C1370" s="59">
        <v>1899</v>
      </c>
      <c r="D1370" s="59" t="s">
        <v>803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ht="15.2" spans="1:10">
      <c r="A1371" s="58" t="s">
        <v>2117</v>
      </c>
      <c r="B1371" s="59">
        <v>1287.76</v>
      </c>
      <c r="C1371" s="59">
        <v>1999</v>
      </c>
      <c r="D1371" s="59" t="s">
        <v>803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ht="15.2" spans="1:10">
      <c r="A1372" s="58" t="s">
        <v>2118</v>
      </c>
      <c r="B1372" s="59">
        <v>1152.96</v>
      </c>
      <c r="C1372" s="59">
        <v>1899</v>
      </c>
      <c r="D1372" s="59" t="s">
        <v>803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ht="15.2" spans="1:10">
      <c r="A1373" s="58" t="s">
        <v>2119</v>
      </c>
      <c r="B1373" s="59">
        <v>578</v>
      </c>
      <c r="C1373" s="59">
        <v>1207</v>
      </c>
      <c r="D1373" s="59" t="s">
        <v>801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404.6</v>
      </c>
      <c r="J1373" s="60">
        <f t="shared" si="66"/>
        <v>844.9</v>
      </c>
    </row>
    <row r="1374" ht="15.2" spans="1:10">
      <c r="A1374" s="58" t="s">
        <v>2120</v>
      </c>
      <c r="B1374" s="59">
        <v>1481.02</v>
      </c>
      <c r="C1374" s="59">
        <v>2299</v>
      </c>
      <c r="D1374" s="59" t="s">
        <v>803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ht="15.2" spans="1:10">
      <c r="A1375" s="58" t="s">
        <v>714</v>
      </c>
      <c r="B1375" s="59">
        <v>702</v>
      </c>
      <c r="C1375" s="59">
        <v>1665</v>
      </c>
      <c r="D1375" s="59" t="s">
        <v>801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ht="15.2" spans="1:10">
      <c r="A1376" s="58" t="s">
        <v>2121</v>
      </c>
      <c r="B1376" s="59">
        <v>5892.27</v>
      </c>
      <c r="C1376" s="59">
        <v>9999</v>
      </c>
      <c r="D1376" s="59" t="s">
        <v>803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ht="15.2" spans="1:10">
      <c r="A1377" s="58" t="s">
        <v>2122</v>
      </c>
      <c r="B1377" s="59">
        <v>1444.92</v>
      </c>
      <c r="C1377" s="59">
        <v>2199</v>
      </c>
      <c r="D1377" s="59" t="s">
        <v>803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ht="15.2" spans="1:10">
      <c r="A1378" s="58" t="s">
        <v>2123</v>
      </c>
      <c r="B1378" s="59">
        <v>570.86</v>
      </c>
      <c r="C1378" s="59">
        <v>2410</v>
      </c>
      <c r="D1378" s="59" t="s">
        <v>801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ht="15.2" spans="1:10">
      <c r="A1379" s="58" t="s">
        <v>2124</v>
      </c>
      <c r="B1379" s="59">
        <v>1517.25</v>
      </c>
      <c r="C1379" s="59">
        <v>2499</v>
      </c>
      <c r="D1379" s="59" t="s">
        <v>803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ht="15.2" spans="1:10">
      <c r="A1380" s="58" t="s">
        <v>2125</v>
      </c>
      <c r="B1380" s="59">
        <v>984.96</v>
      </c>
      <c r="C1380" s="59">
        <v>1499</v>
      </c>
      <c r="D1380" s="59" t="s">
        <v>803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ht="15.2" spans="1:10">
      <c r="A1381" s="58" t="s">
        <v>2126</v>
      </c>
      <c r="B1381" s="59">
        <v>300</v>
      </c>
      <c r="C1381" s="59">
        <v>720</v>
      </c>
      <c r="D1381" s="59" t="s">
        <v>801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ht="15.2" spans="1:10">
      <c r="A1382" s="58" t="s">
        <v>2127</v>
      </c>
      <c r="B1382" s="59">
        <v>390</v>
      </c>
      <c r="C1382" s="59">
        <v>989</v>
      </c>
      <c r="D1382" s="59" t="s">
        <v>801</v>
      </c>
      <c r="E1382" s="59">
        <v>1.1</v>
      </c>
      <c r="F1382" s="59">
        <v>1.1</v>
      </c>
      <c r="G1382" s="59">
        <v>0</v>
      </c>
      <c r="H1382" s="60">
        <f t="shared" si="67"/>
        <v>1.1</v>
      </c>
      <c r="I1382" s="60">
        <f t="shared" si="65"/>
        <v>429</v>
      </c>
      <c r="J1382" s="60">
        <f t="shared" si="66"/>
        <v>1087.9</v>
      </c>
    </row>
    <row r="1383" ht="15.2" spans="1:10">
      <c r="A1383" s="58" t="s">
        <v>2128</v>
      </c>
      <c r="B1383" s="59">
        <v>3457.05</v>
      </c>
      <c r="C1383" s="59">
        <v>5999</v>
      </c>
      <c r="D1383" s="59" t="s">
        <v>803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ht="15.2" spans="1:10">
      <c r="A1384" s="58" t="s">
        <v>2129</v>
      </c>
      <c r="B1384" s="59">
        <v>2651.2</v>
      </c>
      <c r="C1384" s="59">
        <v>4499</v>
      </c>
      <c r="D1384" s="59" t="s">
        <v>803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ht="15.2" spans="1:10">
      <c r="A1385" s="58" t="s">
        <v>2130</v>
      </c>
      <c r="B1385" s="59">
        <v>148</v>
      </c>
      <c r="C1385" s="59">
        <v>221</v>
      </c>
      <c r="D1385" s="59" t="s">
        <v>801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ht="15.2" spans="1:10">
      <c r="A1386" s="58" t="s">
        <v>2131</v>
      </c>
      <c r="B1386" s="59">
        <v>970.78</v>
      </c>
      <c r="C1386" s="59">
        <v>1499</v>
      </c>
      <c r="D1386" s="59" t="s">
        <v>803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ht="15.2" spans="1:10">
      <c r="A1387" s="58" t="s">
        <v>2132</v>
      </c>
      <c r="B1387" s="59">
        <v>1158.92</v>
      </c>
      <c r="C1387" s="59">
        <v>1799</v>
      </c>
      <c r="D1387" s="59" t="s">
        <v>803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ht="15.2" spans="1:10">
      <c r="A1388" s="58" t="s">
        <v>2133</v>
      </c>
      <c r="B1388" s="59">
        <v>251</v>
      </c>
      <c r="C1388" s="59">
        <v>640</v>
      </c>
      <c r="D1388" s="59" t="s">
        <v>801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ht="15.2" spans="1:10">
      <c r="A1389" s="58" t="s">
        <v>2134</v>
      </c>
      <c r="B1389" s="59">
        <v>1395.82</v>
      </c>
      <c r="C1389" s="59">
        <v>2299</v>
      </c>
      <c r="D1389" s="59" t="s">
        <v>803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ht="15.2" spans="1:10">
      <c r="A1390" s="58" t="s">
        <v>2135</v>
      </c>
      <c r="B1390" s="59">
        <v>460</v>
      </c>
      <c r="C1390" s="59">
        <v>1157</v>
      </c>
      <c r="D1390" s="59" t="s">
        <v>801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ht="15.2" spans="1:10">
      <c r="A1391" s="58" t="s">
        <v>2136</v>
      </c>
      <c r="B1391" s="59">
        <v>970.78</v>
      </c>
      <c r="C1391" s="59">
        <v>1499</v>
      </c>
      <c r="D1391" s="59" t="s">
        <v>803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ht="15.2" spans="1:10">
      <c r="A1392" s="58" t="s">
        <v>2137</v>
      </c>
      <c r="B1392" s="59">
        <v>3535.13</v>
      </c>
      <c r="C1392" s="59">
        <v>5999</v>
      </c>
      <c r="D1392" s="59" t="s">
        <v>803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ht="15.2" spans="1:10">
      <c r="A1393" s="58" t="s">
        <v>2138</v>
      </c>
      <c r="B1393" s="59">
        <v>1313.5</v>
      </c>
      <c r="C1393" s="59">
        <v>1999</v>
      </c>
      <c r="D1393" s="59" t="s">
        <v>803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ht="15.2" spans="1:10">
      <c r="A1394" s="58" t="s">
        <v>2139</v>
      </c>
      <c r="B1394" s="59">
        <v>1177.98</v>
      </c>
      <c r="C1394" s="59">
        <v>1999</v>
      </c>
      <c r="D1394" s="59" t="s">
        <v>803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ht="15.2" spans="1:10">
      <c r="A1395" s="58" t="s">
        <v>2140</v>
      </c>
      <c r="B1395" s="59">
        <v>671</v>
      </c>
      <c r="C1395" s="59">
        <v>1369</v>
      </c>
      <c r="D1395" s="59" t="s">
        <v>801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ht="15.2" spans="1:10">
      <c r="A1396" s="58" t="s">
        <v>2141</v>
      </c>
      <c r="B1396" s="59">
        <v>2651.2</v>
      </c>
      <c r="C1396" s="59">
        <v>4499</v>
      </c>
      <c r="D1396" s="59" t="s">
        <v>803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ht="15.2" spans="1:10">
      <c r="A1397" s="58" t="s">
        <v>2142</v>
      </c>
      <c r="B1397" s="59">
        <v>426</v>
      </c>
      <c r="C1397" s="59">
        <v>927</v>
      </c>
      <c r="D1397" s="59" t="s">
        <v>801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</v>
      </c>
      <c r="J1397" s="60">
        <f t="shared" si="66"/>
        <v>834.3</v>
      </c>
    </row>
    <row r="1398" ht="15.2" spans="1:10">
      <c r="A1398" s="58" t="s">
        <v>2143</v>
      </c>
      <c r="B1398" s="59">
        <v>1699.4</v>
      </c>
      <c r="C1398" s="59">
        <v>2799</v>
      </c>
      <c r="D1398" s="59" t="s">
        <v>803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ht="15.2" spans="1:10">
      <c r="A1399" s="58" t="s">
        <v>2144</v>
      </c>
      <c r="B1399" s="59">
        <v>1213.68</v>
      </c>
      <c r="C1399" s="59">
        <v>1999</v>
      </c>
      <c r="D1399" s="59" t="s">
        <v>803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ht="15.2" spans="1:10">
      <c r="A1400" s="58" t="s">
        <v>2145</v>
      </c>
      <c r="B1400" s="59">
        <v>460</v>
      </c>
      <c r="C1400" s="59">
        <v>1091</v>
      </c>
      <c r="D1400" s="59" t="s">
        <v>801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ht="15.2" spans="1:10">
      <c r="A1401" s="58" t="s">
        <v>2146</v>
      </c>
      <c r="B1401" s="59">
        <v>278</v>
      </c>
      <c r="C1401" s="59">
        <v>560</v>
      </c>
      <c r="D1401" s="59" t="s">
        <v>801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ht="15.2" spans="1:10">
      <c r="A1402" s="58" t="s">
        <v>2147</v>
      </c>
      <c r="B1402" s="59">
        <v>499</v>
      </c>
      <c r="C1402" s="59">
        <v>1048</v>
      </c>
      <c r="D1402" s="59" t="s">
        <v>801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2395.2</v>
      </c>
      <c r="J1402" s="60">
        <f t="shared" si="66"/>
        <v>5030.4</v>
      </c>
    </row>
    <row r="1403" ht="15.2" spans="1:10">
      <c r="A1403" s="58" t="s">
        <v>2148</v>
      </c>
      <c r="B1403" s="59">
        <v>1456.54</v>
      </c>
      <c r="C1403" s="59">
        <v>2399</v>
      </c>
      <c r="D1403" s="59" t="s">
        <v>803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ht="15.2" spans="1:10">
      <c r="A1404" s="58" t="s">
        <v>2149</v>
      </c>
      <c r="B1404" s="59">
        <v>2124.4</v>
      </c>
      <c r="C1404" s="59">
        <v>3499</v>
      </c>
      <c r="D1404" s="59" t="s">
        <v>803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ht="15.2" spans="1:10">
      <c r="A1405" s="58" t="s">
        <v>2150</v>
      </c>
      <c r="B1405" s="59">
        <v>1213.68</v>
      </c>
      <c r="C1405" s="59">
        <v>1999</v>
      </c>
      <c r="D1405" s="59" t="s">
        <v>803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ht="15.2" spans="1:10">
      <c r="A1406" s="58" t="s">
        <v>2151</v>
      </c>
      <c r="B1406" s="59">
        <v>1820.82</v>
      </c>
      <c r="C1406" s="59">
        <v>2999</v>
      </c>
      <c r="D1406" s="59" t="s">
        <v>803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ht="15.2" spans="1:10">
      <c r="A1407" s="58" t="s">
        <v>2152</v>
      </c>
      <c r="B1407" s="59">
        <v>582.21</v>
      </c>
      <c r="C1407" s="59">
        <v>899</v>
      </c>
      <c r="D1407" s="59" t="s">
        <v>803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ht="15.2" spans="1:10">
      <c r="A1408" s="58" t="s">
        <v>2153</v>
      </c>
      <c r="B1408" s="59">
        <v>327</v>
      </c>
      <c r="C1408" s="59">
        <v>815</v>
      </c>
      <c r="D1408" s="59" t="s">
        <v>801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ht="15.2" spans="1:10">
      <c r="A1409" s="58" t="s">
        <v>2154</v>
      </c>
      <c r="B1409" s="59">
        <v>593</v>
      </c>
      <c r="C1409" s="59">
        <v>1387</v>
      </c>
      <c r="D1409" s="59" t="s">
        <v>801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</v>
      </c>
      <c r="J1409" s="60">
        <f t="shared" si="66"/>
        <v>624.15</v>
      </c>
    </row>
    <row r="1410" ht="15.2" spans="1:10">
      <c r="A1410" s="58" t="s">
        <v>720</v>
      </c>
      <c r="B1410" s="59">
        <v>641</v>
      </c>
      <c r="C1410" s="59">
        <v>1560</v>
      </c>
      <c r="D1410" s="59" t="s">
        <v>801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ht="15.2" spans="1:10">
      <c r="A1411" s="58" t="s">
        <v>2155</v>
      </c>
      <c r="B1411" s="59">
        <v>433.84</v>
      </c>
      <c r="C1411" s="59">
        <v>638</v>
      </c>
      <c r="D1411" s="59" t="s">
        <v>803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ht="15.2" spans="1:10">
      <c r="A1412" s="58" t="s">
        <v>2156</v>
      </c>
      <c r="B1412" s="59">
        <v>517.45</v>
      </c>
      <c r="C1412" s="59">
        <v>799</v>
      </c>
      <c r="D1412" s="59" t="s">
        <v>803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</v>
      </c>
      <c r="J1412" s="60">
        <f t="shared" si="69"/>
        <v>1598</v>
      </c>
    </row>
    <row r="1413" ht="15.2" spans="1:10">
      <c r="A1413" s="58" t="s">
        <v>2157</v>
      </c>
      <c r="B1413" s="59">
        <v>1472.63</v>
      </c>
      <c r="C1413" s="59">
        <v>2499</v>
      </c>
      <c r="D1413" s="59" t="s">
        <v>803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ht="15.2" spans="1:10">
      <c r="A1414" s="58" t="s">
        <v>2158</v>
      </c>
      <c r="B1414" s="59">
        <v>0.85</v>
      </c>
      <c r="C1414" s="59">
        <v>1</v>
      </c>
      <c r="D1414" s="59" t="s">
        <v>815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ht="15.2" spans="1:10">
      <c r="A1415" s="58" t="s">
        <v>2159</v>
      </c>
      <c r="B1415" s="59">
        <v>578</v>
      </c>
      <c r="C1415" s="59">
        <v>1207</v>
      </c>
      <c r="D1415" s="59" t="s">
        <v>801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</v>
      </c>
      <c r="J1415" s="60">
        <f t="shared" si="69"/>
        <v>120.7</v>
      </c>
    </row>
    <row r="1416" ht="15.2" spans="1:10">
      <c r="A1416" s="58" t="s">
        <v>2160</v>
      </c>
      <c r="B1416" s="59">
        <v>973</v>
      </c>
      <c r="C1416" s="59">
        <v>2305</v>
      </c>
      <c r="D1416" s="59" t="s">
        <v>801</v>
      </c>
      <c r="E1416" s="59">
        <v>2.2</v>
      </c>
      <c r="F1416" s="59">
        <v>2.2</v>
      </c>
      <c r="G1416" s="59">
        <v>0</v>
      </c>
      <c r="H1416" s="60">
        <f t="shared" si="67"/>
        <v>2.2</v>
      </c>
      <c r="I1416" s="60">
        <f t="shared" si="68"/>
        <v>2140.6</v>
      </c>
      <c r="J1416" s="60">
        <f t="shared" si="69"/>
        <v>5071</v>
      </c>
    </row>
    <row r="1417" ht="15.2" spans="1:10">
      <c r="A1417" s="58" t="s">
        <v>2161</v>
      </c>
      <c r="B1417" s="59">
        <v>183.6</v>
      </c>
      <c r="C1417" s="59">
        <v>270</v>
      </c>
      <c r="D1417" s="59" t="s">
        <v>803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ht="15.2" spans="1:10">
      <c r="A1418" s="58" t="s">
        <v>2162</v>
      </c>
      <c r="B1418" s="59">
        <v>1184.58</v>
      </c>
      <c r="C1418" s="59">
        <v>1899</v>
      </c>
      <c r="D1418" s="59" t="s">
        <v>803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ht="15.2" spans="1:10">
      <c r="A1419" s="58" t="s">
        <v>2163</v>
      </c>
      <c r="B1419" s="59">
        <v>911.44</v>
      </c>
      <c r="C1419" s="59">
        <v>1399</v>
      </c>
      <c r="D1419" s="59" t="s">
        <v>803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ht="15.2" spans="1:10">
      <c r="A1420" s="58" t="s">
        <v>2164</v>
      </c>
      <c r="B1420" s="59">
        <v>1444.92</v>
      </c>
      <c r="C1420" s="59">
        <v>2199</v>
      </c>
      <c r="D1420" s="59" t="s">
        <v>803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ht="15.2" spans="1:10">
      <c r="A1421" s="58" t="s">
        <v>2165</v>
      </c>
      <c r="B1421" s="59">
        <v>2731.54</v>
      </c>
      <c r="C1421" s="59">
        <v>4499</v>
      </c>
      <c r="D1421" s="59" t="s">
        <v>803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ht="15.2" spans="1:10">
      <c r="A1422" s="58" t="s">
        <v>2166</v>
      </c>
      <c r="B1422" s="59">
        <v>525</v>
      </c>
      <c r="C1422" s="59">
        <v>1102</v>
      </c>
      <c r="D1422" s="59" t="s">
        <v>801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ht="15.2" spans="1:10">
      <c r="A1423" s="58" t="s">
        <v>2167</v>
      </c>
      <c r="B1423" s="59">
        <v>495</v>
      </c>
      <c r="C1423" s="59">
        <v>1040</v>
      </c>
      <c r="D1423" s="59" t="s">
        <v>801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ht="15.2" spans="1:10">
      <c r="A1424" s="58" t="s">
        <v>2168</v>
      </c>
      <c r="B1424" s="59">
        <v>1481.02</v>
      </c>
      <c r="C1424" s="59">
        <v>2299</v>
      </c>
      <c r="D1424" s="59" t="s">
        <v>803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ht="15.2" spans="1:10">
      <c r="A1425" s="58" t="s">
        <v>2169</v>
      </c>
      <c r="B1425" s="59">
        <v>756</v>
      </c>
      <c r="C1425" s="59">
        <v>1709</v>
      </c>
      <c r="D1425" s="59" t="s">
        <v>801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ht="15.2" spans="1:10">
      <c r="A1426" s="58" t="s">
        <v>2170</v>
      </c>
      <c r="B1426" s="59">
        <v>4124.41</v>
      </c>
      <c r="C1426" s="59">
        <v>6999</v>
      </c>
      <c r="D1426" s="59" t="s">
        <v>803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ht="15.2" spans="1:10">
      <c r="A1427" s="58" t="s">
        <v>2171</v>
      </c>
      <c r="B1427" s="59">
        <v>399</v>
      </c>
      <c r="C1427" s="59">
        <v>838</v>
      </c>
      <c r="D1427" s="59" t="s">
        <v>801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</v>
      </c>
      <c r="J1427" s="60">
        <f t="shared" si="69"/>
        <v>2681.6</v>
      </c>
    </row>
    <row r="1428" ht="15.2" spans="1:10">
      <c r="A1428" s="58" t="s">
        <v>2172</v>
      </c>
      <c r="B1428" s="59">
        <v>1295.84</v>
      </c>
      <c r="C1428" s="59">
        <v>2199</v>
      </c>
      <c r="D1428" s="59" t="s">
        <v>803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1295.84</v>
      </c>
      <c r="J1428" s="60">
        <f t="shared" si="69"/>
        <v>2199</v>
      </c>
    </row>
    <row r="1429" ht="15.2" spans="1:10">
      <c r="A1429" s="58" t="s">
        <v>2173</v>
      </c>
      <c r="B1429" s="59">
        <v>211</v>
      </c>
      <c r="C1429" s="59">
        <v>306</v>
      </c>
      <c r="D1429" s="59" t="s">
        <v>801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ht="15.2" spans="1:10">
      <c r="A1430" s="58" t="s">
        <v>2174</v>
      </c>
      <c r="B1430" s="59">
        <v>4249.39</v>
      </c>
      <c r="C1430" s="59">
        <v>6999</v>
      </c>
      <c r="D1430" s="59" t="s">
        <v>803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</v>
      </c>
      <c r="J1430" s="60">
        <f t="shared" si="69"/>
        <v>13998</v>
      </c>
    </row>
    <row r="1431" ht="15.2" spans="1:10">
      <c r="A1431" s="58" t="s">
        <v>2175</v>
      </c>
      <c r="B1431" s="59">
        <v>1313.5</v>
      </c>
      <c r="C1431" s="59">
        <v>1999</v>
      </c>
      <c r="D1431" s="59" t="s">
        <v>803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ht="15.2" spans="1:10">
      <c r="A1432" s="58" t="s">
        <v>2176</v>
      </c>
      <c r="B1432" s="59">
        <v>525</v>
      </c>
      <c r="C1432" s="59">
        <v>1103</v>
      </c>
      <c r="D1432" s="59" t="s">
        <v>801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ht="15.2" spans="1:10">
      <c r="A1433" s="58" t="s">
        <v>2177</v>
      </c>
      <c r="B1433" s="59">
        <v>1295.84</v>
      </c>
      <c r="C1433" s="59">
        <v>2199</v>
      </c>
      <c r="D1433" s="59" t="s">
        <v>803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ht="15.2" spans="1:10">
      <c r="A1434" s="58" t="s">
        <v>251</v>
      </c>
      <c r="B1434" s="59">
        <v>499</v>
      </c>
      <c r="C1434" s="59">
        <v>1117</v>
      </c>
      <c r="D1434" s="59" t="s">
        <v>801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3542.9</v>
      </c>
      <c r="J1434" s="60">
        <f t="shared" si="69"/>
        <v>7930.7</v>
      </c>
    </row>
    <row r="1435" ht="15.2" spans="1:10">
      <c r="A1435" s="58" t="s">
        <v>2178</v>
      </c>
      <c r="B1435" s="59">
        <v>4249.39</v>
      </c>
      <c r="C1435" s="59">
        <v>6999</v>
      </c>
      <c r="D1435" s="59" t="s">
        <v>803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</v>
      </c>
      <c r="J1435" s="60">
        <f t="shared" si="69"/>
        <v>6999</v>
      </c>
    </row>
    <row r="1436" ht="15.2" spans="1:10">
      <c r="A1436" s="58" t="s">
        <v>2179</v>
      </c>
      <c r="B1436" s="59">
        <v>649</v>
      </c>
      <c r="C1436" s="59">
        <v>1447</v>
      </c>
      <c r="D1436" s="59" t="s">
        <v>801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3111.05</v>
      </c>
    </row>
    <row r="1437" ht="15.2" spans="1:10">
      <c r="A1437" s="58" t="s">
        <v>2180</v>
      </c>
      <c r="B1437" s="59">
        <v>1444.92</v>
      </c>
      <c r="C1437" s="59">
        <v>2199</v>
      </c>
      <c r="D1437" s="59" t="s">
        <v>803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ht="15.2" spans="1:10">
      <c r="A1438" s="58" t="s">
        <v>2181</v>
      </c>
      <c r="B1438" s="59">
        <v>1092.25</v>
      </c>
      <c r="C1438" s="59">
        <v>1799</v>
      </c>
      <c r="D1438" s="59" t="s">
        <v>803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ht="15.2" spans="1:10">
      <c r="A1439" s="58" t="s">
        <v>2182</v>
      </c>
      <c r="B1439" s="59">
        <v>1295.84</v>
      </c>
      <c r="C1439" s="59">
        <v>2199</v>
      </c>
      <c r="D1439" s="59" t="s">
        <v>803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ht="15.2" spans="1:10">
      <c r="A1440" s="58" t="s">
        <v>2183</v>
      </c>
      <c r="B1440" s="59">
        <v>1092.25</v>
      </c>
      <c r="C1440" s="59">
        <v>1799</v>
      </c>
      <c r="D1440" s="59" t="s">
        <v>803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ht="15.2" spans="1:10">
      <c r="A1441" s="58" t="s">
        <v>2184</v>
      </c>
      <c r="B1441" s="59">
        <v>1177.98</v>
      </c>
      <c r="C1441" s="59">
        <v>1999</v>
      </c>
      <c r="D1441" s="59" t="s">
        <v>803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ht="15.2" spans="1:10">
      <c r="A1442" s="58" t="s">
        <v>2185</v>
      </c>
      <c r="B1442" s="59">
        <v>1274.39</v>
      </c>
      <c r="C1442" s="59">
        <v>2099</v>
      </c>
      <c r="D1442" s="59" t="s">
        <v>803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ht="15.2" spans="1:10">
      <c r="A1443" s="58" t="s">
        <v>2186</v>
      </c>
      <c r="B1443" s="59">
        <v>1170.5</v>
      </c>
      <c r="C1443" s="59">
        <v>1799</v>
      </c>
      <c r="D1443" s="59" t="s">
        <v>803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ht="15.2" spans="1:10">
      <c r="A1444" s="58" t="s">
        <v>2187</v>
      </c>
      <c r="B1444" s="59">
        <v>1092.25</v>
      </c>
      <c r="C1444" s="59">
        <v>1799</v>
      </c>
      <c r="D1444" s="59" t="s">
        <v>803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ht="15.2" spans="1:10">
      <c r="A1445" s="58" t="s">
        <v>2188</v>
      </c>
      <c r="B1445" s="59">
        <v>1399</v>
      </c>
      <c r="C1445" s="59">
        <v>3185</v>
      </c>
      <c r="D1445" s="59" t="s">
        <v>801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ht="15.2" spans="1:10">
      <c r="A1446" s="58" t="s">
        <v>2189</v>
      </c>
      <c r="B1446" s="59">
        <v>1638.68</v>
      </c>
      <c r="C1446" s="59">
        <v>2699</v>
      </c>
      <c r="D1446" s="59" t="s">
        <v>803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ht="15.2" spans="1:10">
      <c r="A1447" s="58" t="s">
        <v>2190</v>
      </c>
      <c r="B1447" s="59">
        <v>1456.54</v>
      </c>
      <c r="C1447" s="59">
        <v>2399</v>
      </c>
      <c r="D1447" s="59" t="s">
        <v>803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ht="15.2" spans="1:10">
      <c r="A1448" s="58" t="s">
        <v>2191</v>
      </c>
      <c r="B1448" s="59">
        <v>1931.96</v>
      </c>
      <c r="C1448" s="59">
        <v>2999</v>
      </c>
      <c r="D1448" s="59" t="s">
        <v>803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ht="15.2" spans="1:10">
      <c r="A1449" s="58" t="s">
        <v>282</v>
      </c>
      <c r="B1449" s="59">
        <v>2300</v>
      </c>
      <c r="C1449" s="59">
        <v>4738</v>
      </c>
      <c r="D1449" s="59" t="s">
        <v>801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ht="15.2" spans="1:10">
      <c r="A1450" s="58" t="s">
        <v>2192</v>
      </c>
      <c r="B1450" s="59">
        <v>1213.68</v>
      </c>
      <c r="C1450" s="59">
        <v>1999</v>
      </c>
      <c r="D1450" s="59" t="s">
        <v>803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ht="15.2" spans="1:10">
      <c r="A1451" s="58" t="s">
        <v>2193</v>
      </c>
      <c r="B1451" s="59">
        <v>1116.38</v>
      </c>
      <c r="C1451" s="59">
        <v>1699</v>
      </c>
      <c r="D1451" s="59" t="s">
        <v>803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</v>
      </c>
      <c r="J1451" s="60">
        <f t="shared" si="69"/>
        <v>1699</v>
      </c>
    </row>
    <row r="1452" ht="15.2" spans="1:10">
      <c r="A1452" s="58" t="s">
        <v>2194</v>
      </c>
      <c r="B1452" s="59">
        <v>1295.84</v>
      </c>
      <c r="C1452" s="59">
        <v>2199</v>
      </c>
      <c r="D1452" s="59" t="s">
        <v>803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ht="15.2" spans="1:10">
      <c r="A1453" s="58" t="s">
        <v>182</v>
      </c>
      <c r="B1453" s="59">
        <v>564</v>
      </c>
      <c r="C1453" s="59">
        <v>1387</v>
      </c>
      <c r="D1453" s="59" t="s">
        <v>801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</v>
      </c>
      <c r="J1453" s="60">
        <f t="shared" si="69"/>
        <v>69.35</v>
      </c>
    </row>
    <row r="1454" ht="15.2" spans="1:10">
      <c r="A1454" s="58" t="s">
        <v>2195</v>
      </c>
      <c r="B1454" s="59">
        <v>0</v>
      </c>
      <c r="C1454" s="59">
        <v>0</v>
      </c>
      <c r="D1454" s="59" t="s">
        <v>815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ht="15.2" spans="1:10">
      <c r="A1455" s="58" t="s">
        <v>2196</v>
      </c>
      <c r="B1455" s="59">
        <v>325</v>
      </c>
      <c r="C1455" s="59">
        <v>683</v>
      </c>
      <c r="D1455" s="59" t="s">
        <v>801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227.5</v>
      </c>
      <c r="J1455" s="60">
        <f t="shared" si="69"/>
        <v>478.1</v>
      </c>
    </row>
    <row r="1456" ht="15.2" spans="1:10">
      <c r="A1456" s="58" t="s">
        <v>2197</v>
      </c>
      <c r="B1456" s="59">
        <v>1481.02</v>
      </c>
      <c r="C1456" s="59">
        <v>2299</v>
      </c>
      <c r="D1456" s="59" t="s">
        <v>803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ht="15.2" spans="1:10">
      <c r="A1457" s="58" t="s">
        <v>2198</v>
      </c>
      <c r="B1457" s="59">
        <v>224</v>
      </c>
      <c r="C1457" s="59">
        <v>460</v>
      </c>
      <c r="D1457" s="59" t="s">
        <v>801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</v>
      </c>
      <c r="J1457" s="60">
        <f t="shared" si="69"/>
        <v>92</v>
      </c>
    </row>
    <row r="1458" ht="15.2" spans="1:10">
      <c r="A1458" s="58" t="s">
        <v>2199</v>
      </c>
      <c r="B1458" s="59">
        <v>1379.21</v>
      </c>
      <c r="C1458" s="59">
        <v>2099</v>
      </c>
      <c r="D1458" s="59" t="s">
        <v>803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ht="15.2" spans="1:10">
      <c r="A1459" s="58" t="s">
        <v>2200</v>
      </c>
      <c r="B1459" s="59">
        <v>2299.12</v>
      </c>
      <c r="C1459" s="59">
        <v>3499</v>
      </c>
      <c r="D1459" s="59" t="s">
        <v>803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ht="15.2" spans="1:10">
      <c r="A1460" s="58" t="s">
        <v>2201</v>
      </c>
      <c r="B1460" s="59">
        <v>1472.63</v>
      </c>
      <c r="C1460" s="59">
        <v>2499</v>
      </c>
      <c r="D1460" s="59" t="s">
        <v>803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ht="15.2" spans="1:10">
      <c r="A1461" s="58" t="s">
        <v>2202</v>
      </c>
      <c r="B1461" s="59">
        <v>319</v>
      </c>
      <c r="C1461" s="59">
        <v>705</v>
      </c>
      <c r="D1461" s="59" t="s">
        <v>801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ht="15.2" spans="1:10">
      <c r="A1462" s="58" t="s">
        <v>2203</v>
      </c>
      <c r="B1462" s="59">
        <v>345</v>
      </c>
      <c r="C1462" s="59">
        <v>745</v>
      </c>
      <c r="D1462" s="59" t="s">
        <v>801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ht="15.2" spans="1:10">
      <c r="A1463" s="58" t="s">
        <v>2204</v>
      </c>
      <c r="B1463" s="59">
        <v>409</v>
      </c>
      <c r="C1463" s="59">
        <v>859</v>
      </c>
      <c r="D1463" s="59" t="s">
        <v>801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</v>
      </c>
      <c r="J1463" s="60">
        <f t="shared" si="69"/>
        <v>171.8</v>
      </c>
    </row>
    <row r="1464" ht="15.2" spans="1:10">
      <c r="A1464" s="58" t="s">
        <v>2205</v>
      </c>
      <c r="B1464" s="59">
        <v>1638.68</v>
      </c>
      <c r="C1464" s="59">
        <v>2699</v>
      </c>
      <c r="D1464" s="59" t="s">
        <v>803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ht="15.2" spans="1:10">
      <c r="A1465" s="58" t="s">
        <v>2206</v>
      </c>
      <c r="B1465" s="59">
        <v>1416.6</v>
      </c>
      <c r="C1465" s="59">
        <v>2199</v>
      </c>
      <c r="D1465" s="59" t="s">
        <v>803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ht="15.2" spans="1:10">
      <c r="A1466" s="58" t="s">
        <v>2207</v>
      </c>
      <c r="B1466" s="59">
        <v>984.96</v>
      </c>
      <c r="C1466" s="59">
        <v>1499</v>
      </c>
      <c r="D1466" s="59" t="s">
        <v>803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ht="15.2" spans="1:10">
      <c r="A1467" s="58" t="s">
        <v>2208</v>
      </c>
      <c r="B1467" s="59">
        <v>296</v>
      </c>
      <c r="C1467" s="59">
        <v>670</v>
      </c>
      <c r="D1467" s="59" t="s">
        <v>801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ht="15.2" spans="1:10">
      <c r="A1468" s="58" t="s">
        <v>2209</v>
      </c>
      <c r="B1468" s="59">
        <v>1395.82</v>
      </c>
      <c r="C1468" s="59">
        <v>2299</v>
      </c>
      <c r="D1468" s="59" t="s">
        <v>803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ht="15.2" spans="1:10">
      <c r="A1469" s="58" t="s">
        <v>2210</v>
      </c>
      <c r="B1469" s="59">
        <v>1182.09</v>
      </c>
      <c r="C1469" s="59">
        <v>1799</v>
      </c>
      <c r="D1469" s="59" t="s">
        <v>803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ht="15.2" spans="1:10">
      <c r="A1470" s="58" t="s">
        <v>2211</v>
      </c>
      <c r="B1470" s="59">
        <v>1576.34</v>
      </c>
      <c r="C1470" s="59">
        <v>2399</v>
      </c>
      <c r="D1470" s="59" t="s">
        <v>803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ht="15.2" spans="1:10">
      <c r="A1471" s="58" t="s">
        <v>2212</v>
      </c>
      <c r="B1471" s="59">
        <v>1280.23</v>
      </c>
      <c r="C1471" s="59">
        <v>1999</v>
      </c>
      <c r="D1471" s="59" t="s">
        <v>803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ht="15.2" spans="1:10">
      <c r="A1472" s="58" t="s">
        <v>2213</v>
      </c>
      <c r="B1472" s="59">
        <v>1003</v>
      </c>
      <c r="C1472" s="59">
        <v>2520</v>
      </c>
      <c r="D1472" s="59" t="s">
        <v>801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ht="15.2" spans="1:10">
      <c r="A1473" s="58" t="s">
        <v>2214</v>
      </c>
      <c r="B1473" s="59">
        <v>293</v>
      </c>
      <c r="C1473" s="59">
        <v>650</v>
      </c>
      <c r="D1473" s="59" t="s">
        <v>801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ht="15.2" spans="1:10">
      <c r="A1474" s="58" t="s">
        <v>2215</v>
      </c>
      <c r="B1474" s="59">
        <v>512</v>
      </c>
      <c r="C1474" s="59">
        <v>1030</v>
      </c>
      <c r="D1474" s="59" t="s">
        <v>801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ht="15.2" spans="1:10">
      <c r="A1475" s="58" t="s">
        <v>2216</v>
      </c>
      <c r="B1475" s="59">
        <v>4856.54</v>
      </c>
      <c r="C1475" s="59">
        <v>7999</v>
      </c>
      <c r="D1475" s="59" t="s">
        <v>803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ht="15.2" spans="1:10">
      <c r="A1476" s="58" t="s">
        <v>2217</v>
      </c>
      <c r="B1476" s="59">
        <v>656.42</v>
      </c>
      <c r="C1476" s="59">
        <v>999</v>
      </c>
      <c r="D1476" s="59" t="s">
        <v>803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ht="15.2" spans="1:10">
      <c r="A1477" s="58" t="s">
        <v>2218</v>
      </c>
      <c r="B1477" s="59">
        <v>1030.08</v>
      </c>
      <c r="C1477" s="59">
        <v>1599</v>
      </c>
      <c r="D1477" s="59" t="s">
        <v>803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ht="15.2" spans="1:10">
      <c r="A1478" s="58" t="s">
        <v>315</v>
      </c>
      <c r="B1478" s="59">
        <v>396</v>
      </c>
      <c r="C1478" s="59">
        <v>924</v>
      </c>
      <c r="D1478" s="59" t="s">
        <v>801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2587.2</v>
      </c>
    </row>
    <row r="1479" ht="15.2" spans="1:10">
      <c r="A1479" s="58" t="s">
        <v>2219</v>
      </c>
      <c r="B1479" s="59">
        <v>298</v>
      </c>
      <c r="C1479" s="59">
        <v>674</v>
      </c>
      <c r="D1479" s="59" t="s">
        <v>801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ht="15.2" spans="1:10">
      <c r="A1480" s="58" t="s">
        <v>2220</v>
      </c>
      <c r="B1480" s="59">
        <v>1247.8</v>
      </c>
      <c r="C1480" s="59">
        <v>1899</v>
      </c>
      <c r="D1480" s="59" t="s">
        <v>803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ht="15.2" spans="1:10">
      <c r="A1481" s="58" t="s">
        <v>2221</v>
      </c>
      <c r="B1481" s="59">
        <v>1638.68</v>
      </c>
      <c r="C1481" s="59">
        <v>2699</v>
      </c>
      <c r="D1481" s="59" t="s">
        <v>803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ht="15.2" spans="1:10">
      <c r="A1482" s="58" t="s">
        <v>2222</v>
      </c>
      <c r="B1482" s="59">
        <v>293</v>
      </c>
      <c r="C1482" s="59">
        <v>554</v>
      </c>
      <c r="D1482" s="59" t="s">
        <v>801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ht="15.2" spans="1:10">
      <c r="A1483" s="58" t="s">
        <v>2223</v>
      </c>
      <c r="B1483" s="59">
        <v>1638.68</v>
      </c>
      <c r="C1483" s="59">
        <v>2699</v>
      </c>
      <c r="D1483" s="59" t="s">
        <v>803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ht="15.2" spans="1:10">
      <c r="A1484" s="58" t="s">
        <v>2224</v>
      </c>
      <c r="B1484" s="59">
        <v>904.11</v>
      </c>
      <c r="C1484" s="59">
        <v>1399</v>
      </c>
      <c r="D1484" s="59" t="s">
        <v>803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ht="15.2" spans="1:10">
      <c r="A1485" s="58" t="s">
        <v>2225</v>
      </c>
      <c r="B1485" s="59">
        <v>970.82</v>
      </c>
      <c r="C1485" s="59">
        <v>1599</v>
      </c>
      <c r="D1485" s="59" t="s">
        <v>803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ht="15.2" spans="1:10">
      <c r="A1486" s="58" t="s">
        <v>2226</v>
      </c>
      <c r="B1486" s="59">
        <v>1213.68</v>
      </c>
      <c r="C1486" s="59">
        <v>1999</v>
      </c>
      <c r="D1486" s="59" t="s">
        <v>803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ht="15.2" spans="1:10">
      <c r="A1487" s="58" t="s">
        <v>2227</v>
      </c>
      <c r="B1487" s="59">
        <v>441.45</v>
      </c>
      <c r="C1487" s="59">
        <v>1007</v>
      </c>
      <c r="D1487" s="59" t="s">
        <v>801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5959.575</v>
      </c>
      <c r="J1487" s="60">
        <f t="shared" si="72"/>
        <v>13594.5</v>
      </c>
    </row>
    <row r="1488" ht="15.2" spans="1:10">
      <c r="A1488" s="58" t="s">
        <v>2228</v>
      </c>
      <c r="B1488" s="59">
        <v>1416.6</v>
      </c>
      <c r="C1488" s="59">
        <v>2199</v>
      </c>
      <c r="D1488" s="59" t="s">
        <v>803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ht="15.2" spans="1:10">
      <c r="A1489" s="58" t="s">
        <v>2229</v>
      </c>
      <c r="B1489" s="59">
        <v>242</v>
      </c>
      <c r="C1489" s="59">
        <v>570</v>
      </c>
      <c r="D1489" s="59" t="s">
        <v>801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</v>
      </c>
      <c r="J1489" s="60">
        <f t="shared" si="72"/>
        <v>741</v>
      </c>
    </row>
    <row r="1490" ht="15.2" spans="1:10">
      <c r="A1490" s="58" t="s">
        <v>2230</v>
      </c>
      <c r="B1490" s="59">
        <v>1649.41</v>
      </c>
      <c r="C1490" s="59">
        <v>2799</v>
      </c>
      <c r="D1490" s="59" t="s">
        <v>803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ht="15.2" spans="1:10">
      <c r="A1491" s="58" t="s">
        <v>2231</v>
      </c>
      <c r="B1491" s="59">
        <v>1472.63</v>
      </c>
      <c r="C1491" s="59">
        <v>2499</v>
      </c>
      <c r="D1491" s="59" t="s">
        <v>803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ht="15.2" spans="1:10">
      <c r="A1492" s="58" t="s">
        <v>2232</v>
      </c>
      <c r="B1492" s="59">
        <v>970.78</v>
      </c>
      <c r="C1492" s="59">
        <v>1499</v>
      </c>
      <c r="D1492" s="59" t="s">
        <v>803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ht="15.2" spans="1:10">
      <c r="A1493" s="58" t="s">
        <v>2233</v>
      </c>
      <c r="B1493" s="59">
        <v>525</v>
      </c>
      <c r="C1493" s="59">
        <v>1172</v>
      </c>
      <c r="D1493" s="59" t="s">
        <v>801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ht="15.2" spans="1:10">
      <c r="A1494" s="58" t="s">
        <v>2234</v>
      </c>
      <c r="B1494" s="59">
        <v>1177.98</v>
      </c>
      <c r="C1494" s="59">
        <v>1999</v>
      </c>
      <c r="D1494" s="59" t="s">
        <v>803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ht="15.2" spans="1:10">
      <c r="A1495" s="58" t="s">
        <v>2235</v>
      </c>
      <c r="B1495" s="59">
        <v>1295.84</v>
      </c>
      <c r="C1495" s="59">
        <v>2199</v>
      </c>
      <c r="D1495" s="59" t="s">
        <v>803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1295.84</v>
      </c>
      <c r="J1495" s="60">
        <f t="shared" si="72"/>
        <v>2199</v>
      </c>
    </row>
    <row r="1496" ht="15.2" spans="1:10">
      <c r="A1496" s="58" t="s">
        <v>2236</v>
      </c>
      <c r="B1496" s="59">
        <v>1510.63</v>
      </c>
      <c r="C1496" s="59">
        <v>2299</v>
      </c>
      <c r="D1496" s="59" t="s">
        <v>803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ht="15.2" spans="1:10">
      <c r="A1497" s="58" t="s">
        <v>2237</v>
      </c>
      <c r="B1497" s="59">
        <v>1638.68</v>
      </c>
      <c r="C1497" s="59">
        <v>2699</v>
      </c>
      <c r="D1497" s="59" t="s">
        <v>803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ht="15.2" spans="1:10">
      <c r="A1498" s="58" t="s">
        <v>2238</v>
      </c>
      <c r="B1498" s="59">
        <v>899</v>
      </c>
      <c r="C1498" s="59">
        <v>1888</v>
      </c>
      <c r="D1498" s="59" t="s">
        <v>801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ht="15.2" spans="1:10">
      <c r="A1499" s="58" t="s">
        <v>2239</v>
      </c>
      <c r="B1499" s="59">
        <v>2167.7</v>
      </c>
      <c r="C1499" s="59">
        <v>3299</v>
      </c>
      <c r="D1499" s="59" t="s">
        <v>803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ht="15.2" spans="1:10">
      <c r="A1500" s="58" t="s">
        <v>2240</v>
      </c>
      <c r="B1500" s="59">
        <v>1313.5</v>
      </c>
      <c r="C1500" s="59">
        <v>1999</v>
      </c>
      <c r="D1500" s="59" t="s">
        <v>803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ht="15.2" spans="1:10">
      <c r="A1501" s="58" t="s">
        <v>2241</v>
      </c>
      <c r="B1501" s="59">
        <v>1773.46</v>
      </c>
      <c r="C1501" s="59">
        <v>2699</v>
      </c>
      <c r="D1501" s="59" t="s">
        <v>803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ht="15.2" spans="1:10">
      <c r="A1502" s="58" t="s">
        <v>2242</v>
      </c>
      <c r="B1502" s="59">
        <v>374</v>
      </c>
      <c r="C1502" s="59">
        <v>951</v>
      </c>
      <c r="D1502" s="59" t="s">
        <v>801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903.45</v>
      </c>
    </row>
    <row r="1503" ht="15.2" spans="1:10">
      <c r="A1503" s="58" t="s">
        <v>2243</v>
      </c>
      <c r="B1503" s="59">
        <v>1247.8</v>
      </c>
      <c r="C1503" s="59">
        <v>1899</v>
      </c>
      <c r="D1503" s="59" t="s">
        <v>803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ht="15.2" spans="1:10">
      <c r="A1504" s="58" t="s">
        <v>2244</v>
      </c>
      <c r="B1504" s="59">
        <v>490</v>
      </c>
      <c r="C1504" s="59">
        <v>1207</v>
      </c>
      <c r="D1504" s="59" t="s">
        <v>801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ht="15.2" spans="1:10">
      <c r="A1505" s="58" t="s">
        <v>2245</v>
      </c>
      <c r="B1505" s="59">
        <v>1249</v>
      </c>
      <c r="C1505" s="59">
        <v>3279</v>
      </c>
      <c r="D1505" s="59" t="s">
        <v>801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2295.3</v>
      </c>
    </row>
    <row r="1506" ht="15.2" spans="1:10">
      <c r="A1506" s="58" t="s">
        <v>263</v>
      </c>
      <c r="B1506" s="59">
        <v>400</v>
      </c>
      <c r="C1506" s="59">
        <v>894</v>
      </c>
      <c r="D1506" s="59" t="s">
        <v>801</v>
      </c>
      <c r="E1506" s="59">
        <v>4.4</v>
      </c>
      <c r="F1506" s="59">
        <v>4.4</v>
      </c>
      <c r="G1506" s="59">
        <v>0</v>
      </c>
      <c r="H1506" s="60">
        <f t="shared" si="73"/>
        <v>4.4</v>
      </c>
      <c r="I1506" s="60">
        <f t="shared" si="71"/>
        <v>1760</v>
      </c>
      <c r="J1506" s="60">
        <f t="shared" si="72"/>
        <v>3933.6</v>
      </c>
    </row>
    <row r="1507" ht="15.2" spans="1:10">
      <c r="A1507" s="58" t="s">
        <v>2246</v>
      </c>
      <c r="B1507" s="59">
        <v>511</v>
      </c>
      <c r="C1507" s="59">
        <v>1187</v>
      </c>
      <c r="D1507" s="59" t="s">
        <v>801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ht="15.2" spans="1:10">
      <c r="A1508" s="58" t="s">
        <v>2247</v>
      </c>
      <c r="B1508" s="59">
        <v>3457.05</v>
      </c>
      <c r="C1508" s="59">
        <v>5999</v>
      </c>
      <c r="D1508" s="59" t="s">
        <v>803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ht="15.2" spans="1:10">
      <c r="A1509" s="58" t="s">
        <v>2248</v>
      </c>
      <c r="B1509" s="59">
        <v>1354.77</v>
      </c>
      <c r="C1509" s="59">
        <v>2299</v>
      </c>
      <c r="D1509" s="59" t="s">
        <v>803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ht="15.2" spans="1:10">
      <c r="A1510" s="58" t="s">
        <v>2249</v>
      </c>
      <c r="B1510" s="59">
        <v>548</v>
      </c>
      <c r="C1510" s="59">
        <v>1362</v>
      </c>
      <c r="D1510" s="59" t="s">
        <v>801</v>
      </c>
      <c r="E1510" s="59">
        <v>2.2</v>
      </c>
      <c r="F1510" s="59">
        <v>2.2</v>
      </c>
      <c r="G1510" s="59">
        <v>0</v>
      </c>
      <c r="H1510" s="60">
        <f t="shared" si="73"/>
        <v>2.2</v>
      </c>
      <c r="I1510" s="60">
        <f t="shared" si="71"/>
        <v>1205.6</v>
      </c>
      <c r="J1510" s="60">
        <f t="shared" si="72"/>
        <v>2996.4</v>
      </c>
    </row>
    <row r="1511" ht="15.2" spans="1:10">
      <c r="A1511" s="58" t="s">
        <v>2250</v>
      </c>
      <c r="B1511" s="59">
        <v>1213.68</v>
      </c>
      <c r="C1511" s="59">
        <v>1999</v>
      </c>
      <c r="D1511" s="59" t="s">
        <v>803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ht="15.2" spans="1:10">
      <c r="A1512" s="58" t="s">
        <v>2251</v>
      </c>
      <c r="B1512" s="59">
        <v>984.96</v>
      </c>
      <c r="C1512" s="59">
        <v>1499</v>
      </c>
      <c r="D1512" s="59" t="s">
        <v>803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ht="15.2" spans="1:10">
      <c r="A1513" s="58" t="s">
        <v>2252</v>
      </c>
      <c r="B1513" s="59">
        <v>449</v>
      </c>
      <c r="C1513" s="59">
        <v>1157</v>
      </c>
      <c r="D1513" s="59" t="s">
        <v>801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269.4</v>
      </c>
      <c r="J1513" s="60">
        <f t="shared" si="72"/>
        <v>694.2</v>
      </c>
    </row>
    <row r="1514" ht="15.2" spans="1:10">
      <c r="A1514" s="58" t="s">
        <v>2253</v>
      </c>
      <c r="B1514" s="59">
        <v>2299.12</v>
      </c>
      <c r="C1514" s="59">
        <v>3499</v>
      </c>
      <c r="D1514" s="59" t="s">
        <v>803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ht="15.2" spans="1:10">
      <c r="A1515" s="58" t="s">
        <v>2254</v>
      </c>
      <c r="B1515" s="59">
        <v>1274.39</v>
      </c>
      <c r="C1515" s="59">
        <v>2099</v>
      </c>
      <c r="D1515" s="59" t="s">
        <v>803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</v>
      </c>
      <c r="J1515" s="60">
        <f t="shared" si="72"/>
        <v>4198</v>
      </c>
    </row>
    <row r="1516" ht="15.2" spans="1:10">
      <c r="A1516" s="58" t="s">
        <v>2255</v>
      </c>
      <c r="B1516" s="59">
        <v>523</v>
      </c>
      <c r="C1516" s="59">
        <v>1263</v>
      </c>
      <c r="D1516" s="59" t="s">
        <v>801</v>
      </c>
      <c r="E1516" s="59">
        <v>9.2</v>
      </c>
      <c r="F1516" s="59">
        <v>9.2</v>
      </c>
      <c r="G1516" s="59">
        <v>0</v>
      </c>
      <c r="H1516" s="60">
        <f t="shared" si="73"/>
        <v>9.2</v>
      </c>
      <c r="I1516" s="60">
        <f t="shared" si="71"/>
        <v>4811.6</v>
      </c>
      <c r="J1516" s="60">
        <f t="shared" si="72"/>
        <v>11619.6</v>
      </c>
    </row>
    <row r="1517" ht="15.2" spans="1:10">
      <c r="A1517" s="58" t="s">
        <v>2256</v>
      </c>
      <c r="B1517" s="59">
        <v>409</v>
      </c>
      <c r="C1517" s="59">
        <v>947</v>
      </c>
      <c r="D1517" s="59" t="s">
        <v>801</v>
      </c>
      <c r="E1517" s="59">
        <v>0.55</v>
      </c>
      <c r="F1517" s="59">
        <v>0.55</v>
      </c>
      <c r="G1517" s="59">
        <v>0</v>
      </c>
      <c r="H1517" s="60">
        <f t="shared" si="73"/>
        <v>0.55</v>
      </c>
      <c r="I1517" s="60">
        <f t="shared" si="71"/>
        <v>224.95</v>
      </c>
      <c r="J1517" s="60">
        <f t="shared" si="72"/>
        <v>520.85</v>
      </c>
    </row>
    <row r="1518" ht="15.2" spans="1:10">
      <c r="A1518" s="58" t="s">
        <v>2257</v>
      </c>
      <c r="B1518" s="59">
        <v>1820.82</v>
      </c>
      <c r="C1518" s="59">
        <v>2999</v>
      </c>
      <c r="D1518" s="59" t="s">
        <v>803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ht="15.2" spans="1:10">
      <c r="A1519" s="58" t="s">
        <v>2258</v>
      </c>
      <c r="B1519" s="59">
        <v>5463.68</v>
      </c>
      <c r="C1519" s="59">
        <v>8999</v>
      </c>
      <c r="D1519" s="59" t="s">
        <v>803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ht="15.2" spans="1:10">
      <c r="A1520" s="58" t="s">
        <v>2259</v>
      </c>
      <c r="B1520" s="59">
        <v>1510.63</v>
      </c>
      <c r="C1520" s="59">
        <v>2299</v>
      </c>
      <c r="D1520" s="59" t="s">
        <v>803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ht="15.2" spans="1:10">
      <c r="A1521" s="58" t="s">
        <v>2260</v>
      </c>
      <c r="B1521" s="59">
        <v>2124.4</v>
      </c>
      <c r="C1521" s="59">
        <v>3499</v>
      </c>
      <c r="D1521" s="59" t="s">
        <v>803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ht="15.2" spans="1:10">
      <c r="A1522" s="58" t="s">
        <v>2261</v>
      </c>
      <c r="B1522" s="59">
        <v>1092.25</v>
      </c>
      <c r="C1522" s="59">
        <v>1799</v>
      </c>
      <c r="D1522" s="59" t="s">
        <v>803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ht="15.2" spans="1:10">
      <c r="A1523" s="58" t="s">
        <v>2262</v>
      </c>
      <c r="B1523" s="59">
        <v>1577.96</v>
      </c>
      <c r="C1523" s="59">
        <v>2599</v>
      </c>
      <c r="D1523" s="59" t="s">
        <v>803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ht="15.2" spans="1:10">
      <c r="A1524" s="58" t="s">
        <v>2263</v>
      </c>
      <c r="B1524" s="59">
        <v>196.52</v>
      </c>
      <c r="C1524" s="59">
        <v>289</v>
      </c>
      <c r="D1524" s="59" t="s">
        <v>803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ht="15.2" spans="1:10">
      <c r="A1525" s="58" t="s">
        <v>2264</v>
      </c>
      <c r="B1525" s="59">
        <v>1050.67</v>
      </c>
      <c r="C1525" s="59">
        <v>1599</v>
      </c>
      <c r="D1525" s="59" t="s">
        <v>803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ht="15.2" spans="1:10">
      <c r="A1526" s="58" t="s">
        <v>2265</v>
      </c>
      <c r="B1526" s="59">
        <v>970.78</v>
      </c>
      <c r="C1526" s="59">
        <v>1499</v>
      </c>
      <c r="D1526" s="59" t="s">
        <v>803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ht="15.2" spans="1:10">
      <c r="A1527" s="58" t="s">
        <v>2266</v>
      </c>
      <c r="B1527" s="59">
        <v>1881.54</v>
      </c>
      <c r="C1527" s="59">
        <v>3099</v>
      </c>
      <c r="D1527" s="59" t="s">
        <v>803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ht="15.2" spans="1:10">
      <c r="A1528" s="58" t="s">
        <v>2267</v>
      </c>
      <c r="B1528" s="59">
        <v>554</v>
      </c>
      <c r="C1528" s="59">
        <v>1299</v>
      </c>
      <c r="D1528" s="59" t="s">
        <v>801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ht="15.2" spans="1:10">
      <c r="A1529" s="58" t="s">
        <v>2268</v>
      </c>
      <c r="B1529" s="59">
        <v>2254</v>
      </c>
      <c r="C1529" s="59">
        <v>5212</v>
      </c>
      <c r="D1529" s="59" t="s">
        <v>801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ht="15.2" spans="1:10">
      <c r="A1530" s="58" t="s">
        <v>2269</v>
      </c>
      <c r="B1530" s="59">
        <v>465</v>
      </c>
      <c r="C1530" s="59">
        <v>1071</v>
      </c>
      <c r="D1530" s="59" t="s">
        <v>801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ht="15.2" spans="1:10">
      <c r="A1531" s="58" t="s">
        <v>2270</v>
      </c>
      <c r="B1531" s="59">
        <v>1354.77</v>
      </c>
      <c r="C1531" s="59">
        <v>2299</v>
      </c>
      <c r="D1531" s="59" t="s">
        <v>803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ht="15.2" spans="1:10">
      <c r="A1532" s="58" t="s">
        <v>2271</v>
      </c>
      <c r="B1532" s="59">
        <v>776.49</v>
      </c>
      <c r="C1532" s="59">
        <v>1199</v>
      </c>
      <c r="D1532" s="59" t="s">
        <v>803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ht="15.2" spans="1:10">
      <c r="A1533" s="58" t="s">
        <v>2272</v>
      </c>
      <c r="B1533" s="59">
        <v>1287.76</v>
      </c>
      <c r="C1533" s="59">
        <v>1999</v>
      </c>
      <c r="D1533" s="59" t="s">
        <v>803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ht="15.2" spans="1:10">
      <c r="A1534" s="58" t="s">
        <v>2273</v>
      </c>
      <c r="B1534" s="59">
        <v>419</v>
      </c>
      <c r="C1534" s="59">
        <v>735</v>
      </c>
      <c r="D1534" s="59" t="s">
        <v>801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ht="15.2" spans="1:10">
      <c r="A1535" s="58" t="s">
        <v>2274</v>
      </c>
      <c r="B1535" s="59">
        <v>390</v>
      </c>
      <c r="C1535" s="59">
        <v>884</v>
      </c>
      <c r="D1535" s="59" t="s">
        <v>801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ht="15.2" spans="1:10">
      <c r="A1536" s="58" t="s">
        <v>2275</v>
      </c>
      <c r="B1536" s="59">
        <v>1599</v>
      </c>
      <c r="C1536" s="59">
        <v>3855</v>
      </c>
      <c r="D1536" s="59" t="s">
        <v>801</v>
      </c>
      <c r="E1536" s="59">
        <v>4.9</v>
      </c>
      <c r="F1536" s="59">
        <v>4.9</v>
      </c>
      <c r="G1536" s="59">
        <v>0</v>
      </c>
      <c r="H1536" s="60">
        <f t="shared" si="73"/>
        <v>4.9</v>
      </c>
      <c r="I1536" s="60">
        <f t="shared" si="71"/>
        <v>7835.1</v>
      </c>
      <c r="J1536" s="60">
        <f t="shared" si="72"/>
        <v>18889.5</v>
      </c>
    </row>
    <row r="1537" ht="15.2" spans="1:10">
      <c r="A1537" s="58" t="s">
        <v>2276</v>
      </c>
      <c r="B1537" s="59">
        <v>146</v>
      </c>
      <c r="C1537" s="59">
        <v>213</v>
      </c>
      <c r="D1537" s="59" t="s">
        <v>801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ht="15.2" spans="1:10">
      <c r="A1538" s="58" t="s">
        <v>2277</v>
      </c>
      <c r="B1538" s="59">
        <v>495</v>
      </c>
      <c r="C1538" s="59">
        <v>1110</v>
      </c>
      <c r="D1538" s="59" t="s">
        <v>801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ht="15.2" spans="1:10">
      <c r="A1539" s="58" t="s">
        <v>2278</v>
      </c>
      <c r="B1539" s="59">
        <v>4598.9</v>
      </c>
      <c r="C1539" s="59">
        <v>6999</v>
      </c>
      <c r="D1539" s="59" t="s">
        <v>803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ht="15.2" spans="1:10">
      <c r="A1540" s="58" t="s">
        <v>2279</v>
      </c>
      <c r="B1540" s="59">
        <v>820</v>
      </c>
      <c r="C1540" s="59">
        <v>1949</v>
      </c>
      <c r="D1540" s="59" t="s">
        <v>801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</v>
      </c>
    </row>
    <row r="1541" ht="15.2" spans="1:10">
      <c r="A1541" s="58" t="s">
        <v>2280</v>
      </c>
      <c r="B1541" s="59">
        <v>901.24</v>
      </c>
      <c r="C1541" s="59">
        <v>1399</v>
      </c>
      <c r="D1541" s="59" t="s">
        <v>803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ht="15.2" spans="1:10">
      <c r="A1542" s="58" t="s">
        <v>2281</v>
      </c>
      <c r="B1542" s="59">
        <v>425</v>
      </c>
      <c r="C1542" s="59">
        <v>951</v>
      </c>
      <c r="D1542" s="59" t="s">
        <v>801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903.45</v>
      </c>
    </row>
    <row r="1543" ht="15.2" spans="1:10">
      <c r="A1543" s="58" t="s">
        <v>2282</v>
      </c>
      <c r="B1543" s="59">
        <v>517.45</v>
      </c>
      <c r="C1543" s="59">
        <v>799</v>
      </c>
      <c r="D1543" s="59" t="s">
        <v>803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</v>
      </c>
      <c r="J1543" s="60">
        <f t="shared" si="75"/>
        <v>3196</v>
      </c>
    </row>
    <row r="1544" ht="15.2" spans="1:10">
      <c r="A1544" s="58" t="s">
        <v>2283</v>
      </c>
      <c r="B1544" s="59">
        <v>1102</v>
      </c>
      <c r="C1544" s="59">
        <v>2596</v>
      </c>
      <c r="D1544" s="59" t="s">
        <v>801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ht="15.2" spans="1:10">
      <c r="A1545" s="58" t="s">
        <v>2284</v>
      </c>
      <c r="B1545" s="59">
        <v>0</v>
      </c>
      <c r="C1545" s="59">
        <v>0</v>
      </c>
      <c r="D1545" s="59" t="s">
        <v>991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ht="15.2" spans="1:10">
      <c r="A1546" s="58" t="s">
        <v>2285</v>
      </c>
      <c r="B1546" s="59">
        <v>1213.68</v>
      </c>
      <c r="C1546" s="59">
        <v>1999</v>
      </c>
      <c r="D1546" s="59" t="s">
        <v>803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ht="15.2" spans="1:10">
      <c r="A1547" s="58" t="s">
        <v>2286</v>
      </c>
      <c r="B1547" s="59">
        <v>1904.87</v>
      </c>
      <c r="C1547" s="59">
        <v>2899</v>
      </c>
      <c r="D1547" s="59" t="s">
        <v>803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ht="15.2" spans="1:10">
      <c r="A1548" s="58" t="s">
        <v>2287</v>
      </c>
      <c r="B1548" s="59">
        <v>283</v>
      </c>
      <c r="C1548" s="59">
        <v>632</v>
      </c>
      <c r="D1548" s="59" t="s">
        <v>801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ht="15.2" spans="1:10">
      <c r="A1549" s="58" t="s">
        <v>2288</v>
      </c>
      <c r="B1549" s="59">
        <v>317</v>
      </c>
      <c r="C1549" s="59">
        <v>795</v>
      </c>
      <c r="D1549" s="59" t="s">
        <v>801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887.6</v>
      </c>
      <c r="J1549" s="60">
        <f t="shared" si="75"/>
        <v>2226</v>
      </c>
    </row>
    <row r="1550" ht="15.2" spans="1:10">
      <c r="A1550" s="58" t="s">
        <v>2289</v>
      </c>
      <c r="B1550" s="59">
        <v>451</v>
      </c>
      <c r="C1550" s="59">
        <v>938</v>
      </c>
      <c r="D1550" s="59" t="s">
        <v>801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</v>
      </c>
    </row>
    <row r="1551" ht="15.2" spans="1:10">
      <c r="A1551" s="58" t="s">
        <v>2290</v>
      </c>
      <c r="B1551" s="59">
        <v>1395.82</v>
      </c>
      <c r="C1551" s="59">
        <v>2299</v>
      </c>
      <c r="D1551" s="59" t="s">
        <v>803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ht="15.2" spans="1:10">
      <c r="A1552" s="58" t="s">
        <v>2291</v>
      </c>
      <c r="B1552" s="59">
        <v>1395.82</v>
      </c>
      <c r="C1552" s="59">
        <v>2299</v>
      </c>
      <c r="D1552" s="59" t="s">
        <v>803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ht="15.2" spans="1:10">
      <c r="A1553" s="58" t="s">
        <v>2292</v>
      </c>
      <c r="B1553" s="59">
        <v>768</v>
      </c>
      <c r="C1553" s="59">
        <v>1828</v>
      </c>
      <c r="D1553" s="59" t="s">
        <v>801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8524.8</v>
      </c>
      <c r="J1553" s="60">
        <f t="shared" si="75"/>
        <v>20290.8</v>
      </c>
    </row>
    <row r="1554" ht="15.2" spans="1:10">
      <c r="A1554" s="58" t="s">
        <v>2293</v>
      </c>
      <c r="B1554" s="59">
        <v>1576.34</v>
      </c>
      <c r="C1554" s="59">
        <v>2399</v>
      </c>
      <c r="D1554" s="59" t="s">
        <v>803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ht="15.2" spans="1:10">
      <c r="A1555" s="58" t="s">
        <v>2294</v>
      </c>
      <c r="B1555" s="59">
        <v>1177.98</v>
      </c>
      <c r="C1555" s="59">
        <v>1999</v>
      </c>
      <c r="D1555" s="59" t="s">
        <v>803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ht="15.2" spans="1:10">
      <c r="A1556" s="58" t="s">
        <v>2295</v>
      </c>
      <c r="B1556" s="59">
        <v>1609.86</v>
      </c>
      <c r="C1556" s="59">
        <v>2499</v>
      </c>
      <c r="D1556" s="59" t="s">
        <v>803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ht="15.2" spans="1:10">
      <c r="A1557" s="58" t="s">
        <v>2296</v>
      </c>
      <c r="B1557" s="59">
        <v>1707.76</v>
      </c>
      <c r="C1557" s="59">
        <v>2599</v>
      </c>
      <c r="D1557" s="59" t="s">
        <v>803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ht="15.2" spans="1:10">
      <c r="A1558" s="58" t="s">
        <v>2297</v>
      </c>
      <c r="B1558" s="59">
        <v>1335.11</v>
      </c>
      <c r="C1558" s="59">
        <v>2199</v>
      </c>
      <c r="D1558" s="59" t="s">
        <v>803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ht="15.2" spans="1:10">
      <c r="A1559" s="58" t="s">
        <v>2298</v>
      </c>
      <c r="B1559" s="59">
        <v>1152.96</v>
      </c>
      <c r="C1559" s="59">
        <v>1899</v>
      </c>
      <c r="D1559" s="59" t="s">
        <v>803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ht="15.2" spans="1:10">
      <c r="A1560" s="58" t="s">
        <v>2299</v>
      </c>
      <c r="B1560" s="59">
        <v>383.1</v>
      </c>
      <c r="C1560" s="59">
        <v>1125</v>
      </c>
      <c r="D1560" s="59" t="s">
        <v>801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ht="15.2" spans="1:10">
      <c r="A1561" s="58" t="s">
        <v>2300</v>
      </c>
      <c r="B1561" s="59">
        <v>906.02</v>
      </c>
      <c r="C1561" s="59">
        <v>1399</v>
      </c>
      <c r="D1561" s="59" t="s">
        <v>803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ht="15.2" spans="1:10">
      <c r="A1562" s="58" t="s">
        <v>2301</v>
      </c>
      <c r="B1562" s="59">
        <v>1881.54</v>
      </c>
      <c r="C1562" s="59">
        <v>3099</v>
      </c>
      <c r="D1562" s="59" t="s">
        <v>803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ht="15.2" spans="1:10">
      <c r="A1563" s="58" t="s">
        <v>2302</v>
      </c>
      <c r="B1563" s="59">
        <v>1177.98</v>
      </c>
      <c r="C1563" s="59">
        <v>1999</v>
      </c>
      <c r="D1563" s="59" t="s">
        <v>803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ht="15.2" spans="1:10">
      <c r="A1564" s="58" t="s">
        <v>2303</v>
      </c>
      <c r="B1564" s="59">
        <v>1379.21</v>
      </c>
      <c r="C1564" s="59">
        <v>2099</v>
      </c>
      <c r="D1564" s="59" t="s">
        <v>803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ht="15.2" spans="1:10">
      <c r="A1565" s="58" t="s">
        <v>2304</v>
      </c>
      <c r="B1565" s="59">
        <v>1510.63</v>
      </c>
      <c r="C1565" s="59">
        <v>2299</v>
      </c>
      <c r="D1565" s="59" t="s">
        <v>803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ht="15.2" spans="1:10">
      <c r="A1566" s="58" t="s">
        <v>2305</v>
      </c>
      <c r="B1566" s="59">
        <v>1236.91</v>
      </c>
      <c r="C1566" s="59">
        <v>2099</v>
      </c>
      <c r="D1566" s="59" t="s">
        <v>803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ht="15.2" spans="1:10">
      <c r="A1567" s="58" t="s">
        <v>2306</v>
      </c>
      <c r="B1567" s="59">
        <v>1213.68</v>
      </c>
      <c r="C1567" s="59">
        <v>1999</v>
      </c>
      <c r="D1567" s="59" t="s">
        <v>803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ht="15.2" spans="1:10">
      <c r="A1568" s="58" t="s">
        <v>2307</v>
      </c>
      <c r="B1568" s="59">
        <v>911.44</v>
      </c>
      <c r="C1568" s="59">
        <v>1399</v>
      </c>
      <c r="D1568" s="59" t="s">
        <v>803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ht="15.2" spans="1:10">
      <c r="A1569" s="58" t="s">
        <v>2308</v>
      </c>
      <c r="B1569" s="59">
        <v>906.75</v>
      </c>
      <c r="C1569" s="59">
        <v>1399</v>
      </c>
      <c r="D1569" s="59" t="s">
        <v>803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ht="15.2" spans="1:10">
      <c r="A1570" s="58" t="s">
        <v>2309</v>
      </c>
      <c r="B1570" s="59">
        <v>196.52</v>
      </c>
      <c r="C1570" s="59">
        <v>289</v>
      </c>
      <c r="D1570" s="59" t="s">
        <v>803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ht="15.2" spans="1:10">
      <c r="A1571" s="58" t="s">
        <v>2310</v>
      </c>
      <c r="B1571" s="59">
        <v>570.86</v>
      </c>
      <c r="C1571" s="59">
        <v>2675</v>
      </c>
      <c r="D1571" s="59" t="s">
        <v>801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ht="15.2" spans="1:10">
      <c r="A1572" s="58" t="s">
        <v>2311</v>
      </c>
      <c r="B1572" s="59">
        <v>299</v>
      </c>
      <c r="C1572" s="59">
        <v>660</v>
      </c>
      <c r="D1572" s="59" t="s">
        <v>801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1823.9</v>
      </c>
      <c r="J1572" s="60">
        <f t="shared" si="75"/>
        <v>4026</v>
      </c>
    </row>
    <row r="1573" ht="15.2" spans="1:10">
      <c r="A1573" s="58" t="s">
        <v>2312</v>
      </c>
      <c r="B1573" s="59">
        <v>1416.6</v>
      </c>
      <c r="C1573" s="59">
        <v>2199</v>
      </c>
      <c r="D1573" s="59" t="s">
        <v>803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ht="15.2" spans="1:10">
      <c r="A1574" s="58" t="s">
        <v>2313</v>
      </c>
      <c r="B1574" s="59">
        <v>1638.68</v>
      </c>
      <c r="C1574" s="59">
        <v>2699</v>
      </c>
      <c r="D1574" s="59" t="s">
        <v>803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ht="15.2" spans="1:10">
      <c r="A1575" s="58" t="s">
        <v>117</v>
      </c>
      <c r="B1575" s="59">
        <v>478</v>
      </c>
      <c r="C1575" s="59">
        <v>1086</v>
      </c>
      <c r="D1575" s="59" t="s">
        <v>801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10707.2</v>
      </c>
      <c r="J1575" s="60">
        <f t="shared" si="75"/>
        <v>24326.4</v>
      </c>
    </row>
    <row r="1576" ht="15.2" spans="1:10">
      <c r="A1576" s="58" t="s">
        <v>2314</v>
      </c>
      <c r="B1576" s="59">
        <v>1295.84</v>
      </c>
      <c r="C1576" s="59">
        <v>2199</v>
      </c>
      <c r="D1576" s="59" t="s">
        <v>803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ht="15.2" spans="1:10">
      <c r="A1577" s="58" t="s">
        <v>2315</v>
      </c>
      <c r="B1577" s="59">
        <v>646.97</v>
      </c>
      <c r="C1577" s="59">
        <v>999</v>
      </c>
      <c r="D1577" s="59" t="s">
        <v>803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ht="15.2" spans="1:10">
      <c r="A1578" s="58" t="s">
        <v>2316</v>
      </c>
      <c r="B1578" s="59">
        <v>296</v>
      </c>
      <c r="C1578" s="59">
        <v>670</v>
      </c>
      <c r="D1578" s="59" t="s">
        <v>801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938</v>
      </c>
    </row>
    <row r="1579" ht="15.2" spans="1:10">
      <c r="A1579" s="58" t="s">
        <v>2317</v>
      </c>
      <c r="B1579" s="59">
        <v>775</v>
      </c>
      <c r="C1579" s="59">
        <v>1581</v>
      </c>
      <c r="D1579" s="59" t="s">
        <v>801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ht="15.2" spans="1:10">
      <c r="A1580" s="58" t="s">
        <v>2318</v>
      </c>
      <c r="B1580" s="59">
        <v>8499.39</v>
      </c>
      <c r="C1580" s="59">
        <v>13999</v>
      </c>
      <c r="D1580" s="59" t="s">
        <v>803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ht="15.2" spans="1:10">
      <c r="A1581" s="58" t="s">
        <v>2319</v>
      </c>
      <c r="B1581" s="59">
        <v>1379.21</v>
      </c>
      <c r="C1581" s="59">
        <v>2099</v>
      </c>
      <c r="D1581" s="59" t="s">
        <v>803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ht="15.2" spans="1:10">
      <c r="A1582" s="58" t="s">
        <v>2320</v>
      </c>
      <c r="B1582" s="59">
        <v>970.78</v>
      </c>
      <c r="C1582" s="59">
        <v>1499</v>
      </c>
      <c r="D1582" s="59" t="s">
        <v>803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ht="15.2" spans="1:10">
      <c r="A1583" s="58" t="s">
        <v>2321</v>
      </c>
      <c r="B1583" s="59">
        <v>1517.25</v>
      </c>
      <c r="C1583" s="59">
        <v>2499</v>
      </c>
      <c r="D1583" s="59" t="s">
        <v>803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ht="15.2" spans="1:10">
      <c r="A1584" s="58" t="s">
        <v>2322</v>
      </c>
      <c r="B1584" s="59">
        <v>2651.2</v>
      </c>
      <c r="C1584" s="59">
        <v>4499</v>
      </c>
      <c r="D1584" s="59" t="s">
        <v>803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ht="15.2" spans="1:10">
      <c r="A1585" s="58" t="s">
        <v>2323</v>
      </c>
      <c r="B1585" s="59">
        <v>1295.84</v>
      </c>
      <c r="C1585" s="59">
        <v>2199</v>
      </c>
      <c r="D1585" s="59" t="s">
        <v>803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ht="15.2" spans="1:10">
      <c r="A1586" s="58" t="s">
        <v>2324</v>
      </c>
      <c r="B1586" s="59">
        <v>1313.5</v>
      </c>
      <c r="C1586" s="59">
        <v>1999</v>
      </c>
      <c r="D1586" s="59" t="s">
        <v>803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ht="15.2" spans="1:10">
      <c r="A1587" s="58" t="s">
        <v>57</v>
      </c>
      <c r="B1587" s="59">
        <v>1536</v>
      </c>
      <c r="C1587" s="59">
        <v>3582</v>
      </c>
      <c r="D1587" s="59" t="s">
        <v>801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9676.8</v>
      </c>
      <c r="J1587" s="60">
        <f t="shared" si="75"/>
        <v>22566.6</v>
      </c>
    </row>
    <row r="1588" ht="15.2" spans="1:10">
      <c r="A1588" s="58" t="s">
        <v>2325</v>
      </c>
      <c r="B1588" s="59">
        <v>1456.54</v>
      </c>
      <c r="C1588" s="59">
        <v>2399</v>
      </c>
      <c r="D1588" s="59" t="s">
        <v>803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ht="15.2" spans="1:10">
      <c r="A1589" s="58" t="s">
        <v>2326</v>
      </c>
      <c r="B1589" s="59">
        <v>273</v>
      </c>
      <c r="C1589" s="59">
        <v>561</v>
      </c>
      <c r="D1589" s="59" t="s">
        <v>801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81.9</v>
      </c>
      <c r="J1589" s="60">
        <f t="shared" si="75"/>
        <v>168.3</v>
      </c>
    </row>
    <row r="1590" ht="15.2" spans="1:10">
      <c r="A1590" s="58" t="s">
        <v>2327</v>
      </c>
      <c r="B1590" s="59">
        <v>1313.5</v>
      </c>
      <c r="C1590" s="59">
        <v>1999</v>
      </c>
      <c r="D1590" s="59" t="s">
        <v>803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ht="15.2" spans="1:10">
      <c r="A1591" s="58" t="s">
        <v>2328</v>
      </c>
      <c r="B1591" s="59">
        <v>449</v>
      </c>
      <c r="C1591" s="59">
        <v>943</v>
      </c>
      <c r="D1591" s="59" t="s">
        <v>801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</v>
      </c>
      <c r="J1591" s="60">
        <f t="shared" si="75"/>
        <v>94.3</v>
      </c>
    </row>
    <row r="1592" ht="15.2" spans="1:10">
      <c r="A1592" s="58" t="s">
        <v>2329</v>
      </c>
      <c r="B1592" s="59">
        <v>901.24</v>
      </c>
      <c r="C1592" s="59">
        <v>1399</v>
      </c>
      <c r="D1592" s="59" t="s">
        <v>803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ht="15.2" spans="1:10">
      <c r="A1593" s="58" t="s">
        <v>2330</v>
      </c>
      <c r="B1593" s="59">
        <v>1395.82</v>
      </c>
      <c r="C1593" s="59">
        <v>2299</v>
      </c>
      <c r="D1593" s="59" t="s">
        <v>803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ht="15.2" spans="1:10">
      <c r="A1594" s="58" t="s">
        <v>2331</v>
      </c>
      <c r="B1594" s="59">
        <v>2233.41</v>
      </c>
      <c r="C1594" s="59">
        <v>3399</v>
      </c>
      <c r="D1594" s="59" t="s">
        <v>803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ht="15.2" spans="1:10">
      <c r="A1595" s="58" t="s">
        <v>2332</v>
      </c>
      <c r="B1595" s="59">
        <v>1247.8</v>
      </c>
      <c r="C1595" s="59">
        <v>1899</v>
      </c>
      <c r="D1595" s="59" t="s">
        <v>803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ht="15.2" spans="1:10">
      <c r="A1596" s="58" t="s">
        <v>2333</v>
      </c>
      <c r="B1596" s="59">
        <v>1510.63</v>
      </c>
      <c r="C1596" s="59">
        <v>2299</v>
      </c>
      <c r="D1596" s="59" t="s">
        <v>803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ht="15.2" spans="1:10">
      <c r="A1597" s="58" t="s">
        <v>141</v>
      </c>
      <c r="B1597" s="59">
        <v>335.3</v>
      </c>
      <c r="C1597" s="59">
        <v>1006</v>
      </c>
      <c r="D1597" s="59" t="s">
        <v>801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</v>
      </c>
      <c r="J1597" s="60">
        <f t="shared" si="75"/>
        <v>13078</v>
      </c>
    </row>
    <row r="1598" ht="15.2" spans="1:10">
      <c r="A1598" s="58" t="s">
        <v>2334</v>
      </c>
      <c r="B1598" s="59">
        <v>549</v>
      </c>
      <c r="C1598" s="59">
        <v>1223</v>
      </c>
      <c r="D1598" s="59" t="s">
        <v>801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ht="15.2" spans="1:10">
      <c r="A1599" s="58" t="s">
        <v>2335</v>
      </c>
      <c r="B1599" s="59">
        <v>1642.05</v>
      </c>
      <c r="C1599" s="59">
        <v>2499</v>
      </c>
      <c r="D1599" s="59" t="s">
        <v>803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ht="15.2" spans="1:10">
      <c r="A1600" s="58" t="s">
        <v>2336</v>
      </c>
      <c r="B1600" s="59">
        <v>525</v>
      </c>
      <c r="C1600" s="59">
        <v>1149</v>
      </c>
      <c r="D1600" s="59" t="s">
        <v>801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ht="15.2" spans="1:10">
      <c r="A1601" s="58" t="s">
        <v>207</v>
      </c>
      <c r="B1601" s="59">
        <v>540</v>
      </c>
      <c r="C1601" s="59">
        <v>1207</v>
      </c>
      <c r="D1601" s="59" t="s">
        <v>801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7604.1</v>
      </c>
    </row>
    <row r="1602" ht="15.2" spans="1:10">
      <c r="A1602" s="58" t="s">
        <v>2337</v>
      </c>
      <c r="B1602" s="59">
        <v>399</v>
      </c>
      <c r="C1602" s="59">
        <v>892</v>
      </c>
      <c r="D1602" s="59" t="s">
        <v>801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758.1</v>
      </c>
      <c r="J1602" s="60">
        <f t="shared" ref="J1602:J1665" si="78">C1602*H1602</f>
        <v>1694.8</v>
      </c>
    </row>
    <row r="1603" ht="15.2" spans="1:10">
      <c r="A1603" s="58" t="s">
        <v>2338</v>
      </c>
      <c r="B1603" s="59">
        <v>970.78</v>
      </c>
      <c r="C1603" s="59">
        <v>1499</v>
      </c>
      <c r="D1603" s="59" t="s">
        <v>803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ht="15.2" spans="1:10">
      <c r="A1604" s="58" t="s">
        <v>2339</v>
      </c>
      <c r="B1604" s="59">
        <v>908.13</v>
      </c>
      <c r="C1604" s="59">
        <v>1399</v>
      </c>
      <c r="D1604" s="59" t="s">
        <v>803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ht="15.2" spans="1:10">
      <c r="A1605" s="58" t="s">
        <v>2340</v>
      </c>
      <c r="B1605" s="59">
        <v>1517.25</v>
      </c>
      <c r="C1605" s="59">
        <v>2499</v>
      </c>
      <c r="D1605" s="59" t="s">
        <v>803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ht="15.2" spans="1:10">
      <c r="A1606" s="58" t="s">
        <v>2341</v>
      </c>
      <c r="B1606" s="59">
        <v>387.47</v>
      </c>
      <c r="C1606" s="59">
        <v>860</v>
      </c>
      <c r="D1606" s="59" t="s">
        <v>801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ht="15.2" spans="1:10">
      <c r="A1607" s="58" t="s">
        <v>2342</v>
      </c>
      <c r="B1607" s="59">
        <v>2364.83</v>
      </c>
      <c r="C1607" s="59">
        <v>3599</v>
      </c>
      <c r="D1607" s="59" t="s">
        <v>803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ht="15.2" spans="1:10">
      <c r="A1608" s="58" t="s">
        <v>2343</v>
      </c>
      <c r="B1608" s="59">
        <v>429</v>
      </c>
      <c r="C1608" s="59">
        <v>982</v>
      </c>
      <c r="D1608" s="59" t="s">
        <v>801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</v>
      </c>
      <c r="J1608" s="60">
        <f t="shared" si="78"/>
        <v>785.6</v>
      </c>
    </row>
    <row r="1609" ht="15.2" spans="1:10">
      <c r="A1609" s="58" t="s">
        <v>2344</v>
      </c>
      <c r="B1609" s="59">
        <v>1313.5</v>
      </c>
      <c r="C1609" s="59">
        <v>1999</v>
      </c>
      <c r="D1609" s="59" t="s">
        <v>803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ht="15.2" spans="1:10">
      <c r="A1610" s="58" t="s">
        <v>2345</v>
      </c>
      <c r="B1610" s="59">
        <v>1456.54</v>
      </c>
      <c r="C1610" s="59">
        <v>2399</v>
      </c>
      <c r="D1610" s="59" t="s">
        <v>803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ht="15.2" spans="1:10">
      <c r="A1611" s="58" t="s">
        <v>2346</v>
      </c>
      <c r="B1611" s="59">
        <v>1177.98</v>
      </c>
      <c r="C1611" s="59">
        <v>1999</v>
      </c>
      <c r="D1611" s="59" t="s">
        <v>803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ht="15.2" spans="1:10">
      <c r="A1612" s="58" t="s">
        <v>2347</v>
      </c>
      <c r="B1612" s="59">
        <v>242</v>
      </c>
      <c r="C1612" s="59">
        <v>541</v>
      </c>
      <c r="D1612" s="59" t="s">
        <v>801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ht="15.2" spans="1:10">
      <c r="A1613" s="58" t="s">
        <v>2348</v>
      </c>
      <c r="B1613" s="59">
        <v>1970.58</v>
      </c>
      <c r="C1613" s="59">
        <v>2999</v>
      </c>
      <c r="D1613" s="59" t="s">
        <v>803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ht="15.2" spans="1:10">
      <c r="A1614" s="58" t="s">
        <v>2349</v>
      </c>
      <c r="B1614" s="59">
        <v>1313.5</v>
      </c>
      <c r="C1614" s="59">
        <v>1999</v>
      </c>
      <c r="D1614" s="59" t="s">
        <v>803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ht="15.2" spans="1:10">
      <c r="A1615" s="58" t="s">
        <v>2350</v>
      </c>
      <c r="B1615" s="59">
        <v>693</v>
      </c>
      <c r="C1615" s="59">
        <v>1575</v>
      </c>
      <c r="D1615" s="59" t="s">
        <v>801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ht="15.2" spans="1:10">
      <c r="A1616" s="58" t="s">
        <v>2351</v>
      </c>
      <c r="B1616" s="59">
        <v>1313.5</v>
      </c>
      <c r="C1616" s="59">
        <v>1999</v>
      </c>
      <c r="D1616" s="59" t="s">
        <v>803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ht="15.2" spans="1:10">
      <c r="A1617" s="58" t="s">
        <v>2352</v>
      </c>
      <c r="B1617" s="59">
        <v>841.26</v>
      </c>
      <c r="C1617" s="59">
        <v>1299</v>
      </c>
      <c r="D1617" s="59" t="s">
        <v>803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ht="15.2" spans="1:10">
      <c r="A1618" s="58" t="s">
        <v>2353</v>
      </c>
      <c r="B1618" s="59">
        <v>365</v>
      </c>
      <c r="C1618" s="59">
        <v>825</v>
      </c>
      <c r="D1618" s="59" t="s">
        <v>801</v>
      </c>
      <c r="E1618" s="59">
        <v>0.55</v>
      </c>
      <c r="F1618" s="59">
        <v>0.55</v>
      </c>
      <c r="G1618" s="59">
        <v>0</v>
      </c>
      <c r="H1618" s="60">
        <f t="shared" si="76"/>
        <v>0.55</v>
      </c>
      <c r="I1618" s="60">
        <f t="shared" si="77"/>
        <v>200.75</v>
      </c>
      <c r="J1618" s="60">
        <f t="shared" si="78"/>
        <v>453.75</v>
      </c>
    </row>
    <row r="1619" ht="15.2" spans="1:10">
      <c r="A1619" s="58" t="s">
        <v>2354</v>
      </c>
      <c r="B1619" s="59">
        <v>354</v>
      </c>
      <c r="C1619" s="59">
        <v>867</v>
      </c>
      <c r="D1619" s="59" t="s">
        <v>801</v>
      </c>
      <c r="E1619" s="59">
        <v>4.6</v>
      </c>
      <c r="F1619" s="59">
        <v>4.6</v>
      </c>
      <c r="G1619" s="59">
        <v>0</v>
      </c>
      <c r="H1619" s="60">
        <f t="shared" si="76"/>
        <v>4.6</v>
      </c>
      <c r="I1619" s="60">
        <f t="shared" si="77"/>
        <v>1628.4</v>
      </c>
      <c r="J1619" s="60">
        <f t="shared" si="78"/>
        <v>3988.2</v>
      </c>
    </row>
    <row r="1620" ht="15.2" spans="1:10">
      <c r="A1620" s="58" t="s">
        <v>2355</v>
      </c>
      <c r="B1620" s="59">
        <v>919.25</v>
      </c>
      <c r="C1620" s="59">
        <v>1399</v>
      </c>
      <c r="D1620" s="59" t="s">
        <v>803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ht="15.2" spans="1:10">
      <c r="A1621" s="58" t="s">
        <v>2356</v>
      </c>
      <c r="B1621" s="59">
        <v>3035.11</v>
      </c>
      <c r="C1621" s="59">
        <v>4999</v>
      </c>
      <c r="D1621" s="59" t="s">
        <v>803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ht="15.2" spans="1:10">
      <c r="A1622" s="58" t="s">
        <v>2357</v>
      </c>
      <c r="B1622" s="59">
        <v>1177.98</v>
      </c>
      <c r="C1622" s="59">
        <v>1999</v>
      </c>
      <c r="D1622" s="59" t="s">
        <v>803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ht="15.2" spans="1:10">
      <c r="A1623" s="58" t="s">
        <v>2358</v>
      </c>
      <c r="B1623" s="59">
        <v>1116.38</v>
      </c>
      <c r="C1623" s="59">
        <v>1699</v>
      </c>
      <c r="D1623" s="59" t="s">
        <v>803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</v>
      </c>
      <c r="J1623" s="60">
        <f t="shared" si="78"/>
        <v>1699</v>
      </c>
    </row>
    <row r="1624" ht="15.2" spans="1:10">
      <c r="A1624" s="58" t="s">
        <v>142</v>
      </c>
      <c r="B1624" s="59">
        <v>377</v>
      </c>
      <c r="C1624" s="59">
        <v>867</v>
      </c>
      <c r="D1624" s="59" t="s">
        <v>801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2488.2</v>
      </c>
      <c r="J1624" s="60">
        <f t="shared" si="78"/>
        <v>5722.2</v>
      </c>
    </row>
    <row r="1625" ht="15.2" spans="1:10">
      <c r="A1625" s="58" t="s">
        <v>2359</v>
      </c>
      <c r="B1625" s="59">
        <v>429</v>
      </c>
      <c r="C1625" s="59">
        <v>925</v>
      </c>
      <c r="D1625" s="59" t="s">
        <v>801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300.3</v>
      </c>
      <c r="J1625" s="60">
        <f t="shared" si="78"/>
        <v>647.5</v>
      </c>
    </row>
    <row r="1626" ht="15.2" spans="1:10">
      <c r="A1626" s="58" t="s">
        <v>2360</v>
      </c>
      <c r="B1626" s="59">
        <v>1517.25</v>
      </c>
      <c r="C1626" s="59">
        <v>2499</v>
      </c>
      <c r="D1626" s="59" t="s">
        <v>803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ht="15.2" spans="1:10">
      <c r="A1627" s="58" t="s">
        <v>2361</v>
      </c>
      <c r="B1627" s="59">
        <v>243</v>
      </c>
      <c r="C1627" s="59">
        <v>570</v>
      </c>
      <c r="D1627" s="59" t="s">
        <v>801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413.1</v>
      </c>
      <c r="J1627" s="60">
        <f t="shared" si="78"/>
        <v>969</v>
      </c>
    </row>
    <row r="1628" ht="15.2" spans="1:10">
      <c r="A1628" s="58" t="s">
        <v>2362</v>
      </c>
      <c r="B1628" s="59">
        <v>600</v>
      </c>
      <c r="C1628" s="59">
        <v>1361</v>
      </c>
      <c r="D1628" s="59" t="s">
        <v>801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ht="15.2" spans="1:10">
      <c r="A1629" s="58" t="s">
        <v>2363</v>
      </c>
      <c r="B1629" s="59">
        <v>1177.98</v>
      </c>
      <c r="C1629" s="59">
        <v>1999</v>
      </c>
      <c r="D1629" s="59" t="s">
        <v>803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ht="15.2" spans="1:10">
      <c r="A1630" s="58" t="s">
        <v>2364</v>
      </c>
      <c r="B1630" s="59">
        <v>1354.77</v>
      </c>
      <c r="C1630" s="59">
        <v>2299</v>
      </c>
      <c r="D1630" s="59" t="s">
        <v>803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ht="15.2" spans="1:10">
      <c r="A1631" s="58" t="s">
        <v>2365</v>
      </c>
      <c r="B1631" s="59">
        <v>319</v>
      </c>
      <c r="C1631" s="59">
        <v>735</v>
      </c>
      <c r="D1631" s="59" t="s">
        <v>801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223.3</v>
      </c>
      <c r="J1631" s="60">
        <f t="shared" si="78"/>
        <v>514.5</v>
      </c>
    </row>
    <row r="1632" ht="15.2" spans="1:10">
      <c r="A1632" s="58" t="s">
        <v>2366</v>
      </c>
      <c r="B1632" s="59">
        <v>4124.41</v>
      </c>
      <c r="C1632" s="59">
        <v>6999</v>
      </c>
      <c r="D1632" s="59" t="s">
        <v>803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ht="15.2" spans="1:10">
      <c r="A1633" s="58" t="s">
        <v>2367</v>
      </c>
      <c r="B1633" s="59">
        <v>1313.5</v>
      </c>
      <c r="C1633" s="59">
        <v>1999</v>
      </c>
      <c r="D1633" s="59" t="s">
        <v>803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ht="15.2" spans="1:10">
      <c r="A1634" s="58" t="s">
        <v>2368</v>
      </c>
      <c r="B1634" s="59">
        <v>8499.39</v>
      </c>
      <c r="C1634" s="59">
        <v>13999</v>
      </c>
      <c r="D1634" s="59" t="s">
        <v>803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ht="15.2" spans="1:10">
      <c r="A1635" s="58" t="s">
        <v>2369</v>
      </c>
      <c r="B1635" s="59">
        <v>1177.98</v>
      </c>
      <c r="C1635" s="59">
        <v>1999</v>
      </c>
      <c r="D1635" s="59" t="s">
        <v>803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ht="15.2" spans="1:10">
      <c r="A1636" s="58" t="s">
        <v>2370</v>
      </c>
      <c r="B1636" s="59">
        <v>517.45</v>
      </c>
      <c r="C1636" s="59">
        <v>799</v>
      </c>
      <c r="D1636" s="59" t="s">
        <v>803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ht="15.2" spans="1:10">
      <c r="A1637" s="58" t="s">
        <v>2371</v>
      </c>
      <c r="B1637" s="59">
        <v>499</v>
      </c>
      <c r="C1637" s="59">
        <v>1117</v>
      </c>
      <c r="D1637" s="59" t="s">
        <v>801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</v>
      </c>
      <c r="J1637" s="60">
        <f t="shared" si="78"/>
        <v>111.7</v>
      </c>
    </row>
    <row r="1638" ht="15.2" spans="1:10">
      <c r="A1638" s="58" t="s">
        <v>74</v>
      </c>
      <c r="B1638" s="59">
        <v>2499</v>
      </c>
      <c r="C1638" s="59">
        <v>5670</v>
      </c>
      <c r="D1638" s="59" t="s">
        <v>801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ht="15.2" spans="1:10">
      <c r="A1639" s="58" t="s">
        <v>2372</v>
      </c>
      <c r="B1639" s="59">
        <v>570.86</v>
      </c>
      <c r="C1639" s="59">
        <v>3703</v>
      </c>
      <c r="D1639" s="59" t="s">
        <v>801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ht="15.2" spans="1:10">
      <c r="A1640" s="58" t="s">
        <v>2373</v>
      </c>
      <c r="B1640" s="59">
        <v>1638.68</v>
      </c>
      <c r="C1640" s="59">
        <v>2699</v>
      </c>
      <c r="D1640" s="59" t="s">
        <v>803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ht="15.2" spans="1:10">
      <c r="A1641" s="58" t="s">
        <v>2374</v>
      </c>
      <c r="B1641" s="59">
        <v>1472.63</v>
      </c>
      <c r="C1641" s="59">
        <v>2499</v>
      </c>
      <c r="D1641" s="59" t="s">
        <v>803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ht="15.2" spans="1:10">
      <c r="A1642" s="58" t="s">
        <v>2375</v>
      </c>
      <c r="B1642" s="59">
        <v>699</v>
      </c>
      <c r="C1642" s="59">
        <v>1468</v>
      </c>
      <c r="D1642" s="59" t="s">
        <v>801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ht="15.2" spans="1:10">
      <c r="A1643" s="58" t="s">
        <v>2376</v>
      </c>
      <c r="B1643" s="59">
        <v>1444.92</v>
      </c>
      <c r="C1643" s="59">
        <v>2199</v>
      </c>
      <c r="D1643" s="59" t="s">
        <v>803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ht="15.2" spans="1:10">
      <c r="A1644" s="58" t="s">
        <v>2377</v>
      </c>
      <c r="B1644" s="59">
        <v>1119.05</v>
      </c>
      <c r="C1644" s="59">
        <v>1899</v>
      </c>
      <c r="D1644" s="59" t="s">
        <v>803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ht="15.2" spans="1:10">
      <c r="A1645" s="58" t="s">
        <v>279</v>
      </c>
      <c r="B1645" s="59">
        <v>507</v>
      </c>
      <c r="C1645" s="59">
        <v>1008</v>
      </c>
      <c r="D1645" s="59" t="s">
        <v>801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ht="15.2" spans="1:10">
      <c r="A1646" s="58" t="s">
        <v>2378</v>
      </c>
      <c r="B1646" s="59">
        <v>1699.39</v>
      </c>
      <c r="C1646" s="59">
        <v>2799</v>
      </c>
      <c r="D1646" s="59" t="s">
        <v>803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ht="15.2" spans="1:10">
      <c r="A1647" s="58" t="s">
        <v>2379</v>
      </c>
      <c r="B1647" s="59">
        <v>1576.34</v>
      </c>
      <c r="C1647" s="59">
        <v>2399</v>
      </c>
      <c r="D1647" s="59" t="s">
        <v>803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ht="15.2" spans="1:10">
      <c r="A1648" s="58" t="s">
        <v>2380</v>
      </c>
      <c r="B1648" s="59">
        <v>1177.98</v>
      </c>
      <c r="C1648" s="59">
        <v>1999</v>
      </c>
      <c r="D1648" s="59" t="s">
        <v>803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ht="15.2" spans="1:10">
      <c r="A1649" s="58" t="s">
        <v>2381</v>
      </c>
      <c r="B1649" s="59">
        <v>1801.36</v>
      </c>
      <c r="C1649" s="59">
        <v>3778</v>
      </c>
      <c r="D1649" s="59" t="s">
        <v>801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24048.156</v>
      </c>
      <c r="J1649" s="60">
        <f t="shared" si="78"/>
        <v>50436.3</v>
      </c>
    </row>
    <row r="1650" ht="15.2" spans="1:10">
      <c r="A1650" s="58" t="s">
        <v>2382</v>
      </c>
      <c r="B1650" s="59">
        <v>656.42</v>
      </c>
      <c r="C1650" s="59">
        <v>999</v>
      </c>
      <c r="D1650" s="59" t="s">
        <v>803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ht="15.2" spans="1:10">
      <c r="A1651" s="58" t="s">
        <v>370</v>
      </c>
      <c r="B1651" s="59">
        <v>274</v>
      </c>
      <c r="C1651" s="59">
        <v>645</v>
      </c>
      <c r="D1651" s="59" t="s">
        <v>801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ht="15.2" spans="1:10">
      <c r="A1652" s="58" t="s">
        <v>2383</v>
      </c>
      <c r="B1652" s="59">
        <v>390</v>
      </c>
      <c r="C1652" s="59">
        <v>849</v>
      </c>
      <c r="D1652" s="59" t="s">
        <v>801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ht="15.2" spans="1:10">
      <c r="A1653" s="58" t="s">
        <v>2384</v>
      </c>
      <c r="B1653" s="59">
        <v>1335.11</v>
      </c>
      <c r="C1653" s="59">
        <v>2199</v>
      </c>
      <c r="D1653" s="59" t="s">
        <v>803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ht="15.2" spans="1:10">
      <c r="A1654" s="58" t="s">
        <v>2385</v>
      </c>
      <c r="B1654" s="59">
        <v>3457.05</v>
      </c>
      <c r="C1654" s="59">
        <v>5999</v>
      </c>
      <c r="D1654" s="59" t="s">
        <v>803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ht="15.2" spans="1:10">
      <c r="A1655" s="58" t="s">
        <v>2386</v>
      </c>
      <c r="B1655" s="59">
        <v>1060.13</v>
      </c>
      <c r="C1655" s="59">
        <v>1799</v>
      </c>
      <c r="D1655" s="59" t="s">
        <v>803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</v>
      </c>
      <c r="J1655" s="60">
        <f t="shared" si="78"/>
        <v>5397</v>
      </c>
    </row>
    <row r="1656" ht="15.2" spans="1:10">
      <c r="A1656" s="58" t="s">
        <v>2387</v>
      </c>
      <c r="B1656" s="59">
        <v>289</v>
      </c>
      <c r="C1656" s="59">
        <v>425</v>
      </c>
      <c r="D1656" s="59" t="s">
        <v>803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ht="15.2" spans="1:10">
      <c r="A1657" s="58" t="s">
        <v>2388</v>
      </c>
      <c r="B1657" s="59">
        <v>841</v>
      </c>
      <c r="C1657" s="59">
        <v>2089</v>
      </c>
      <c r="D1657" s="59" t="s">
        <v>801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</v>
      </c>
    </row>
    <row r="1658" ht="15.2" spans="1:10">
      <c r="A1658" s="58" t="s">
        <v>2389</v>
      </c>
      <c r="B1658" s="59">
        <v>1274.39</v>
      </c>
      <c r="C1658" s="59">
        <v>2099</v>
      </c>
      <c r="D1658" s="59" t="s">
        <v>803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ht="15.2" spans="1:10">
      <c r="A1659" s="58" t="s">
        <v>2390</v>
      </c>
      <c r="B1659" s="59">
        <v>1536</v>
      </c>
      <c r="C1659" s="59">
        <v>3642</v>
      </c>
      <c r="D1659" s="59" t="s">
        <v>801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ht="15.2" spans="1:10">
      <c r="A1660" s="58" t="s">
        <v>2391</v>
      </c>
      <c r="B1660" s="59">
        <v>970.78</v>
      </c>
      <c r="C1660" s="59">
        <v>1499</v>
      </c>
      <c r="D1660" s="59" t="s">
        <v>803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ht="15.2" spans="1:10">
      <c r="A1661" s="58" t="s">
        <v>78</v>
      </c>
      <c r="B1661" s="59">
        <v>299</v>
      </c>
      <c r="C1661" s="59">
        <v>660</v>
      </c>
      <c r="D1661" s="59" t="s">
        <v>801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ht="15.2" spans="1:10">
      <c r="A1662" s="58" t="s">
        <v>2392</v>
      </c>
      <c r="B1662" s="59">
        <v>0</v>
      </c>
      <c r="C1662" s="59">
        <v>0</v>
      </c>
      <c r="D1662" s="59" t="s">
        <v>815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ht="15.2" spans="1:10">
      <c r="A1663" s="58" t="s">
        <v>2393</v>
      </c>
      <c r="B1663" s="59">
        <v>1092.25</v>
      </c>
      <c r="C1663" s="59">
        <v>1799</v>
      </c>
      <c r="D1663" s="59" t="s">
        <v>803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ht="15.2" spans="1:10">
      <c r="A1664" s="58" t="s">
        <v>2394</v>
      </c>
      <c r="B1664" s="59">
        <v>787.84</v>
      </c>
      <c r="C1664" s="59">
        <v>1199</v>
      </c>
      <c r="D1664" s="59" t="s">
        <v>803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ht="15.2" spans="1:10">
      <c r="A1665" s="58" t="s">
        <v>2395</v>
      </c>
      <c r="B1665" s="59">
        <v>263</v>
      </c>
      <c r="C1665" s="59">
        <v>570</v>
      </c>
      <c r="D1665" s="59" t="s">
        <v>801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315.6</v>
      </c>
      <c r="J1665" s="60">
        <f t="shared" si="78"/>
        <v>684</v>
      </c>
    </row>
    <row r="1666" ht="15.2" spans="1:10">
      <c r="A1666" s="58" t="s">
        <v>2396</v>
      </c>
      <c r="B1666" s="59">
        <v>1699.39</v>
      </c>
      <c r="C1666" s="59">
        <v>2799</v>
      </c>
      <c r="D1666" s="59" t="s">
        <v>803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ht="15.2" spans="1:10">
      <c r="A1667" s="58" t="s">
        <v>2397</v>
      </c>
      <c r="B1667" s="59">
        <v>906.02</v>
      </c>
      <c r="C1667" s="59">
        <v>1399</v>
      </c>
      <c r="D1667" s="59" t="s">
        <v>803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ht="15.2" spans="1:10">
      <c r="A1668" s="58" t="s">
        <v>2398</v>
      </c>
      <c r="B1668" s="59">
        <v>295.02</v>
      </c>
      <c r="C1668" s="59">
        <v>449</v>
      </c>
      <c r="D1668" s="59" t="s">
        <v>803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ht="15.2" spans="1:10">
      <c r="A1669" s="58" t="s">
        <v>2399</v>
      </c>
      <c r="B1669" s="59">
        <v>465</v>
      </c>
      <c r="C1669" s="59">
        <v>1071</v>
      </c>
      <c r="D1669" s="59" t="s">
        <v>801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ht="15.2" spans="1:10">
      <c r="A1670" s="58" t="s">
        <v>2400</v>
      </c>
      <c r="B1670" s="59">
        <v>468</v>
      </c>
      <c r="C1670" s="59">
        <v>1064</v>
      </c>
      <c r="D1670" s="59" t="s">
        <v>801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ht="15.2" spans="1:10">
      <c r="A1671" s="58" t="s">
        <v>2401</v>
      </c>
      <c r="B1671" s="59">
        <v>1299</v>
      </c>
      <c r="C1671" s="59">
        <v>2947</v>
      </c>
      <c r="D1671" s="59" t="s">
        <v>801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ht="15.2" spans="1:10">
      <c r="A1672" s="58" t="s">
        <v>2402</v>
      </c>
      <c r="B1672" s="59">
        <v>303</v>
      </c>
      <c r="C1672" s="59">
        <v>656</v>
      </c>
      <c r="D1672" s="59" t="s">
        <v>801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45.45</v>
      </c>
      <c r="J1672" s="60">
        <f t="shared" si="81"/>
        <v>98.4</v>
      </c>
    </row>
    <row r="1673" ht="15.2" spans="1:10">
      <c r="A1673" s="58" t="s">
        <v>2403</v>
      </c>
      <c r="B1673" s="59">
        <v>615</v>
      </c>
      <c r="C1673" s="59">
        <v>1447</v>
      </c>
      <c r="D1673" s="59" t="s">
        <v>801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</v>
      </c>
    </row>
    <row r="1674" ht="15.2" spans="1:10">
      <c r="A1674" s="58" t="s">
        <v>2404</v>
      </c>
      <c r="B1674" s="59">
        <v>426</v>
      </c>
      <c r="C1674" s="59">
        <v>927</v>
      </c>
      <c r="D1674" s="59" t="s">
        <v>801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ht="15.2" spans="1:10">
      <c r="A1675" s="58" t="s">
        <v>2405</v>
      </c>
      <c r="B1675" s="59">
        <v>564</v>
      </c>
      <c r="C1675" s="59">
        <v>1431</v>
      </c>
      <c r="D1675" s="59" t="s">
        <v>801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789.6</v>
      </c>
      <c r="J1675" s="60">
        <f t="shared" si="81"/>
        <v>2003.4</v>
      </c>
    </row>
    <row r="1676" ht="15.2" spans="1:10">
      <c r="A1676" s="58" t="s">
        <v>2406</v>
      </c>
      <c r="B1676" s="59">
        <v>1707.76</v>
      </c>
      <c r="C1676" s="59">
        <v>2599</v>
      </c>
      <c r="D1676" s="59" t="s">
        <v>803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ht="15.2" spans="1:10">
      <c r="A1677" s="58" t="s">
        <v>2407</v>
      </c>
      <c r="B1677" s="59">
        <v>1416.6</v>
      </c>
      <c r="C1677" s="59">
        <v>2199</v>
      </c>
      <c r="D1677" s="59" t="s">
        <v>803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ht="15.2" spans="1:10">
      <c r="A1678" s="58" t="s">
        <v>2408</v>
      </c>
      <c r="B1678" s="59">
        <v>599</v>
      </c>
      <c r="C1678" s="59">
        <v>1338</v>
      </c>
      <c r="D1678" s="59" t="s">
        <v>801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ht="15.2" spans="1:10">
      <c r="A1679" s="58" t="s">
        <v>2409</v>
      </c>
      <c r="B1679" s="59">
        <v>450</v>
      </c>
      <c r="C1679" s="59">
        <v>945</v>
      </c>
      <c r="D1679" s="59" t="s">
        <v>801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ht="15.2" spans="1:10">
      <c r="A1680" s="58" t="s">
        <v>2410</v>
      </c>
      <c r="B1680" s="59">
        <v>385</v>
      </c>
      <c r="C1680" s="59">
        <v>913</v>
      </c>
      <c r="D1680" s="59" t="s">
        <v>801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</v>
      </c>
    </row>
    <row r="1681" ht="15.2" spans="1:10">
      <c r="A1681" s="58" t="s">
        <v>2411</v>
      </c>
      <c r="B1681" s="59">
        <v>375</v>
      </c>
      <c r="C1681" s="59">
        <v>830</v>
      </c>
      <c r="D1681" s="59" t="s">
        <v>801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ht="15.2" spans="1:10">
      <c r="A1682" s="58" t="s">
        <v>2412</v>
      </c>
      <c r="B1682" s="59">
        <v>646</v>
      </c>
      <c r="C1682" s="59">
        <v>1439</v>
      </c>
      <c r="D1682" s="59" t="s">
        <v>801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1550.4</v>
      </c>
      <c r="J1682" s="60">
        <f t="shared" si="81"/>
        <v>3453.6</v>
      </c>
    </row>
    <row r="1683" ht="15.2" spans="1:10">
      <c r="A1683" s="58" t="s">
        <v>2413</v>
      </c>
      <c r="B1683" s="59">
        <v>1229</v>
      </c>
      <c r="C1683" s="59">
        <v>2913</v>
      </c>
      <c r="D1683" s="59" t="s">
        <v>801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ht="15.2" spans="1:10">
      <c r="A1684" s="58" t="s">
        <v>2414</v>
      </c>
      <c r="B1684" s="59">
        <v>1213.68</v>
      </c>
      <c r="C1684" s="59">
        <v>1999</v>
      </c>
      <c r="D1684" s="59" t="s">
        <v>803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ht="15.2" spans="1:10">
      <c r="A1685" s="58" t="s">
        <v>2415</v>
      </c>
      <c r="B1685" s="59">
        <v>1354.77</v>
      </c>
      <c r="C1685" s="59">
        <v>2299</v>
      </c>
      <c r="D1685" s="59" t="s">
        <v>803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ht="15.2" spans="1:10">
      <c r="A1686" s="58" t="s">
        <v>2416</v>
      </c>
      <c r="B1686" s="59">
        <v>599</v>
      </c>
      <c r="C1686" s="59">
        <v>1321</v>
      </c>
      <c r="D1686" s="59" t="s">
        <v>801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</v>
      </c>
      <c r="J1686" s="60">
        <f t="shared" si="81"/>
        <v>132.1</v>
      </c>
    </row>
    <row r="1687" ht="15.2" spans="1:10">
      <c r="A1687" s="58" t="s">
        <v>2417</v>
      </c>
      <c r="B1687" s="59">
        <v>395</v>
      </c>
      <c r="C1687" s="59">
        <v>999</v>
      </c>
      <c r="D1687" s="59" t="s">
        <v>801</v>
      </c>
      <c r="E1687" s="59">
        <v>1.1</v>
      </c>
      <c r="F1687" s="59">
        <v>1.1</v>
      </c>
      <c r="G1687" s="59">
        <v>0</v>
      </c>
      <c r="H1687" s="60">
        <f t="shared" si="79"/>
        <v>1.1</v>
      </c>
      <c r="I1687" s="60">
        <f t="shared" si="80"/>
        <v>434.5</v>
      </c>
      <c r="J1687" s="60">
        <f t="shared" si="81"/>
        <v>1098.9</v>
      </c>
    </row>
    <row r="1688" ht="15.2" spans="1:10">
      <c r="A1688" s="58" t="s">
        <v>2418</v>
      </c>
      <c r="B1688" s="59">
        <v>399</v>
      </c>
      <c r="C1688" s="59">
        <v>838</v>
      </c>
      <c r="D1688" s="59" t="s">
        <v>801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59.85</v>
      </c>
      <c r="J1688" s="60">
        <f t="shared" si="81"/>
        <v>125.7</v>
      </c>
    </row>
    <row r="1689" ht="15.2" spans="1:10">
      <c r="A1689" s="58" t="s">
        <v>2419</v>
      </c>
      <c r="B1689" s="59">
        <v>1182.09</v>
      </c>
      <c r="C1689" s="59">
        <v>1799</v>
      </c>
      <c r="D1689" s="59" t="s">
        <v>803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ht="15.2" spans="1:10">
      <c r="A1690" s="58" t="s">
        <v>2420</v>
      </c>
      <c r="B1690" s="59">
        <v>414</v>
      </c>
      <c r="C1690" s="59">
        <v>1042</v>
      </c>
      <c r="D1690" s="59" t="s">
        <v>801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ht="15.2" spans="1:10">
      <c r="A1691" s="58" t="s">
        <v>2421</v>
      </c>
      <c r="B1691" s="59">
        <v>650</v>
      </c>
      <c r="C1691" s="59">
        <v>1476</v>
      </c>
      <c r="D1691" s="59" t="s">
        <v>801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ht="15.2" spans="1:10">
      <c r="A1692" s="58" t="s">
        <v>2422</v>
      </c>
      <c r="B1692" s="59">
        <v>973</v>
      </c>
      <c r="C1692" s="59">
        <v>2472</v>
      </c>
      <c r="D1692" s="59" t="s">
        <v>801</v>
      </c>
      <c r="E1692" s="59">
        <v>2.2</v>
      </c>
      <c r="F1692" s="59">
        <v>2.2</v>
      </c>
      <c r="G1692" s="59">
        <v>0</v>
      </c>
      <c r="H1692" s="60">
        <f t="shared" si="79"/>
        <v>2.2</v>
      </c>
      <c r="I1692" s="60">
        <f t="shared" si="80"/>
        <v>2140.6</v>
      </c>
      <c r="J1692" s="60">
        <f t="shared" si="81"/>
        <v>5438.4</v>
      </c>
    </row>
    <row r="1693" ht="15.2" spans="1:10">
      <c r="A1693" s="58" t="s">
        <v>2423</v>
      </c>
      <c r="B1693" s="59">
        <v>390</v>
      </c>
      <c r="C1693" s="59">
        <v>989</v>
      </c>
      <c r="D1693" s="59" t="s">
        <v>801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ht="15.2" spans="1:10">
      <c r="A1694" s="58" t="s">
        <v>2424</v>
      </c>
      <c r="B1694" s="59">
        <v>327</v>
      </c>
      <c r="C1694" s="59">
        <v>775</v>
      </c>
      <c r="D1694" s="59" t="s">
        <v>801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ht="15.2" spans="1:10">
      <c r="A1695" s="58" t="s">
        <v>2425</v>
      </c>
      <c r="B1695" s="59">
        <v>2185.11</v>
      </c>
      <c r="C1695" s="59">
        <v>3599</v>
      </c>
      <c r="D1695" s="59" t="s">
        <v>803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ht="15.2" spans="1:10">
      <c r="A1696" s="58" t="s">
        <v>2426</v>
      </c>
      <c r="B1696" s="59">
        <v>1213.68</v>
      </c>
      <c r="C1696" s="59">
        <v>1999</v>
      </c>
      <c r="D1696" s="59" t="s">
        <v>803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ht="15.2" spans="1:10">
      <c r="A1697" s="58" t="s">
        <v>2427</v>
      </c>
      <c r="B1697" s="59">
        <v>132.6</v>
      </c>
      <c r="C1697" s="59">
        <v>195</v>
      </c>
      <c r="D1697" s="59" t="s">
        <v>803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ht="15.2" spans="1:10">
      <c r="A1698" s="58" t="s">
        <v>168</v>
      </c>
      <c r="B1698" s="59">
        <v>599</v>
      </c>
      <c r="C1698" s="59">
        <v>1338</v>
      </c>
      <c r="D1698" s="59" t="s">
        <v>801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ht="15.2" spans="1:10">
      <c r="A1699" s="58" t="s">
        <v>2428</v>
      </c>
      <c r="B1699" s="59">
        <v>253.1</v>
      </c>
      <c r="C1699" s="59">
        <v>699</v>
      </c>
      <c r="D1699" s="59" t="s">
        <v>801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ht="15.2" spans="1:10">
      <c r="A1700" s="58" t="s">
        <v>2429</v>
      </c>
      <c r="B1700" s="59">
        <v>973</v>
      </c>
      <c r="C1700" s="59">
        <v>2472</v>
      </c>
      <c r="D1700" s="59" t="s">
        <v>801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</v>
      </c>
      <c r="J1700" s="60">
        <f t="shared" si="81"/>
        <v>2595.6</v>
      </c>
    </row>
    <row r="1701" ht="15.2" spans="1:10">
      <c r="A1701" s="58" t="s">
        <v>2430</v>
      </c>
      <c r="B1701" s="59">
        <v>1274.4</v>
      </c>
      <c r="C1701" s="59">
        <v>2099</v>
      </c>
      <c r="D1701" s="59" t="s">
        <v>803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</v>
      </c>
      <c r="J1701" s="60">
        <f t="shared" si="81"/>
        <v>4198</v>
      </c>
    </row>
    <row r="1702" ht="15.2" spans="1:10">
      <c r="A1702" s="58" t="s">
        <v>2431</v>
      </c>
      <c r="B1702" s="59">
        <v>1177.98</v>
      </c>
      <c r="C1702" s="59">
        <v>1999</v>
      </c>
      <c r="D1702" s="59" t="s">
        <v>803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ht="15.2" spans="1:10">
      <c r="A1703" s="58" t="s">
        <v>2432</v>
      </c>
      <c r="B1703" s="59">
        <v>1638.68</v>
      </c>
      <c r="C1703" s="59">
        <v>2699</v>
      </c>
      <c r="D1703" s="59" t="s">
        <v>803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ht="15.2" spans="1:10">
      <c r="A1704" s="58" t="s">
        <v>2433</v>
      </c>
      <c r="B1704" s="59">
        <v>4124.41</v>
      </c>
      <c r="C1704" s="59">
        <v>6999</v>
      </c>
      <c r="D1704" s="59" t="s">
        <v>803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ht="15.2" spans="1:10">
      <c r="A1705" s="58" t="s">
        <v>2434</v>
      </c>
      <c r="B1705" s="59">
        <v>1247.8</v>
      </c>
      <c r="C1705" s="59">
        <v>1899</v>
      </c>
      <c r="D1705" s="59" t="s">
        <v>803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ht="15.2" spans="1:10">
      <c r="A1706" s="58" t="s">
        <v>2435</v>
      </c>
      <c r="B1706" s="59">
        <v>1456.54</v>
      </c>
      <c r="C1706" s="59">
        <v>2399</v>
      </c>
      <c r="D1706" s="59" t="s">
        <v>803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ht="15.2" spans="1:10">
      <c r="A1707" s="58" t="s">
        <v>2436</v>
      </c>
      <c r="B1707" s="59">
        <v>1395.82</v>
      </c>
      <c r="C1707" s="59">
        <v>2299</v>
      </c>
      <c r="D1707" s="59" t="s">
        <v>803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ht="15.2" spans="1:10">
      <c r="A1708" s="58" t="s">
        <v>2437</v>
      </c>
      <c r="B1708" s="59">
        <v>666</v>
      </c>
      <c r="C1708" s="59">
        <v>1658</v>
      </c>
      <c r="D1708" s="59" t="s">
        <v>801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ht="15.2" spans="1:10">
      <c r="A1709" s="58" t="s">
        <v>2438</v>
      </c>
      <c r="B1709" s="59">
        <v>487</v>
      </c>
      <c r="C1709" s="59">
        <v>1223</v>
      </c>
      <c r="D1709" s="59" t="s">
        <v>801</v>
      </c>
      <c r="E1709" s="59">
        <v>9.45</v>
      </c>
      <c r="F1709" s="59">
        <v>9.45</v>
      </c>
      <c r="G1709" s="59">
        <v>0</v>
      </c>
      <c r="H1709" s="60">
        <f t="shared" si="82"/>
        <v>9.45</v>
      </c>
      <c r="I1709" s="60">
        <f t="shared" si="80"/>
        <v>4602.15</v>
      </c>
      <c r="J1709" s="60">
        <f t="shared" si="81"/>
        <v>11557.35</v>
      </c>
    </row>
    <row r="1710" ht="15.2" spans="1:10">
      <c r="A1710" s="58" t="s">
        <v>2439</v>
      </c>
      <c r="B1710" s="59">
        <v>2167.7</v>
      </c>
      <c r="C1710" s="59">
        <v>3299</v>
      </c>
      <c r="D1710" s="59" t="s">
        <v>803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2167.7</v>
      </c>
      <c r="J1710" s="60">
        <f t="shared" si="81"/>
        <v>3299</v>
      </c>
    </row>
    <row r="1711" ht="15.2" spans="1:10">
      <c r="A1711" s="58" t="s">
        <v>80</v>
      </c>
      <c r="B1711" s="59">
        <v>481</v>
      </c>
      <c r="C1711" s="59">
        <v>1099</v>
      </c>
      <c r="D1711" s="59" t="s">
        <v>801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ht="15.2" spans="1:10">
      <c r="A1712" s="58" t="s">
        <v>2440</v>
      </c>
      <c r="B1712" s="59">
        <v>913.24</v>
      </c>
      <c r="C1712" s="59">
        <v>1399</v>
      </c>
      <c r="D1712" s="59" t="s">
        <v>803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ht="15.2" spans="1:10">
      <c r="A1713" s="58" t="s">
        <v>2441</v>
      </c>
      <c r="B1713" s="59">
        <v>1119.05</v>
      </c>
      <c r="C1713" s="59">
        <v>1899</v>
      </c>
      <c r="D1713" s="59" t="s">
        <v>803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ht="15.2" spans="1:10">
      <c r="A1714" s="58" t="s">
        <v>2442</v>
      </c>
      <c r="B1714" s="59">
        <v>1247.8</v>
      </c>
      <c r="C1714" s="59">
        <v>1899</v>
      </c>
      <c r="D1714" s="59" t="s">
        <v>803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ht="15.2" spans="1:10">
      <c r="A1715" s="58" t="s">
        <v>2443</v>
      </c>
      <c r="B1715" s="59">
        <v>2124.4</v>
      </c>
      <c r="C1715" s="59">
        <v>3499</v>
      </c>
      <c r="D1715" s="59" t="s">
        <v>803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ht="15.2" spans="1:10">
      <c r="A1716" s="58" t="s">
        <v>2444</v>
      </c>
      <c r="B1716" s="59">
        <v>1287.76</v>
      </c>
      <c r="C1716" s="59">
        <v>1999</v>
      </c>
      <c r="D1716" s="59" t="s">
        <v>803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ht="15.2" spans="1:10">
      <c r="A1717" s="58" t="s">
        <v>398</v>
      </c>
      <c r="B1717" s="59">
        <v>649</v>
      </c>
      <c r="C1717" s="59">
        <v>1447</v>
      </c>
      <c r="D1717" s="59" t="s">
        <v>801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908.6</v>
      </c>
      <c r="J1717" s="60">
        <f t="shared" si="81"/>
        <v>2025.8</v>
      </c>
    </row>
    <row r="1718" ht="15.2" spans="1:10">
      <c r="A1718" s="58" t="s">
        <v>2445</v>
      </c>
      <c r="B1718" s="59">
        <v>1576.34</v>
      </c>
      <c r="C1718" s="59">
        <v>2399</v>
      </c>
      <c r="D1718" s="59" t="s">
        <v>803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ht="15.2" spans="1:10">
      <c r="A1719" s="58" t="s">
        <v>2446</v>
      </c>
      <c r="B1719" s="59">
        <v>1577.97</v>
      </c>
      <c r="C1719" s="59">
        <v>2599</v>
      </c>
      <c r="D1719" s="59" t="s">
        <v>803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ht="15.2" spans="1:10">
      <c r="A1720" s="58" t="s">
        <v>2447</v>
      </c>
      <c r="B1720" s="59">
        <v>1820.82</v>
      </c>
      <c r="C1720" s="59">
        <v>2899</v>
      </c>
      <c r="D1720" s="59" t="s">
        <v>803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ht="15.2" spans="1:10">
      <c r="A1721" s="58" t="s">
        <v>2448</v>
      </c>
      <c r="B1721" s="59">
        <v>398</v>
      </c>
      <c r="C1721" s="59">
        <v>857</v>
      </c>
      <c r="D1721" s="59" t="s">
        <v>801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238.8</v>
      </c>
      <c r="J1721" s="60">
        <f t="shared" si="81"/>
        <v>514.2</v>
      </c>
    </row>
    <row r="1722" ht="15.2" spans="1:10">
      <c r="A1722" s="58" t="s">
        <v>2449</v>
      </c>
      <c r="B1722" s="59">
        <v>1444.92</v>
      </c>
      <c r="C1722" s="59">
        <v>2199</v>
      </c>
      <c r="D1722" s="59" t="s">
        <v>803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ht="15.2" spans="1:10">
      <c r="A1723" s="58" t="s">
        <v>2450</v>
      </c>
      <c r="B1723" s="59">
        <v>292</v>
      </c>
      <c r="C1723" s="59">
        <v>695</v>
      </c>
      <c r="D1723" s="59" t="s">
        <v>801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</v>
      </c>
      <c r="J1723" s="60">
        <f t="shared" si="81"/>
        <v>139</v>
      </c>
    </row>
    <row r="1724" ht="15.2" spans="1:10">
      <c r="A1724" s="58" t="s">
        <v>2451</v>
      </c>
      <c r="B1724" s="59">
        <v>1280</v>
      </c>
      <c r="C1724" s="59">
        <v>3238</v>
      </c>
      <c r="D1724" s="59" t="s">
        <v>801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21370.8</v>
      </c>
    </row>
    <row r="1725" ht="15.2" spans="1:10">
      <c r="A1725" s="58" t="s">
        <v>2452</v>
      </c>
      <c r="B1725" s="59">
        <v>1444.92</v>
      </c>
      <c r="C1725" s="59">
        <v>2199</v>
      </c>
      <c r="D1725" s="59" t="s">
        <v>803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ht="15.2" spans="1:10">
      <c r="A1726" s="58" t="s">
        <v>2453</v>
      </c>
      <c r="B1726" s="59">
        <v>555</v>
      </c>
      <c r="C1726" s="59">
        <v>1166</v>
      </c>
      <c r="D1726" s="59" t="s">
        <v>801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</v>
      </c>
    </row>
    <row r="1727" ht="15.2" spans="1:10">
      <c r="A1727" s="58" t="s">
        <v>2454</v>
      </c>
      <c r="B1727" s="59">
        <v>295.02</v>
      </c>
      <c r="C1727" s="59">
        <v>449</v>
      </c>
      <c r="D1727" s="59" t="s">
        <v>803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ht="15.2" spans="1:10">
      <c r="A1728" s="58" t="s">
        <v>2455</v>
      </c>
      <c r="B1728" s="59">
        <v>4124.41</v>
      </c>
      <c r="C1728" s="59">
        <v>6999</v>
      </c>
      <c r="D1728" s="59" t="s">
        <v>803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ht="15.2" spans="1:10">
      <c r="A1729" s="58" t="s">
        <v>2456</v>
      </c>
      <c r="B1729" s="59">
        <v>1025</v>
      </c>
      <c r="C1729" s="59">
        <v>2575</v>
      </c>
      <c r="D1729" s="59" t="s">
        <v>801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ht="15.2" spans="1:10">
      <c r="A1730" s="58" t="s">
        <v>2457</v>
      </c>
      <c r="B1730" s="59">
        <v>1116.38</v>
      </c>
      <c r="C1730" s="59">
        <v>1699</v>
      </c>
      <c r="D1730" s="59" t="s">
        <v>803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</v>
      </c>
      <c r="J1730" s="60">
        <f t="shared" ref="J1730:J1793" si="84">C1730*H1730</f>
        <v>3398</v>
      </c>
    </row>
    <row r="1731" ht="15.2" spans="1:10">
      <c r="A1731" s="58" t="s">
        <v>2458</v>
      </c>
      <c r="B1731" s="59">
        <v>517.45</v>
      </c>
      <c r="C1731" s="59">
        <v>799</v>
      </c>
      <c r="D1731" s="59" t="s">
        <v>803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</v>
      </c>
      <c r="J1731" s="60">
        <f t="shared" si="84"/>
        <v>799</v>
      </c>
    </row>
    <row r="1732" ht="15.2" spans="1:10">
      <c r="A1732" s="58" t="s">
        <v>2459</v>
      </c>
      <c r="B1732" s="59">
        <v>1444.92</v>
      </c>
      <c r="C1732" s="59">
        <v>2199</v>
      </c>
      <c r="D1732" s="59" t="s">
        <v>803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ht="15.2" spans="1:10">
      <c r="A1733" s="58" t="s">
        <v>2460</v>
      </c>
      <c r="B1733" s="59">
        <v>1152.96</v>
      </c>
      <c r="C1733" s="59">
        <v>1899</v>
      </c>
      <c r="D1733" s="59" t="s">
        <v>803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ht="15.2" spans="1:10">
      <c r="A1734" s="58" t="s">
        <v>2461</v>
      </c>
      <c r="B1734" s="59">
        <v>395</v>
      </c>
      <c r="C1734" s="59">
        <v>935</v>
      </c>
      <c r="D1734" s="59" t="s">
        <v>801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ht="15.2" spans="1:10">
      <c r="A1735" s="58" t="s">
        <v>2462</v>
      </c>
      <c r="B1735" s="59">
        <v>255</v>
      </c>
      <c r="C1735" s="59">
        <v>507</v>
      </c>
      <c r="D1735" s="59" t="s">
        <v>801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ht="15.2" spans="1:10">
      <c r="A1736" s="58" t="s">
        <v>2463</v>
      </c>
      <c r="B1736" s="59">
        <v>630</v>
      </c>
      <c r="C1736" s="59">
        <v>1438</v>
      </c>
      <c r="D1736" s="59" t="s">
        <v>801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ht="15.2" spans="1:10">
      <c r="A1737" s="58" t="s">
        <v>2464</v>
      </c>
      <c r="B1737" s="59">
        <v>360</v>
      </c>
      <c r="C1737" s="59">
        <v>840</v>
      </c>
      <c r="D1737" s="59" t="s">
        <v>801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ht="15.2" spans="1:10">
      <c r="A1738" s="58" t="s">
        <v>2465</v>
      </c>
      <c r="B1738" s="59">
        <v>1213.68</v>
      </c>
      <c r="C1738" s="59">
        <v>1999</v>
      </c>
      <c r="D1738" s="59" t="s">
        <v>803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ht="15.2" spans="1:10">
      <c r="A1739" s="58" t="s">
        <v>2466</v>
      </c>
      <c r="B1739" s="59">
        <v>1295.84</v>
      </c>
      <c r="C1739" s="59">
        <v>2199</v>
      </c>
      <c r="D1739" s="59" t="s">
        <v>803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3887.52</v>
      </c>
      <c r="J1739" s="60">
        <f t="shared" si="84"/>
        <v>6597</v>
      </c>
    </row>
    <row r="1740" ht="15.2" spans="1:10">
      <c r="A1740" s="58" t="s">
        <v>2467</v>
      </c>
      <c r="B1740" s="59">
        <v>1313.5</v>
      </c>
      <c r="C1740" s="59">
        <v>1999</v>
      </c>
      <c r="D1740" s="59" t="s">
        <v>803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ht="15.2" spans="1:10">
      <c r="A1741" s="58" t="s">
        <v>2468</v>
      </c>
      <c r="B1741" s="59">
        <v>1444.92</v>
      </c>
      <c r="C1741" s="59">
        <v>2199</v>
      </c>
      <c r="D1741" s="59" t="s">
        <v>803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ht="15.2" spans="1:10">
      <c r="A1742" s="58" t="s">
        <v>2469</v>
      </c>
      <c r="B1742" s="59">
        <v>646.97</v>
      </c>
      <c r="C1742" s="59">
        <v>999</v>
      </c>
      <c r="D1742" s="59" t="s">
        <v>803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ht="15.2" spans="1:10">
      <c r="A1743" s="58" t="s">
        <v>2470</v>
      </c>
      <c r="B1743" s="59">
        <v>326.2</v>
      </c>
      <c r="C1743" s="59">
        <v>705</v>
      </c>
      <c r="D1743" s="59" t="s">
        <v>801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1957.2</v>
      </c>
      <c r="J1743" s="60">
        <f t="shared" si="84"/>
        <v>4230</v>
      </c>
    </row>
    <row r="1744" ht="15.2" spans="1:10">
      <c r="A1744" s="58" t="s">
        <v>2471</v>
      </c>
      <c r="B1744" s="59">
        <v>285</v>
      </c>
      <c r="C1744" s="59">
        <v>675</v>
      </c>
      <c r="D1744" s="59" t="s">
        <v>801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ht="15.2" spans="1:10">
      <c r="A1745" s="58" t="s">
        <v>2472</v>
      </c>
      <c r="B1745" s="59">
        <v>525</v>
      </c>
      <c r="C1745" s="59">
        <v>1103</v>
      </c>
      <c r="D1745" s="59" t="s">
        <v>801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</v>
      </c>
    </row>
    <row r="1746" ht="15.2" spans="1:10">
      <c r="A1746" s="58" t="s">
        <v>2473</v>
      </c>
      <c r="B1746" s="59">
        <v>1299</v>
      </c>
      <c r="C1746" s="59">
        <v>2833</v>
      </c>
      <c r="D1746" s="59" t="s">
        <v>801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ht="15.2" spans="1:10">
      <c r="A1747" s="58" t="s">
        <v>2474</v>
      </c>
      <c r="B1747" s="59">
        <v>524</v>
      </c>
      <c r="C1747" s="59">
        <v>1299</v>
      </c>
      <c r="D1747" s="59" t="s">
        <v>801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628.8</v>
      </c>
      <c r="J1747" s="60">
        <f t="shared" si="84"/>
        <v>1558.8</v>
      </c>
    </row>
    <row r="1748" ht="15.2" spans="1:10">
      <c r="A1748" s="58" t="s">
        <v>2475</v>
      </c>
      <c r="B1748" s="59">
        <v>0</v>
      </c>
      <c r="C1748" s="59">
        <v>0</v>
      </c>
      <c r="D1748" s="59" t="s">
        <v>815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ht="15.2" spans="1:10">
      <c r="A1749" s="58" t="s">
        <v>2476</v>
      </c>
      <c r="B1749" s="59">
        <v>1545.44</v>
      </c>
      <c r="C1749" s="59">
        <v>2399</v>
      </c>
      <c r="D1749" s="59" t="s">
        <v>803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ht="15.2" spans="1:10">
      <c r="A1750" s="58" t="s">
        <v>2477</v>
      </c>
      <c r="B1750" s="59">
        <v>1000</v>
      </c>
      <c r="C1750" s="59">
        <v>1599</v>
      </c>
      <c r="D1750" s="59" t="s">
        <v>803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ht="15.2" spans="1:10">
      <c r="A1751" s="58" t="s">
        <v>2478</v>
      </c>
      <c r="B1751" s="59">
        <v>940.46</v>
      </c>
      <c r="C1751" s="59">
        <v>1549</v>
      </c>
      <c r="D1751" s="59" t="s">
        <v>803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ht="15.2" spans="1:10">
      <c r="A1752" s="58" t="s">
        <v>2479</v>
      </c>
      <c r="B1752" s="59">
        <v>692</v>
      </c>
      <c r="C1752" s="59">
        <v>1733</v>
      </c>
      <c r="D1752" s="59" t="s">
        <v>801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ht="15.2" spans="1:10">
      <c r="A1753" s="58" t="s">
        <v>2480</v>
      </c>
      <c r="B1753" s="59">
        <v>452.69</v>
      </c>
      <c r="C1753" s="59">
        <v>699</v>
      </c>
      <c r="D1753" s="59" t="s">
        <v>803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ht="15.2" spans="1:10">
      <c r="A1754" s="58" t="s">
        <v>2481</v>
      </c>
      <c r="B1754" s="59">
        <v>1638.68</v>
      </c>
      <c r="C1754" s="59">
        <v>2699</v>
      </c>
      <c r="D1754" s="59" t="s">
        <v>803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ht="15.2" spans="1:10">
      <c r="A1755" s="58" t="s">
        <v>2482</v>
      </c>
      <c r="B1755" s="59">
        <v>3535.13</v>
      </c>
      <c r="C1755" s="59">
        <v>5999</v>
      </c>
      <c r="D1755" s="59" t="s">
        <v>803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ht="15.2" spans="1:10">
      <c r="A1756" s="58" t="s">
        <v>2483</v>
      </c>
      <c r="B1756" s="59">
        <v>908.83</v>
      </c>
      <c r="C1756" s="59">
        <v>1399</v>
      </c>
      <c r="D1756" s="59" t="s">
        <v>803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</v>
      </c>
      <c r="J1756" s="60">
        <f t="shared" si="84"/>
        <v>4197</v>
      </c>
    </row>
    <row r="1757" ht="15.2" spans="1:10">
      <c r="A1757" s="58" t="s">
        <v>2484</v>
      </c>
      <c r="B1757" s="59">
        <v>965.66</v>
      </c>
      <c r="C1757" s="59">
        <v>1499</v>
      </c>
      <c r="D1757" s="59" t="s">
        <v>803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ht="15.2" spans="1:10">
      <c r="A1758" s="58" t="s">
        <v>2485</v>
      </c>
      <c r="B1758" s="59">
        <v>970.82</v>
      </c>
      <c r="C1758" s="59">
        <v>1599</v>
      </c>
      <c r="D1758" s="59" t="s">
        <v>803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ht="15.2" spans="1:10">
      <c r="A1759" s="58" t="s">
        <v>2486</v>
      </c>
      <c r="B1759" s="59">
        <v>451</v>
      </c>
      <c r="C1759" s="59">
        <v>938</v>
      </c>
      <c r="D1759" s="59" t="s">
        <v>801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</v>
      </c>
      <c r="J1759" s="60">
        <f t="shared" si="84"/>
        <v>422.1</v>
      </c>
    </row>
    <row r="1760" ht="15.2" spans="1:10">
      <c r="A1760" s="58" t="s">
        <v>2487</v>
      </c>
      <c r="B1760" s="59">
        <v>1354.77</v>
      </c>
      <c r="C1760" s="59">
        <v>2299</v>
      </c>
      <c r="D1760" s="59" t="s">
        <v>803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ht="15.2" spans="1:10">
      <c r="A1761" s="58" t="s">
        <v>2488</v>
      </c>
      <c r="B1761" s="59">
        <v>0</v>
      </c>
      <c r="C1761" s="59">
        <v>0</v>
      </c>
      <c r="D1761" s="59" t="s">
        <v>815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ht="15.2" spans="1:10">
      <c r="A1762" s="58" t="s">
        <v>2489</v>
      </c>
      <c r="B1762" s="59">
        <v>549</v>
      </c>
      <c r="C1762" s="59">
        <v>1153</v>
      </c>
      <c r="D1762" s="59" t="s">
        <v>801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ht="15.2" spans="1:10">
      <c r="A1763" s="58" t="s">
        <v>2490</v>
      </c>
      <c r="B1763" s="59">
        <v>1674.28</v>
      </c>
      <c r="C1763" s="59">
        <v>2599</v>
      </c>
      <c r="D1763" s="59" t="s">
        <v>803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ht="15.2" spans="1:10">
      <c r="A1764" s="58" t="s">
        <v>2491</v>
      </c>
      <c r="B1764" s="59">
        <v>525</v>
      </c>
      <c r="C1764" s="59">
        <v>1102</v>
      </c>
      <c r="D1764" s="59" t="s">
        <v>801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ht="15.2" spans="1:10">
      <c r="A1765" s="58" t="s">
        <v>2492</v>
      </c>
      <c r="B1765" s="59">
        <v>3535.13</v>
      </c>
      <c r="C1765" s="59">
        <v>5999</v>
      </c>
      <c r="D1765" s="59" t="s">
        <v>803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ht="15.2" spans="1:10">
      <c r="A1766" s="58" t="s">
        <v>2493</v>
      </c>
      <c r="B1766" s="59">
        <v>1416.6</v>
      </c>
      <c r="C1766" s="59">
        <v>2199</v>
      </c>
      <c r="D1766" s="59" t="s">
        <v>803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ht="15.2" spans="1:10">
      <c r="A1767" s="58" t="s">
        <v>2494</v>
      </c>
      <c r="B1767" s="59">
        <v>699</v>
      </c>
      <c r="C1767" s="59">
        <v>1560</v>
      </c>
      <c r="D1767" s="59" t="s">
        <v>801</v>
      </c>
      <c r="E1767" s="59">
        <v>4.9</v>
      </c>
      <c r="F1767" s="59">
        <v>4.9</v>
      </c>
      <c r="G1767" s="59">
        <v>0</v>
      </c>
      <c r="H1767" s="60">
        <f t="shared" si="85"/>
        <v>4.9</v>
      </c>
      <c r="I1767" s="60">
        <f t="shared" si="83"/>
        <v>3425.1</v>
      </c>
      <c r="J1767" s="60">
        <f t="shared" si="84"/>
        <v>7644</v>
      </c>
    </row>
    <row r="1768" ht="15.2" spans="1:10">
      <c r="A1768" s="58" t="s">
        <v>2495</v>
      </c>
      <c r="B1768" s="59">
        <v>517.45</v>
      </c>
      <c r="C1768" s="59">
        <v>799</v>
      </c>
      <c r="D1768" s="59" t="s">
        <v>803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</v>
      </c>
      <c r="J1768" s="60">
        <f t="shared" si="84"/>
        <v>1598</v>
      </c>
    </row>
    <row r="1769" ht="15.2" spans="1:10">
      <c r="A1769" s="58" t="s">
        <v>2496</v>
      </c>
      <c r="B1769" s="59">
        <v>555</v>
      </c>
      <c r="C1769" s="59">
        <v>1166</v>
      </c>
      <c r="D1769" s="59" t="s">
        <v>801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ht="15.2" spans="1:10">
      <c r="A1770" s="58" t="s">
        <v>2497</v>
      </c>
      <c r="B1770" s="59">
        <v>1379.21</v>
      </c>
      <c r="C1770" s="59">
        <v>2099</v>
      </c>
      <c r="D1770" s="59" t="s">
        <v>803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ht="15.2" spans="1:10">
      <c r="A1771" s="58" t="s">
        <v>2498</v>
      </c>
      <c r="B1771" s="59">
        <v>901.24</v>
      </c>
      <c r="C1771" s="59">
        <v>1399</v>
      </c>
      <c r="D1771" s="59" t="s">
        <v>803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ht="15.2" spans="1:10">
      <c r="A1772" s="58" t="s">
        <v>2499</v>
      </c>
      <c r="B1772" s="59">
        <v>387</v>
      </c>
      <c r="C1772" s="59">
        <v>813</v>
      </c>
      <c r="D1772" s="59" t="s">
        <v>801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ht="15.2" spans="1:10">
      <c r="A1773" s="58" t="s">
        <v>2500</v>
      </c>
      <c r="B1773" s="59">
        <v>446</v>
      </c>
      <c r="C1773" s="59">
        <v>1099</v>
      </c>
      <c r="D1773" s="59" t="s">
        <v>801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ht="15.2" spans="1:10">
      <c r="A1774" s="58" t="s">
        <v>2501</v>
      </c>
      <c r="B1774" s="59">
        <v>1249</v>
      </c>
      <c r="C1774" s="59">
        <v>3549</v>
      </c>
      <c r="D1774" s="59" t="s">
        <v>801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ht="15.2" spans="1:10">
      <c r="A1775" s="58" t="s">
        <v>2502</v>
      </c>
      <c r="B1775" s="59">
        <v>284</v>
      </c>
      <c r="C1775" s="59">
        <v>645</v>
      </c>
      <c r="D1775" s="59" t="s">
        <v>801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ht="15.2" spans="1:10">
      <c r="A1776" s="58" t="s">
        <v>2503</v>
      </c>
      <c r="B1776" s="59">
        <v>1444.92</v>
      </c>
      <c r="C1776" s="59">
        <v>2199</v>
      </c>
      <c r="D1776" s="59" t="s">
        <v>803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ht="15.2" spans="1:10">
      <c r="A1777" s="58" t="s">
        <v>2504</v>
      </c>
      <c r="B1777" s="59">
        <v>5892.27</v>
      </c>
      <c r="C1777" s="59">
        <v>9999</v>
      </c>
      <c r="D1777" s="59" t="s">
        <v>803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ht="15.2" spans="1:10">
      <c r="A1778" s="58" t="s">
        <v>333</v>
      </c>
      <c r="B1778" s="59">
        <v>670</v>
      </c>
      <c r="C1778" s="59">
        <v>1491</v>
      </c>
      <c r="D1778" s="59" t="s">
        <v>801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5069.4</v>
      </c>
    </row>
    <row r="1779" ht="15.2" spans="1:10">
      <c r="A1779" s="58" t="s">
        <v>2505</v>
      </c>
      <c r="B1779" s="59">
        <v>646.97</v>
      </c>
      <c r="C1779" s="59">
        <v>999</v>
      </c>
      <c r="D1779" s="59" t="s">
        <v>803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ht="15.2" spans="1:10">
      <c r="A1780" s="58" t="s">
        <v>2506</v>
      </c>
      <c r="B1780" s="59">
        <v>1313.5</v>
      </c>
      <c r="C1780" s="59">
        <v>1999</v>
      </c>
      <c r="D1780" s="59" t="s">
        <v>803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ht="15.2" spans="1:10">
      <c r="A1781" s="58" t="s">
        <v>2507</v>
      </c>
      <c r="B1781" s="59">
        <v>1112.47</v>
      </c>
      <c r="C1781" s="59">
        <v>2099</v>
      </c>
      <c r="D1781" s="59" t="s">
        <v>803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ht="15.2" spans="1:10">
      <c r="A1782" s="58" t="s">
        <v>2508</v>
      </c>
      <c r="B1782" s="59">
        <v>722.13</v>
      </c>
      <c r="C1782" s="59">
        <v>1099</v>
      </c>
      <c r="D1782" s="59" t="s">
        <v>803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ht="15.2" spans="1:10">
      <c r="A1783" s="58" t="s">
        <v>2509</v>
      </c>
      <c r="B1783" s="59">
        <v>2002.96</v>
      </c>
      <c r="C1783" s="59">
        <v>3299</v>
      </c>
      <c r="D1783" s="59" t="s">
        <v>803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ht="15.2" spans="1:10">
      <c r="A1784" s="58" t="s">
        <v>2510</v>
      </c>
      <c r="B1784" s="59">
        <v>448</v>
      </c>
      <c r="C1784" s="59">
        <v>1040</v>
      </c>
      <c r="D1784" s="59" t="s">
        <v>801</v>
      </c>
      <c r="E1784" s="59">
        <v>0.55</v>
      </c>
      <c r="F1784" s="59">
        <v>0.55</v>
      </c>
      <c r="G1784" s="59">
        <v>0</v>
      </c>
      <c r="H1784" s="60">
        <f t="shared" si="85"/>
        <v>0.55</v>
      </c>
      <c r="I1784" s="60">
        <f t="shared" si="83"/>
        <v>246.4</v>
      </c>
      <c r="J1784" s="60">
        <f t="shared" si="84"/>
        <v>572</v>
      </c>
    </row>
    <row r="1785" ht="15.2" spans="1:10">
      <c r="A1785" s="58" t="s">
        <v>2511</v>
      </c>
      <c r="B1785" s="59">
        <v>2731.54</v>
      </c>
      <c r="C1785" s="59">
        <v>4499</v>
      </c>
      <c r="D1785" s="59" t="s">
        <v>803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ht="15.2" spans="1:10">
      <c r="A1786" s="58" t="s">
        <v>2512</v>
      </c>
      <c r="B1786" s="59">
        <v>1379.21</v>
      </c>
      <c r="C1786" s="59">
        <v>2099</v>
      </c>
      <c r="D1786" s="59" t="s">
        <v>803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ht="15.2" spans="1:10">
      <c r="A1787" s="58" t="s">
        <v>2513</v>
      </c>
      <c r="B1787" s="59">
        <v>1213.68</v>
      </c>
      <c r="C1787" s="59">
        <v>1999</v>
      </c>
      <c r="D1787" s="59" t="s">
        <v>803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ht="15.2" spans="1:10">
      <c r="A1788" s="58" t="s">
        <v>2514</v>
      </c>
      <c r="B1788" s="59">
        <v>1213.68</v>
      </c>
      <c r="C1788" s="59">
        <v>1999</v>
      </c>
      <c r="D1788" s="59" t="s">
        <v>803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ht="15.2" spans="1:10">
      <c r="A1789" s="58" t="s">
        <v>121</v>
      </c>
      <c r="B1789" s="59">
        <v>511</v>
      </c>
      <c r="C1789" s="59">
        <v>1263</v>
      </c>
      <c r="D1789" s="59" t="s">
        <v>801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</v>
      </c>
    </row>
    <row r="1790" ht="15.2" spans="1:10">
      <c r="A1790" s="58" t="s">
        <v>2515</v>
      </c>
      <c r="B1790" s="59">
        <v>380</v>
      </c>
      <c r="C1790" s="59">
        <v>884</v>
      </c>
      <c r="D1790" s="59" t="s">
        <v>801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ht="15.2" spans="1:10">
      <c r="A1791" s="58" t="s">
        <v>2516</v>
      </c>
      <c r="B1791" s="59">
        <v>1274.39</v>
      </c>
      <c r="C1791" s="59">
        <v>2099</v>
      </c>
      <c r="D1791" s="59" t="s">
        <v>803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</v>
      </c>
      <c r="J1791" s="60">
        <f t="shared" si="84"/>
        <v>2099</v>
      </c>
    </row>
    <row r="1792" ht="15.2" spans="1:10">
      <c r="A1792" s="58" t="s">
        <v>2517</v>
      </c>
      <c r="B1792" s="59">
        <v>666</v>
      </c>
      <c r="C1792" s="59">
        <v>1711</v>
      </c>
      <c r="D1792" s="59" t="s">
        <v>801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</v>
      </c>
      <c r="J1792" s="60">
        <f t="shared" si="84"/>
        <v>17794.4</v>
      </c>
    </row>
    <row r="1793" ht="15.2" spans="1:10">
      <c r="A1793" s="58" t="s">
        <v>2518</v>
      </c>
      <c r="B1793" s="59">
        <v>495</v>
      </c>
      <c r="C1793" s="59">
        <v>1040</v>
      </c>
      <c r="D1793" s="59" t="s">
        <v>801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ht="15.2" spans="1:10">
      <c r="A1794" s="58" t="s">
        <v>2519</v>
      </c>
      <c r="B1794" s="59">
        <v>525</v>
      </c>
      <c r="C1794" s="59">
        <v>1102</v>
      </c>
      <c r="D1794" s="59" t="s">
        <v>801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ht="15.2" spans="1:10">
      <c r="A1795" s="58" t="s">
        <v>697</v>
      </c>
      <c r="B1795" s="59">
        <v>352</v>
      </c>
      <c r="C1795" s="59">
        <v>873</v>
      </c>
      <c r="D1795" s="59" t="s">
        <v>801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7944.3</v>
      </c>
    </row>
    <row r="1796" ht="15.2" spans="1:10">
      <c r="A1796" s="58" t="s">
        <v>203</v>
      </c>
      <c r="B1796" s="59">
        <v>297</v>
      </c>
      <c r="C1796" s="59">
        <v>640</v>
      </c>
      <c r="D1796" s="59" t="s">
        <v>801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ht="15.2" spans="1:10">
      <c r="A1797" s="58" t="s">
        <v>2520</v>
      </c>
      <c r="B1797" s="59">
        <v>580</v>
      </c>
      <c r="C1797" s="59">
        <v>1299</v>
      </c>
      <c r="D1797" s="59" t="s">
        <v>801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ht="15.2" spans="1:10">
      <c r="A1798" s="58" t="s">
        <v>2521</v>
      </c>
      <c r="B1798" s="59">
        <v>4249.39</v>
      </c>
      <c r="C1798" s="59">
        <v>6999</v>
      </c>
      <c r="D1798" s="59" t="s">
        <v>803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</v>
      </c>
      <c r="J1798" s="60">
        <f t="shared" si="87"/>
        <v>13998</v>
      </c>
    </row>
    <row r="1799" ht="15.2" spans="1:10">
      <c r="A1799" s="58" t="s">
        <v>2522</v>
      </c>
      <c r="B1799" s="59">
        <v>1295.84</v>
      </c>
      <c r="C1799" s="59">
        <v>2199</v>
      </c>
      <c r="D1799" s="59" t="s">
        <v>803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2591.68</v>
      </c>
      <c r="J1799" s="60">
        <f t="shared" si="87"/>
        <v>4398</v>
      </c>
    </row>
    <row r="1800" ht="15.2" spans="1:10">
      <c r="A1800" s="58" t="s">
        <v>2523</v>
      </c>
      <c r="B1800" s="59">
        <v>1472.63</v>
      </c>
      <c r="C1800" s="59">
        <v>2499</v>
      </c>
      <c r="D1800" s="59" t="s">
        <v>803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ht="15.2" spans="1:10">
      <c r="A1801" s="58" t="s">
        <v>2524</v>
      </c>
      <c r="B1801" s="59">
        <v>1699.4</v>
      </c>
      <c r="C1801" s="59">
        <v>2799</v>
      </c>
      <c r="D1801" s="59" t="s">
        <v>803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ht="15.2" spans="1:10">
      <c r="A1802" s="58" t="s">
        <v>2525</v>
      </c>
      <c r="B1802" s="59">
        <v>1456.54</v>
      </c>
      <c r="C1802" s="59">
        <v>2399</v>
      </c>
      <c r="D1802" s="59" t="s">
        <v>803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ht="15.2" spans="1:10">
      <c r="A1803" s="58" t="s">
        <v>2526</v>
      </c>
      <c r="B1803" s="59">
        <v>1092.25</v>
      </c>
      <c r="C1803" s="59">
        <v>1799</v>
      </c>
      <c r="D1803" s="59" t="s">
        <v>803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ht="15.2" spans="1:10">
      <c r="A1804" s="58" t="s">
        <v>2527</v>
      </c>
      <c r="B1804" s="59">
        <v>299</v>
      </c>
      <c r="C1804" s="59">
        <v>628</v>
      </c>
      <c r="D1804" s="59" t="s">
        <v>801</v>
      </c>
      <c r="E1804" s="59">
        <v>9.3</v>
      </c>
      <c r="F1804" s="59">
        <v>9.3</v>
      </c>
      <c r="G1804" s="59">
        <v>0</v>
      </c>
      <c r="H1804" s="60">
        <f t="shared" si="85"/>
        <v>9.3</v>
      </c>
      <c r="I1804" s="60">
        <f t="shared" si="86"/>
        <v>2780.7</v>
      </c>
      <c r="J1804" s="60">
        <f t="shared" si="87"/>
        <v>5840.4</v>
      </c>
    </row>
    <row r="1805" ht="15.2" spans="1:10">
      <c r="A1805" s="58" t="s">
        <v>2528</v>
      </c>
      <c r="B1805" s="59">
        <v>599</v>
      </c>
      <c r="C1805" s="59">
        <v>1338</v>
      </c>
      <c r="D1805" s="59" t="s">
        <v>801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ht="15.2" spans="1:10">
      <c r="A1806" s="58" t="s">
        <v>2529</v>
      </c>
      <c r="B1806" s="59">
        <v>1287.76</v>
      </c>
      <c r="C1806" s="59">
        <v>1999</v>
      </c>
      <c r="D1806" s="59" t="s">
        <v>803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ht="15.2" spans="1:10">
      <c r="A1807" s="58" t="s">
        <v>2530</v>
      </c>
      <c r="B1807" s="59">
        <v>1295.84</v>
      </c>
      <c r="C1807" s="59">
        <v>2199</v>
      </c>
      <c r="D1807" s="59" t="s">
        <v>803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2591.68</v>
      </c>
      <c r="J1807" s="60">
        <f t="shared" si="87"/>
        <v>4398</v>
      </c>
    </row>
    <row r="1808" ht="15.2" spans="1:10">
      <c r="A1808" s="58" t="s">
        <v>2531</v>
      </c>
      <c r="B1808" s="59">
        <v>1116.38</v>
      </c>
      <c r="C1808" s="59">
        <v>1699</v>
      </c>
      <c r="D1808" s="59" t="s">
        <v>803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</v>
      </c>
      <c r="J1808" s="60">
        <f t="shared" si="87"/>
        <v>3398</v>
      </c>
    </row>
    <row r="1809" ht="15.2" spans="1:10">
      <c r="A1809" s="58" t="s">
        <v>2532</v>
      </c>
      <c r="B1809" s="59">
        <v>517.45</v>
      </c>
      <c r="C1809" s="59">
        <v>799</v>
      </c>
      <c r="D1809" s="59" t="s">
        <v>803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</v>
      </c>
      <c r="J1809" s="60">
        <f t="shared" si="87"/>
        <v>2397</v>
      </c>
    </row>
    <row r="1810" ht="15.2" spans="1:10">
      <c r="A1810" s="58" t="s">
        <v>2533</v>
      </c>
      <c r="B1810" s="59">
        <v>1313.5</v>
      </c>
      <c r="C1810" s="59">
        <v>1999</v>
      </c>
      <c r="D1810" s="59" t="s">
        <v>803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ht="15.2" spans="1:10">
      <c r="A1811" s="58" t="s">
        <v>2534</v>
      </c>
      <c r="B1811" s="59">
        <v>1577.96</v>
      </c>
      <c r="C1811" s="59">
        <v>2599</v>
      </c>
      <c r="D1811" s="59" t="s">
        <v>803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ht="15.2" spans="1:10">
      <c r="A1812" s="58" t="s">
        <v>2535</v>
      </c>
      <c r="B1812" s="59">
        <v>292</v>
      </c>
      <c r="C1812" s="59">
        <v>680</v>
      </c>
      <c r="D1812" s="59" t="s">
        <v>801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ht="15.2" spans="1:10">
      <c r="A1813" s="58" t="s">
        <v>2536</v>
      </c>
      <c r="B1813" s="59">
        <v>4124.41</v>
      </c>
      <c r="C1813" s="59">
        <v>6999</v>
      </c>
      <c r="D1813" s="59" t="s">
        <v>803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ht="15.2" spans="1:10">
      <c r="A1814" s="58" t="s">
        <v>2537</v>
      </c>
      <c r="B1814" s="59">
        <v>384</v>
      </c>
      <c r="C1814" s="59">
        <v>904</v>
      </c>
      <c r="D1814" s="59" t="s">
        <v>801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ht="15.2" spans="1:10">
      <c r="A1815" s="58" t="s">
        <v>2538</v>
      </c>
      <c r="B1815" s="59">
        <v>499</v>
      </c>
      <c r="C1815" s="59">
        <v>1048</v>
      </c>
      <c r="D1815" s="59" t="s">
        <v>801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</v>
      </c>
      <c r="J1815" s="60">
        <f t="shared" si="87"/>
        <v>104.8</v>
      </c>
    </row>
    <row r="1816" ht="15.2" spans="1:10">
      <c r="A1816" s="58" t="s">
        <v>2539</v>
      </c>
      <c r="B1816" s="59">
        <v>1152.96</v>
      </c>
      <c r="C1816" s="59">
        <v>1899</v>
      </c>
      <c r="D1816" s="59" t="s">
        <v>803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ht="15.2" spans="1:10">
      <c r="A1817" s="58" t="s">
        <v>2540</v>
      </c>
      <c r="B1817" s="59">
        <v>1510.63</v>
      </c>
      <c r="C1817" s="59">
        <v>2299</v>
      </c>
      <c r="D1817" s="59" t="s">
        <v>803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ht="15.2" spans="1:10">
      <c r="A1818" s="58" t="s">
        <v>2541</v>
      </c>
      <c r="B1818" s="59">
        <v>1444.92</v>
      </c>
      <c r="C1818" s="59">
        <v>2199</v>
      </c>
      <c r="D1818" s="59" t="s">
        <v>803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ht="15.2" spans="1:10">
      <c r="A1819" s="58" t="s">
        <v>2542</v>
      </c>
      <c r="B1819" s="59">
        <v>499</v>
      </c>
      <c r="C1819" s="59">
        <v>1048</v>
      </c>
      <c r="D1819" s="59" t="s">
        <v>801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4790.4</v>
      </c>
      <c r="J1819" s="60">
        <f t="shared" si="87"/>
        <v>10060.8</v>
      </c>
    </row>
    <row r="1820" ht="15.2" spans="1:10">
      <c r="A1820" s="58" t="s">
        <v>2543</v>
      </c>
      <c r="B1820" s="59">
        <v>6481.55</v>
      </c>
      <c r="C1820" s="59">
        <v>10999</v>
      </c>
      <c r="D1820" s="59" t="s">
        <v>803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ht="15.2" spans="1:10">
      <c r="A1821" s="58" t="s">
        <v>2544</v>
      </c>
      <c r="B1821" s="59">
        <v>1395.82</v>
      </c>
      <c r="C1821" s="59">
        <v>2299</v>
      </c>
      <c r="D1821" s="59" t="s">
        <v>803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ht="15.2" spans="1:10">
      <c r="A1822" s="58" t="s">
        <v>2545</v>
      </c>
      <c r="B1822" s="59">
        <v>776.49</v>
      </c>
      <c r="C1822" s="59">
        <v>1199</v>
      </c>
      <c r="D1822" s="59" t="s">
        <v>803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ht="15.2" spans="1:10">
      <c r="A1823" s="58" t="s">
        <v>2546</v>
      </c>
      <c r="B1823" s="59">
        <v>1249</v>
      </c>
      <c r="C1823" s="59">
        <v>3279</v>
      </c>
      <c r="D1823" s="59" t="s">
        <v>801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ht="15.2" spans="1:10">
      <c r="A1824" s="58" t="s">
        <v>2547</v>
      </c>
      <c r="B1824" s="59">
        <v>1094.5</v>
      </c>
      <c r="C1824" s="59">
        <v>1699</v>
      </c>
      <c r="D1824" s="59" t="s">
        <v>803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ht="15.2" spans="1:10">
      <c r="A1825" s="58" t="s">
        <v>2548</v>
      </c>
      <c r="B1825" s="59">
        <v>1247.8</v>
      </c>
      <c r="C1825" s="59">
        <v>1899</v>
      </c>
      <c r="D1825" s="59" t="s">
        <v>803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ht="15.2" spans="1:10">
      <c r="A1826" s="58" t="s">
        <v>2549</v>
      </c>
      <c r="B1826" s="59">
        <v>1354.77</v>
      </c>
      <c r="C1826" s="59">
        <v>2299</v>
      </c>
      <c r="D1826" s="59" t="s">
        <v>803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ht="15.2" spans="1:10">
      <c r="A1827" s="58" t="s">
        <v>2550</v>
      </c>
      <c r="B1827" s="59">
        <v>940.46</v>
      </c>
      <c r="C1827" s="59">
        <v>1549</v>
      </c>
      <c r="D1827" s="59" t="s">
        <v>803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ht="15.2" spans="1:10">
      <c r="A1828" s="58" t="s">
        <v>2551</v>
      </c>
      <c r="B1828" s="59">
        <v>1642.05</v>
      </c>
      <c r="C1828" s="59">
        <v>2499</v>
      </c>
      <c r="D1828" s="59" t="s">
        <v>803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ht="15.2" spans="1:10">
      <c r="A1829" s="58" t="s">
        <v>2552</v>
      </c>
      <c r="B1829" s="59">
        <v>1177.98</v>
      </c>
      <c r="C1829" s="59">
        <v>1999</v>
      </c>
      <c r="D1829" s="59" t="s">
        <v>803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ht="15.2" spans="1:10">
      <c r="A1830" s="58" t="s">
        <v>2553</v>
      </c>
      <c r="B1830" s="59">
        <v>1707.76</v>
      </c>
      <c r="C1830" s="59">
        <v>2599</v>
      </c>
      <c r="D1830" s="59" t="s">
        <v>803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ht="15.2" spans="1:10">
      <c r="A1831" s="58" t="s">
        <v>2554</v>
      </c>
      <c r="B1831" s="59">
        <v>259</v>
      </c>
      <c r="C1831" s="59">
        <v>635</v>
      </c>
      <c r="D1831" s="59" t="s">
        <v>801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362.6</v>
      </c>
      <c r="J1831" s="60">
        <f t="shared" si="87"/>
        <v>889</v>
      </c>
    </row>
    <row r="1832" ht="15.2" spans="1:10">
      <c r="A1832" s="58" t="s">
        <v>2555</v>
      </c>
      <c r="B1832" s="59">
        <v>340</v>
      </c>
      <c r="C1832" s="59">
        <v>893</v>
      </c>
      <c r="D1832" s="59" t="s">
        <v>801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</v>
      </c>
    </row>
    <row r="1833" ht="15.2" spans="1:10">
      <c r="A1833" s="58" t="s">
        <v>2556</v>
      </c>
      <c r="B1833" s="59">
        <v>250</v>
      </c>
      <c r="C1833" s="59">
        <v>670</v>
      </c>
      <c r="D1833" s="59" t="s">
        <v>801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ht="15.2" spans="1:10">
      <c r="A1834" s="58" t="s">
        <v>2557</v>
      </c>
      <c r="B1834" s="59">
        <v>1031.54</v>
      </c>
      <c r="C1834" s="59">
        <v>1699</v>
      </c>
      <c r="D1834" s="59" t="s">
        <v>803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ht="15.2" spans="1:10">
      <c r="A1835" s="58" t="s">
        <v>2558</v>
      </c>
      <c r="B1835" s="59">
        <v>274</v>
      </c>
      <c r="C1835" s="59">
        <v>590</v>
      </c>
      <c r="D1835" s="59" t="s">
        <v>801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</v>
      </c>
      <c r="J1835" s="60">
        <f t="shared" si="87"/>
        <v>1091.5</v>
      </c>
    </row>
    <row r="1836" ht="15.2" spans="1:10">
      <c r="A1836" s="58" t="s">
        <v>2559</v>
      </c>
      <c r="B1836" s="59">
        <v>1092.25</v>
      </c>
      <c r="C1836" s="59">
        <v>1799</v>
      </c>
      <c r="D1836" s="59" t="s">
        <v>803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ht="15.2" spans="1:10">
      <c r="A1837" s="58" t="s">
        <v>2560</v>
      </c>
      <c r="B1837" s="59">
        <v>1760.11</v>
      </c>
      <c r="C1837" s="59">
        <v>2899</v>
      </c>
      <c r="D1837" s="59" t="s">
        <v>803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ht="15.2" spans="1:10">
      <c r="A1838" s="58" t="s">
        <v>2561</v>
      </c>
      <c r="B1838" s="59">
        <v>345</v>
      </c>
      <c r="C1838" s="59">
        <v>745</v>
      </c>
      <c r="D1838" s="59" t="s">
        <v>801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ht="15.2" spans="1:10">
      <c r="A1839" s="58" t="s">
        <v>2562</v>
      </c>
      <c r="B1839" s="59">
        <v>820</v>
      </c>
      <c r="C1839" s="59">
        <v>1949</v>
      </c>
      <c r="D1839" s="59" t="s">
        <v>801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</v>
      </c>
    </row>
    <row r="1840" ht="15.2" spans="1:10">
      <c r="A1840" s="58" t="s">
        <v>2563</v>
      </c>
      <c r="B1840" s="59">
        <v>260</v>
      </c>
      <c r="C1840" s="59">
        <v>683</v>
      </c>
      <c r="D1840" s="59" t="s">
        <v>801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ht="15.2" spans="1:10">
      <c r="A1841" s="58" t="s">
        <v>2564</v>
      </c>
      <c r="B1841" s="59">
        <v>1313.5</v>
      </c>
      <c r="C1841" s="59">
        <v>1999</v>
      </c>
      <c r="D1841" s="59" t="s">
        <v>803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ht="15.2" spans="1:10">
      <c r="A1842" s="58" t="s">
        <v>2565</v>
      </c>
      <c r="B1842" s="59">
        <v>1707.76</v>
      </c>
      <c r="C1842" s="59">
        <v>2599</v>
      </c>
      <c r="D1842" s="59" t="s">
        <v>803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ht="15.2" spans="1:10">
      <c r="A1843" s="58" t="s">
        <v>2566</v>
      </c>
      <c r="B1843" s="59">
        <v>1970.58</v>
      </c>
      <c r="C1843" s="59">
        <v>2999</v>
      </c>
      <c r="D1843" s="59" t="s">
        <v>803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ht="15.2" spans="1:10">
      <c r="A1844" s="58" t="s">
        <v>2567</v>
      </c>
      <c r="B1844" s="59">
        <v>259</v>
      </c>
      <c r="C1844" s="59">
        <v>635</v>
      </c>
      <c r="D1844" s="59" t="s">
        <v>801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ht="15.2" spans="1:10">
      <c r="A1845" s="58" t="s">
        <v>2568</v>
      </c>
      <c r="B1845" s="59">
        <v>1119.05</v>
      </c>
      <c r="C1845" s="59">
        <v>1899</v>
      </c>
      <c r="D1845" s="59" t="s">
        <v>803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ht="15.2" spans="1:10">
      <c r="A1846" s="58" t="s">
        <v>2569</v>
      </c>
      <c r="B1846" s="59">
        <v>399</v>
      </c>
      <c r="C1846" s="59">
        <v>892</v>
      </c>
      <c r="D1846" s="59" t="s">
        <v>801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</v>
      </c>
      <c r="J1846" s="60">
        <f t="shared" si="87"/>
        <v>713.6</v>
      </c>
    </row>
    <row r="1847" ht="15.2" spans="1:10">
      <c r="A1847" s="58" t="s">
        <v>2570</v>
      </c>
      <c r="B1847" s="59">
        <v>1274.4</v>
      </c>
      <c r="C1847" s="59">
        <v>2099</v>
      </c>
      <c r="D1847" s="59" t="s">
        <v>803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ht="15.2" spans="1:10">
      <c r="A1848" s="58" t="s">
        <v>2571</v>
      </c>
      <c r="B1848" s="59">
        <v>289</v>
      </c>
      <c r="C1848" s="59">
        <v>650</v>
      </c>
      <c r="D1848" s="59" t="s">
        <v>801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202.3</v>
      </c>
      <c r="J1848" s="60">
        <f t="shared" si="87"/>
        <v>455</v>
      </c>
    </row>
    <row r="1849" ht="15.2" spans="1:10">
      <c r="A1849" s="58" t="s">
        <v>2572</v>
      </c>
      <c r="B1849" s="59">
        <v>1444.92</v>
      </c>
      <c r="C1849" s="59">
        <v>2199</v>
      </c>
      <c r="D1849" s="59" t="s">
        <v>803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ht="15.2" spans="1:10">
      <c r="A1850" s="58" t="s">
        <v>2573</v>
      </c>
      <c r="B1850" s="59">
        <v>1274.39</v>
      </c>
      <c r="C1850" s="59">
        <v>2099</v>
      </c>
      <c r="D1850" s="59" t="s">
        <v>803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</v>
      </c>
      <c r="J1850" s="60">
        <f t="shared" si="87"/>
        <v>4198</v>
      </c>
    </row>
    <row r="1851" ht="15.2" spans="1:10">
      <c r="A1851" s="58" t="s">
        <v>2574</v>
      </c>
      <c r="B1851" s="59">
        <v>1182.09</v>
      </c>
      <c r="C1851" s="59">
        <v>1799</v>
      </c>
      <c r="D1851" s="59" t="s">
        <v>803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ht="15.2" spans="1:10">
      <c r="A1852" s="58" t="s">
        <v>2575</v>
      </c>
      <c r="B1852" s="59">
        <v>1649.41</v>
      </c>
      <c r="C1852" s="59">
        <v>2799</v>
      </c>
      <c r="D1852" s="59" t="s">
        <v>803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ht="15.2" spans="1:10">
      <c r="A1853" s="58" t="s">
        <v>2576</v>
      </c>
      <c r="B1853" s="59">
        <v>1738.7</v>
      </c>
      <c r="C1853" s="59">
        <v>2699</v>
      </c>
      <c r="D1853" s="59" t="s">
        <v>803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ht="15.2" spans="1:10">
      <c r="A1854" s="58" t="s">
        <v>2577</v>
      </c>
      <c r="B1854" s="59">
        <v>211</v>
      </c>
      <c r="C1854" s="59">
        <v>307</v>
      </c>
      <c r="D1854" s="59" t="s">
        <v>801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ht="15.2" spans="1:10">
      <c r="A1855" s="58" t="s">
        <v>2578</v>
      </c>
      <c r="B1855" s="59">
        <v>1517.25</v>
      </c>
      <c r="C1855" s="59">
        <v>2499</v>
      </c>
      <c r="D1855" s="59" t="s">
        <v>803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ht="15.2" spans="1:10">
      <c r="A1856" s="58" t="s">
        <v>2579</v>
      </c>
      <c r="B1856" s="59">
        <v>1213.68</v>
      </c>
      <c r="C1856" s="59">
        <v>1999</v>
      </c>
      <c r="D1856" s="59" t="s">
        <v>803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ht="15.2" spans="1:10">
      <c r="A1857" s="58" t="s">
        <v>2580</v>
      </c>
      <c r="B1857" s="59">
        <v>292</v>
      </c>
      <c r="C1857" s="59">
        <v>715</v>
      </c>
      <c r="D1857" s="59" t="s">
        <v>801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</v>
      </c>
      <c r="J1857" s="60">
        <f t="shared" si="87"/>
        <v>572</v>
      </c>
    </row>
    <row r="1858" ht="15.2" spans="1:10">
      <c r="A1858" s="58" t="s">
        <v>2581</v>
      </c>
      <c r="B1858" s="59">
        <v>249.56</v>
      </c>
      <c r="C1858" s="59">
        <v>367</v>
      </c>
      <c r="D1858" s="59" t="s">
        <v>803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ht="15.2" spans="1:10">
      <c r="A1859" s="58" t="s">
        <v>2582</v>
      </c>
      <c r="B1859" s="59">
        <v>1274.39</v>
      </c>
      <c r="C1859" s="59">
        <v>2099</v>
      </c>
      <c r="D1859" s="59" t="s">
        <v>803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</v>
      </c>
      <c r="J1859" s="60">
        <f t="shared" si="90"/>
        <v>4198</v>
      </c>
    </row>
    <row r="1860" ht="15.2" spans="1:10">
      <c r="A1860" s="58" t="s">
        <v>2583</v>
      </c>
      <c r="B1860" s="59">
        <v>1456.54</v>
      </c>
      <c r="C1860" s="59">
        <v>2399</v>
      </c>
      <c r="D1860" s="59" t="s">
        <v>803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ht="15.2" spans="1:10">
      <c r="A1861" s="58" t="s">
        <v>2584</v>
      </c>
      <c r="B1861" s="59">
        <v>1335.11</v>
      </c>
      <c r="C1861" s="59">
        <v>2199</v>
      </c>
      <c r="D1861" s="59" t="s">
        <v>803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ht="15.2" spans="1:10">
      <c r="A1862" s="58" t="s">
        <v>2585</v>
      </c>
      <c r="B1862" s="59">
        <v>1867.54</v>
      </c>
      <c r="C1862" s="59">
        <v>2899</v>
      </c>
      <c r="D1862" s="59" t="s">
        <v>803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ht="15.2" spans="1:10">
      <c r="A1863" s="58" t="s">
        <v>2586</v>
      </c>
      <c r="B1863" s="59">
        <v>319.2</v>
      </c>
      <c r="C1863" s="59">
        <v>838</v>
      </c>
      <c r="D1863" s="59" t="s">
        <v>801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3575.04</v>
      </c>
      <c r="J1863" s="60">
        <f t="shared" si="90"/>
        <v>9385.6</v>
      </c>
    </row>
    <row r="1864" ht="15.2" spans="1:10">
      <c r="A1864" s="58" t="s">
        <v>2587</v>
      </c>
      <c r="B1864" s="59">
        <v>1335.11</v>
      </c>
      <c r="C1864" s="59">
        <v>2199</v>
      </c>
      <c r="D1864" s="59" t="s">
        <v>803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ht="15.2" spans="1:10">
      <c r="A1865" s="58" t="s">
        <v>2588</v>
      </c>
      <c r="B1865" s="59">
        <v>1177.98</v>
      </c>
      <c r="C1865" s="59">
        <v>1999</v>
      </c>
      <c r="D1865" s="59" t="s">
        <v>803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ht="15.2" spans="1:10">
      <c r="A1866" s="58" t="s">
        <v>2589</v>
      </c>
      <c r="B1866" s="59">
        <v>1152.96</v>
      </c>
      <c r="C1866" s="59">
        <v>1899</v>
      </c>
      <c r="D1866" s="59" t="s">
        <v>803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ht="15.2" spans="1:10">
      <c r="A1867" s="58" t="s">
        <v>2590</v>
      </c>
      <c r="B1867" s="59">
        <v>1354.77</v>
      </c>
      <c r="C1867" s="59">
        <v>2299</v>
      </c>
      <c r="D1867" s="59" t="s">
        <v>803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ht="15.2" spans="1:10">
      <c r="A1868" s="58" t="s">
        <v>2591</v>
      </c>
      <c r="B1868" s="59">
        <v>153</v>
      </c>
      <c r="C1868" s="59">
        <v>225</v>
      </c>
      <c r="D1868" s="59" t="s">
        <v>803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ht="15.2" spans="1:10">
      <c r="A1869" s="58" t="s">
        <v>2592</v>
      </c>
      <c r="B1869" s="59">
        <v>1178</v>
      </c>
      <c r="C1869" s="59">
        <v>2945</v>
      </c>
      <c r="D1869" s="59" t="s">
        <v>801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</v>
      </c>
      <c r="J1869" s="60">
        <f t="shared" si="90"/>
        <v>294.5</v>
      </c>
    </row>
    <row r="1870" ht="15.2" spans="1:10">
      <c r="A1870" s="58" t="s">
        <v>2593</v>
      </c>
      <c r="B1870" s="59">
        <v>1274.4</v>
      </c>
      <c r="C1870" s="59">
        <v>2099</v>
      </c>
      <c r="D1870" s="59" t="s">
        <v>803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</v>
      </c>
      <c r="J1870" s="60">
        <f t="shared" si="90"/>
        <v>2099</v>
      </c>
    </row>
    <row r="1871" ht="15.2" spans="1:10">
      <c r="A1871" s="58" t="s">
        <v>2594</v>
      </c>
      <c r="B1871" s="59">
        <v>1274.39</v>
      </c>
      <c r="C1871" s="59">
        <v>2099</v>
      </c>
      <c r="D1871" s="59" t="s">
        <v>803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</v>
      </c>
      <c r="J1871" s="60">
        <f t="shared" si="90"/>
        <v>2099</v>
      </c>
    </row>
    <row r="1872" ht="15.2" spans="1:10">
      <c r="A1872" s="58" t="s">
        <v>2595</v>
      </c>
      <c r="B1872" s="59">
        <v>1247.8</v>
      </c>
      <c r="C1872" s="59">
        <v>1899</v>
      </c>
      <c r="D1872" s="59" t="s">
        <v>803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ht="15.2" spans="1:10">
      <c r="A1873" s="58" t="s">
        <v>2596</v>
      </c>
      <c r="B1873" s="59">
        <v>661</v>
      </c>
      <c r="C1873" s="59">
        <v>1447</v>
      </c>
      <c r="D1873" s="59" t="s">
        <v>801</v>
      </c>
      <c r="E1873" s="59">
        <v>9.3</v>
      </c>
      <c r="F1873" s="59">
        <v>9.3</v>
      </c>
      <c r="G1873" s="59">
        <v>0</v>
      </c>
      <c r="H1873" s="60">
        <f t="shared" si="88"/>
        <v>9.3</v>
      </c>
      <c r="I1873" s="60">
        <f t="shared" si="89"/>
        <v>6147.3</v>
      </c>
      <c r="J1873" s="60">
        <f t="shared" si="90"/>
        <v>13457.1</v>
      </c>
    </row>
    <row r="1874" ht="15.2" spans="1:10">
      <c r="A1874" s="58" t="s">
        <v>2597</v>
      </c>
      <c r="B1874" s="59">
        <v>300</v>
      </c>
      <c r="C1874" s="59">
        <v>653</v>
      </c>
      <c r="D1874" s="59" t="s">
        <v>801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</v>
      </c>
    </row>
    <row r="1875" ht="15.2" spans="1:10">
      <c r="A1875" s="58" t="s">
        <v>2598</v>
      </c>
      <c r="B1875" s="59">
        <v>461</v>
      </c>
      <c r="C1875" s="59">
        <v>1075</v>
      </c>
      <c r="D1875" s="59" t="s">
        <v>801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</v>
      </c>
      <c r="J1875" s="60">
        <f t="shared" si="90"/>
        <v>698.75</v>
      </c>
    </row>
    <row r="1876" ht="15.2" spans="1:10">
      <c r="A1876" s="58" t="s">
        <v>2599</v>
      </c>
      <c r="B1876" s="59">
        <v>984.96</v>
      </c>
      <c r="C1876" s="59">
        <v>1499</v>
      </c>
      <c r="D1876" s="59" t="s">
        <v>803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ht="15.2" spans="1:10">
      <c r="A1877" s="58" t="s">
        <v>2600</v>
      </c>
      <c r="B1877" s="59">
        <v>579</v>
      </c>
      <c r="C1877" s="59">
        <v>1092</v>
      </c>
      <c r="D1877" s="59" t="s">
        <v>801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ht="15.2" spans="1:10">
      <c r="A1878" s="58" t="s">
        <v>2601</v>
      </c>
      <c r="B1878" s="59">
        <v>452.69</v>
      </c>
      <c r="C1878" s="59">
        <v>699</v>
      </c>
      <c r="D1878" s="59" t="s">
        <v>803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ht="15.2" spans="1:10">
      <c r="A1879" s="58" t="s">
        <v>2602</v>
      </c>
      <c r="B1879" s="59">
        <v>608</v>
      </c>
      <c r="C1879" s="59">
        <v>1240</v>
      </c>
      <c r="D1879" s="59" t="s">
        <v>801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ht="15.2" spans="1:10">
      <c r="A1880" s="58" t="s">
        <v>2603</v>
      </c>
      <c r="B1880" s="59">
        <v>665</v>
      </c>
      <c r="C1880" s="59">
        <v>1616</v>
      </c>
      <c r="D1880" s="59" t="s">
        <v>801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ht="15.2" spans="1:10">
      <c r="A1881" s="58" t="s">
        <v>2604</v>
      </c>
      <c r="B1881" s="59">
        <v>1119.05</v>
      </c>
      <c r="C1881" s="59">
        <v>1899</v>
      </c>
      <c r="D1881" s="59" t="s">
        <v>803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ht="15.2" spans="1:10">
      <c r="A1882" s="58" t="s">
        <v>2605</v>
      </c>
      <c r="B1882" s="59">
        <v>1576.34</v>
      </c>
      <c r="C1882" s="59">
        <v>2399</v>
      </c>
      <c r="D1882" s="59" t="s">
        <v>803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ht="15.2" spans="1:10">
      <c r="A1883" s="58" t="s">
        <v>2606</v>
      </c>
      <c r="B1883" s="59">
        <v>399</v>
      </c>
      <c r="C1883" s="59">
        <v>892</v>
      </c>
      <c r="D1883" s="59" t="s">
        <v>801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1057.35</v>
      </c>
      <c r="J1883" s="60">
        <f t="shared" si="90"/>
        <v>2363.8</v>
      </c>
    </row>
    <row r="1884" ht="15.2" spans="1:10">
      <c r="A1884" s="58" t="s">
        <v>2607</v>
      </c>
      <c r="B1884" s="59">
        <v>1517.25</v>
      </c>
      <c r="C1884" s="59">
        <v>2499</v>
      </c>
      <c r="D1884" s="59" t="s">
        <v>803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ht="15.2" spans="1:10">
      <c r="A1885" s="58" t="s">
        <v>2608</v>
      </c>
      <c r="B1885" s="59">
        <v>970.78</v>
      </c>
      <c r="C1885" s="59">
        <v>1499</v>
      </c>
      <c r="D1885" s="59" t="s">
        <v>803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ht="15.2" spans="1:10">
      <c r="A1886" s="58" t="s">
        <v>2609</v>
      </c>
      <c r="B1886" s="59">
        <v>1116.38</v>
      </c>
      <c r="C1886" s="59">
        <v>1699</v>
      </c>
      <c r="D1886" s="59" t="s">
        <v>803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ht="15.2" spans="1:10">
      <c r="A1887" s="58" t="s">
        <v>2610</v>
      </c>
      <c r="B1887" s="59">
        <v>4124.41</v>
      </c>
      <c r="C1887" s="59">
        <v>6999</v>
      </c>
      <c r="D1887" s="59" t="s">
        <v>803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ht="15.2" spans="1:10">
      <c r="A1888" s="58" t="s">
        <v>2611</v>
      </c>
      <c r="B1888" s="59">
        <v>394</v>
      </c>
      <c r="C1888" s="59">
        <v>973</v>
      </c>
      <c r="D1888" s="59" t="s">
        <v>801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ht="15.2" spans="1:10">
      <c r="A1889" s="58" t="s">
        <v>2612</v>
      </c>
      <c r="B1889" s="59">
        <v>1510.63</v>
      </c>
      <c r="C1889" s="59">
        <v>2299</v>
      </c>
      <c r="D1889" s="59" t="s">
        <v>803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ht="15.2" spans="1:10">
      <c r="A1890" s="58" t="s">
        <v>2613</v>
      </c>
      <c r="B1890" s="59">
        <v>1287.76</v>
      </c>
      <c r="C1890" s="59">
        <v>1999</v>
      </c>
      <c r="D1890" s="59" t="s">
        <v>803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ht="15.2" spans="1:10">
      <c r="A1891" s="58" t="s">
        <v>2614</v>
      </c>
      <c r="B1891" s="59">
        <v>919.25</v>
      </c>
      <c r="C1891" s="59">
        <v>1399</v>
      </c>
      <c r="D1891" s="59" t="s">
        <v>803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ht="15.2" spans="1:10">
      <c r="A1892" s="58" t="s">
        <v>2615</v>
      </c>
      <c r="B1892" s="59">
        <v>1313.5</v>
      </c>
      <c r="C1892" s="59">
        <v>1999</v>
      </c>
      <c r="D1892" s="59" t="s">
        <v>803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ht="15.2" spans="1:10">
      <c r="A1893" s="58" t="s">
        <v>2616</v>
      </c>
      <c r="B1893" s="59">
        <v>1313.5</v>
      </c>
      <c r="C1893" s="59">
        <v>1999</v>
      </c>
      <c r="D1893" s="59" t="s">
        <v>803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ht="15.2" spans="1:10">
      <c r="A1894" s="58" t="s">
        <v>2617</v>
      </c>
      <c r="B1894" s="59">
        <v>1062</v>
      </c>
      <c r="C1894" s="59">
        <v>2675</v>
      </c>
      <c r="D1894" s="59" t="s">
        <v>801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3345.3</v>
      </c>
      <c r="J1894" s="60">
        <f t="shared" si="90"/>
        <v>8426.25</v>
      </c>
    </row>
    <row r="1895" ht="15.2" spans="1:10">
      <c r="A1895" s="58" t="s">
        <v>2618</v>
      </c>
      <c r="B1895" s="59">
        <v>525</v>
      </c>
      <c r="C1895" s="59">
        <v>799</v>
      </c>
      <c r="D1895" s="59" t="s">
        <v>803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ht="15.2" spans="1:10">
      <c r="A1896" s="58" t="s">
        <v>223</v>
      </c>
      <c r="B1896" s="59">
        <v>257</v>
      </c>
      <c r="C1896" s="59">
        <v>565</v>
      </c>
      <c r="D1896" s="59" t="s">
        <v>801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ht="15.2" spans="1:10">
      <c r="A1897" s="58" t="s">
        <v>2619</v>
      </c>
      <c r="B1897" s="59">
        <v>1379.21</v>
      </c>
      <c r="C1897" s="59">
        <v>2099</v>
      </c>
      <c r="D1897" s="59" t="s">
        <v>803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ht="15.2" spans="1:10">
      <c r="A1898" s="58" t="s">
        <v>2620</v>
      </c>
      <c r="B1898" s="59">
        <v>336</v>
      </c>
      <c r="C1898" s="59">
        <v>790</v>
      </c>
      <c r="D1898" s="59" t="s">
        <v>801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ht="15.2" spans="1:10">
      <c r="A1899" s="58" t="s">
        <v>2621</v>
      </c>
      <c r="B1899" s="59">
        <v>582.21</v>
      </c>
      <c r="C1899" s="59">
        <v>899</v>
      </c>
      <c r="D1899" s="59" t="s">
        <v>803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ht="15.2" spans="1:10">
      <c r="A1900" s="58" t="s">
        <v>2622</v>
      </c>
      <c r="B1900" s="59">
        <v>656.42</v>
      </c>
      <c r="C1900" s="59">
        <v>999</v>
      </c>
      <c r="D1900" s="59" t="s">
        <v>803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ht="15.2" spans="1:10">
      <c r="A1901" s="58" t="s">
        <v>2623</v>
      </c>
      <c r="B1901" s="59">
        <v>799</v>
      </c>
      <c r="C1901" s="59">
        <v>1799</v>
      </c>
      <c r="D1901" s="59" t="s">
        <v>801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5666.85</v>
      </c>
    </row>
    <row r="1902" ht="15.2" spans="1:10">
      <c r="A1902" s="58" t="s">
        <v>2624</v>
      </c>
      <c r="B1902" s="59">
        <v>614.59</v>
      </c>
      <c r="C1902" s="59">
        <v>949</v>
      </c>
      <c r="D1902" s="59" t="s">
        <v>803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ht="15.2" spans="1:10">
      <c r="A1903" s="58" t="s">
        <v>2625</v>
      </c>
      <c r="B1903" s="59">
        <v>4856.54</v>
      </c>
      <c r="C1903" s="59">
        <v>7999</v>
      </c>
      <c r="D1903" s="59" t="s">
        <v>803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ht="15.2" spans="1:10">
      <c r="A1904" s="58" t="s">
        <v>2626</v>
      </c>
      <c r="B1904" s="59">
        <v>2063.68</v>
      </c>
      <c r="C1904" s="59">
        <v>3399</v>
      </c>
      <c r="D1904" s="59" t="s">
        <v>803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ht="15.2" spans="1:10">
      <c r="A1905" s="58" t="s">
        <v>2627</v>
      </c>
      <c r="B1905" s="59">
        <v>270</v>
      </c>
      <c r="C1905" s="59">
        <v>615</v>
      </c>
      <c r="D1905" s="59" t="s">
        <v>801</v>
      </c>
      <c r="E1905" s="59">
        <v>9.7</v>
      </c>
      <c r="F1905" s="59">
        <v>9.7</v>
      </c>
      <c r="G1905" s="59">
        <v>0</v>
      </c>
      <c r="H1905" s="60">
        <f t="shared" si="91"/>
        <v>9.7</v>
      </c>
      <c r="I1905" s="60">
        <f t="shared" si="89"/>
        <v>2619</v>
      </c>
      <c r="J1905" s="60">
        <f t="shared" si="90"/>
        <v>5965.5</v>
      </c>
    </row>
    <row r="1906" ht="15.2" spans="1:10">
      <c r="A1906" s="58" t="s">
        <v>2628</v>
      </c>
      <c r="B1906" s="59">
        <v>1517.25</v>
      </c>
      <c r="C1906" s="59">
        <v>2499</v>
      </c>
      <c r="D1906" s="59" t="s">
        <v>803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ht="15.2" spans="1:10">
      <c r="A1907" s="58" t="s">
        <v>2629</v>
      </c>
      <c r="B1907" s="59">
        <v>970.82</v>
      </c>
      <c r="C1907" s="59">
        <v>1599</v>
      </c>
      <c r="D1907" s="59" t="s">
        <v>803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ht="15.2" spans="1:10">
      <c r="A1908" s="58" t="s">
        <v>2630</v>
      </c>
      <c r="B1908" s="59">
        <v>1517.25</v>
      </c>
      <c r="C1908" s="59">
        <v>2499</v>
      </c>
      <c r="D1908" s="59" t="s">
        <v>803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ht="15.2" spans="1:10">
      <c r="A1909" s="58" t="s">
        <v>2631</v>
      </c>
      <c r="B1909" s="59">
        <v>630</v>
      </c>
      <c r="C1909" s="59">
        <v>1432</v>
      </c>
      <c r="D1909" s="59" t="s">
        <v>801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429.6</v>
      </c>
    </row>
    <row r="1910" ht="15.2" spans="1:10">
      <c r="A1910" s="58" t="s">
        <v>2632</v>
      </c>
      <c r="B1910" s="59">
        <v>396</v>
      </c>
      <c r="C1910" s="59">
        <v>982</v>
      </c>
      <c r="D1910" s="59" t="s">
        <v>801</v>
      </c>
      <c r="E1910" s="59">
        <v>4.15</v>
      </c>
      <c r="F1910" s="59">
        <v>4.15</v>
      </c>
      <c r="G1910" s="59">
        <v>0</v>
      </c>
      <c r="H1910" s="60">
        <f t="shared" si="91"/>
        <v>4.15</v>
      </c>
      <c r="I1910" s="60">
        <f t="shared" si="89"/>
        <v>1643.4</v>
      </c>
      <c r="J1910" s="60">
        <f t="shared" si="90"/>
        <v>4075.3</v>
      </c>
    </row>
    <row r="1911" ht="15.2" spans="1:10">
      <c r="A1911" s="58" t="s">
        <v>2633</v>
      </c>
      <c r="B1911" s="59">
        <v>4249.39</v>
      </c>
      <c r="C1911" s="59">
        <v>6999</v>
      </c>
      <c r="D1911" s="59" t="s">
        <v>803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ht="15.2" spans="1:10">
      <c r="A1912" s="58" t="s">
        <v>2634</v>
      </c>
      <c r="B1912" s="59">
        <v>306</v>
      </c>
      <c r="C1912" s="59">
        <v>712</v>
      </c>
      <c r="D1912" s="59" t="s">
        <v>801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ht="15.2" spans="1:10">
      <c r="A1913" s="58" t="s">
        <v>2635</v>
      </c>
      <c r="B1913" s="59">
        <v>1177.98</v>
      </c>
      <c r="C1913" s="59">
        <v>1999</v>
      </c>
      <c r="D1913" s="59" t="s">
        <v>803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ht="15.2" spans="1:10">
      <c r="A1914" s="58" t="s">
        <v>2636</v>
      </c>
      <c r="B1914" s="59">
        <v>495</v>
      </c>
      <c r="C1914" s="59">
        <v>1040</v>
      </c>
      <c r="D1914" s="59" t="s">
        <v>801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ht="15.2" spans="1:10">
      <c r="A1915" s="58" t="s">
        <v>2637</v>
      </c>
      <c r="B1915" s="59">
        <v>378</v>
      </c>
      <c r="C1915" s="59">
        <v>815</v>
      </c>
      <c r="D1915" s="59" t="s">
        <v>801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ht="15.2" spans="1:10">
      <c r="A1916" s="58" t="s">
        <v>2638</v>
      </c>
      <c r="B1916" s="59">
        <v>1707.76</v>
      </c>
      <c r="C1916" s="59">
        <v>2599</v>
      </c>
      <c r="D1916" s="59" t="s">
        <v>803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ht="15.2" spans="1:10">
      <c r="A1917" s="58" t="s">
        <v>2639</v>
      </c>
      <c r="B1917" s="59">
        <v>1820.82</v>
      </c>
      <c r="C1917" s="59">
        <v>2999</v>
      </c>
      <c r="D1917" s="59" t="s">
        <v>803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ht="15.2" spans="1:10">
      <c r="A1918" s="58" t="s">
        <v>2640</v>
      </c>
      <c r="B1918" s="59">
        <v>2124.39</v>
      </c>
      <c r="C1918" s="59">
        <v>3499</v>
      </c>
      <c r="D1918" s="59" t="s">
        <v>803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ht="15.2" spans="1:10">
      <c r="A1919" s="58" t="s">
        <v>2641</v>
      </c>
      <c r="B1919" s="59">
        <v>1456.54</v>
      </c>
      <c r="C1919" s="59">
        <v>2399</v>
      </c>
      <c r="D1919" s="59" t="s">
        <v>803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ht="15.2" spans="1:10">
      <c r="A1920" s="58" t="s">
        <v>2642</v>
      </c>
      <c r="B1920" s="59">
        <v>538</v>
      </c>
      <c r="C1920" s="59">
        <v>1250</v>
      </c>
      <c r="D1920" s="59" t="s">
        <v>801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ht="15.2" spans="1:10">
      <c r="A1921" s="58" t="s">
        <v>105</v>
      </c>
      <c r="B1921" s="59">
        <v>242</v>
      </c>
      <c r="C1921" s="59">
        <v>570</v>
      </c>
      <c r="D1921" s="59" t="s">
        <v>801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</v>
      </c>
      <c r="J1921" s="60">
        <f t="shared" si="90"/>
        <v>741</v>
      </c>
    </row>
    <row r="1922" ht="15.2" spans="1:10">
      <c r="A1922" s="58" t="s">
        <v>2643</v>
      </c>
      <c r="B1922" s="59">
        <v>784</v>
      </c>
      <c r="C1922" s="59">
        <v>1999</v>
      </c>
      <c r="D1922" s="59" t="s">
        <v>801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ht="15.2" spans="1:10">
      <c r="A1923" s="58" t="s">
        <v>2644</v>
      </c>
      <c r="B1923" s="59">
        <v>1116.38</v>
      </c>
      <c r="C1923" s="59">
        <v>1699</v>
      </c>
      <c r="D1923" s="59" t="s">
        <v>803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ht="15.2" spans="1:10">
      <c r="A1924" s="58" t="s">
        <v>2645</v>
      </c>
      <c r="B1924" s="59">
        <v>1517.25</v>
      </c>
      <c r="C1924" s="59">
        <v>2499</v>
      </c>
      <c r="D1924" s="59" t="s">
        <v>803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ht="15.2" spans="1:10">
      <c r="A1925" s="58" t="s">
        <v>2646</v>
      </c>
      <c r="B1925" s="59">
        <v>938</v>
      </c>
      <c r="C1925" s="59">
        <v>2013</v>
      </c>
      <c r="D1925" s="59" t="s">
        <v>801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ht="15.2" spans="1:10">
      <c r="A1926" s="58" t="s">
        <v>2647</v>
      </c>
      <c r="B1926" s="59">
        <v>2913.68</v>
      </c>
      <c r="C1926" s="59">
        <v>4799</v>
      </c>
      <c r="D1926" s="59" t="s">
        <v>803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ht="15.2" spans="1:10">
      <c r="A1927" s="58" t="s">
        <v>706</v>
      </c>
      <c r="B1927" s="59">
        <v>384</v>
      </c>
      <c r="C1927" s="59">
        <v>966</v>
      </c>
      <c r="D1927" s="59" t="s">
        <v>801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</v>
      </c>
      <c r="J1927" s="60">
        <f t="shared" si="93"/>
        <v>1255.8</v>
      </c>
    </row>
    <row r="1928" ht="15.2" spans="1:10">
      <c r="A1928" s="58" t="s">
        <v>2648</v>
      </c>
      <c r="B1928" s="59">
        <v>0</v>
      </c>
      <c r="C1928" s="59">
        <v>0</v>
      </c>
      <c r="D1928" s="59" t="s">
        <v>815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ht="15.2" spans="1:10">
      <c r="A1929" s="58" t="s">
        <v>2649</v>
      </c>
      <c r="B1929" s="59">
        <v>1116.38</v>
      </c>
      <c r="C1929" s="59">
        <v>1699</v>
      </c>
      <c r="D1929" s="59" t="s">
        <v>803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</v>
      </c>
      <c r="J1929" s="60">
        <f t="shared" si="93"/>
        <v>1699</v>
      </c>
    </row>
    <row r="1930" ht="15.2" spans="1:10">
      <c r="A1930" s="58" t="s">
        <v>2650</v>
      </c>
      <c r="B1930" s="59">
        <v>0</v>
      </c>
      <c r="C1930" s="59">
        <v>0</v>
      </c>
      <c r="D1930" s="59" t="s">
        <v>815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ht="15.2" spans="1:10">
      <c r="A1931" s="58" t="s">
        <v>2651</v>
      </c>
      <c r="B1931" s="59">
        <v>242</v>
      </c>
      <c r="C1931" s="59">
        <v>570</v>
      </c>
      <c r="D1931" s="59" t="s">
        <v>801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338.8</v>
      </c>
      <c r="J1931" s="60">
        <f t="shared" si="93"/>
        <v>798</v>
      </c>
    </row>
    <row r="1932" ht="15.2" spans="1:10">
      <c r="A1932" s="58" t="s">
        <v>2652</v>
      </c>
      <c r="B1932" s="59">
        <v>0</v>
      </c>
      <c r="C1932" s="59">
        <v>0</v>
      </c>
      <c r="D1932" s="59" t="s">
        <v>815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ht="15.2" spans="1:10">
      <c r="A1933" s="58" t="s">
        <v>2653</v>
      </c>
      <c r="B1933" s="59">
        <v>330</v>
      </c>
      <c r="C1933" s="59">
        <v>810</v>
      </c>
      <c r="D1933" s="59" t="s">
        <v>801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ht="15.2" spans="1:10">
      <c r="A1934" s="58" t="s">
        <v>2654</v>
      </c>
      <c r="B1934" s="59">
        <v>1649.41</v>
      </c>
      <c r="C1934" s="59">
        <v>2799</v>
      </c>
      <c r="D1934" s="59" t="s">
        <v>803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ht="15.2" spans="1:10">
      <c r="A1935" s="58" t="s">
        <v>2655</v>
      </c>
      <c r="B1935" s="59">
        <v>1576.34</v>
      </c>
      <c r="C1935" s="59">
        <v>2399</v>
      </c>
      <c r="D1935" s="59" t="s">
        <v>803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ht="15.2" spans="1:10">
      <c r="A1936" s="58" t="s">
        <v>2656</v>
      </c>
      <c r="B1936" s="59">
        <v>1576.34</v>
      </c>
      <c r="C1936" s="59">
        <v>2399</v>
      </c>
      <c r="D1936" s="59" t="s">
        <v>803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ht="15.2" spans="1:10">
      <c r="A1937" s="58" t="s">
        <v>2657</v>
      </c>
      <c r="B1937" s="59">
        <v>1395.82</v>
      </c>
      <c r="C1937" s="59">
        <v>2299</v>
      </c>
      <c r="D1937" s="59" t="s">
        <v>803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ht="15.2" spans="1:10">
      <c r="A1938" s="58" t="s">
        <v>2658</v>
      </c>
      <c r="B1938" s="59">
        <v>1313.5</v>
      </c>
      <c r="C1938" s="59">
        <v>1999</v>
      </c>
      <c r="D1938" s="59" t="s">
        <v>803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ht="15.2" spans="1:10">
      <c r="A1939" s="58" t="s">
        <v>2659</v>
      </c>
      <c r="B1939" s="59">
        <v>517.45</v>
      </c>
      <c r="C1939" s="59">
        <v>799</v>
      </c>
      <c r="D1939" s="59" t="s">
        <v>803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</v>
      </c>
      <c r="J1939" s="60">
        <f t="shared" si="93"/>
        <v>799</v>
      </c>
    </row>
    <row r="1940" ht="15.2" spans="1:10">
      <c r="A1940" s="58" t="s">
        <v>2660</v>
      </c>
      <c r="B1940" s="59">
        <v>1379.21</v>
      </c>
      <c r="C1940" s="59">
        <v>2099</v>
      </c>
      <c r="D1940" s="59" t="s">
        <v>803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ht="15.2" spans="1:10">
      <c r="A1941" s="58" t="s">
        <v>2661</v>
      </c>
      <c r="B1941" s="59">
        <v>2167.7</v>
      </c>
      <c r="C1941" s="59">
        <v>3299</v>
      </c>
      <c r="D1941" s="59" t="s">
        <v>803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ht="15.2" spans="1:10">
      <c r="A1942" s="58" t="s">
        <v>2662</v>
      </c>
      <c r="B1942" s="59">
        <v>1395.82</v>
      </c>
      <c r="C1942" s="59">
        <v>2299</v>
      </c>
      <c r="D1942" s="59" t="s">
        <v>803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ht="15.2" spans="1:10">
      <c r="A1943" s="58" t="s">
        <v>60</v>
      </c>
      <c r="B1943" s="59">
        <v>616</v>
      </c>
      <c r="C1943" s="59">
        <v>1371</v>
      </c>
      <c r="D1943" s="59" t="s">
        <v>801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</v>
      </c>
      <c r="J1943" s="60">
        <f t="shared" si="93"/>
        <v>4250.1</v>
      </c>
    </row>
    <row r="1944" ht="15.2" spans="1:10">
      <c r="A1944" s="58" t="s">
        <v>2663</v>
      </c>
      <c r="B1944" s="59">
        <v>410.5</v>
      </c>
      <c r="C1944" s="59">
        <v>1354</v>
      </c>
      <c r="D1944" s="59" t="s">
        <v>801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</v>
      </c>
    </row>
    <row r="1945" ht="15.2" spans="1:10">
      <c r="A1945" s="58" t="s">
        <v>2664</v>
      </c>
      <c r="B1945" s="59">
        <v>1313.5</v>
      </c>
      <c r="C1945" s="59">
        <v>1999</v>
      </c>
      <c r="D1945" s="59" t="s">
        <v>803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ht="15.2" spans="1:10">
      <c r="A1946" s="58" t="s">
        <v>2665</v>
      </c>
      <c r="B1946" s="59">
        <v>1116.38</v>
      </c>
      <c r="C1946" s="59">
        <v>1699</v>
      </c>
      <c r="D1946" s="59" t="s">
        <v>803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</v>
      </c>
      <c r="J1946" s="60">
        <f t="shared" si="93"/>
        <v>1699</v>
      </c>
    </row>
    <row r="1947" ht="15.2" spans="1:10">
      <c r="A1947" s="58" t="s">
        <v>2666</v>
      </c>
      <c r="B1947" s="59">
        <v>1499</v>
      </c>
      <c r="C1947" s="59">
        <v>4251</v>
      </c>
      <c r="D1947" s="59" t="s">
        <v>801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ht="15.2" spans="1:10">
      <c r="A1948" s="58" t="s">
        <v>2667</v>
      </c>
      <c r="B1948" s="59">
        <v>274</v>
      </c>
      <c r="C1948" s="59">
        <v>590</v>
      </c>
      <c r="D1948" s="59" t="s">
        <v>801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ht="15.2" spans="1:10">
      <c r="A1949" s="58" t="s">
        <v>2668</v>
      </c>
      <c r="B1949" s="59">
        <v>550</v>
      </c>
      <c r="C1949" s="59">
        <v>1231</v>
      </c>
      <c r="D1949" s="59" t="s">
        <v>801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ht="15.2" spans="1:10">
      <c r="A1950" s="58" t="s">
        <v>2669</v>
      </c>
      <c r="B1950" s="59">
        <v>4856.54</v>
      </c>
      <c r="C1950" s="59">
        <v>7999</v>
      </c>
      <c r="D1950" s="59" t="s">
        <v>803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ht="15.2" spans="1:10">
      <c r="A1951" s="58" t="s">
        <v>2670</v>
      </c>
      <c r="B1951" s="59">
        <v>1116.38</v>
      </c>
      <c r="C1951" s="59">
        <v>1699</v>
      </c>
      <c r="D1951" s="59" t="s">
        <v>803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</v>
      </c>
      <c r="J1951" s="60">
        <f t="shared" si="93"/>
        <v>3398</v>
      </c>
    </row>
    <row r="1952" ht="15.2" spans="1:10">
      <c r="A1952" s="58" t="s">
        <v>2671</v>
      </c>
      <c r="B1952" s="59">
        <v>1335.11</v>
      </c>
      <c r="C1952" s="59">
        <v>2199</v>
      </c>
      <c r="D1952" s="59" t="s">
        <v>803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ht="15.2" spans="1:10">
      <c r="A1953" s="58" t="s">
        <v>2672</v>
      </c>
      <c r="B1953" s="59">
        <v>253.1</v>
      </c>
      <c r="C1953" s="59">
        <v>699</v>
      </c>
      <c r="D1953" s="59" t="s">
        <v>801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</v>
      </c>
      <c r="J1953" s="60">
        <f t="shared" si="93"/>
        <v>279.6</v>
      </c>
    </row>
    <row r="1954" ht="15.2" spans="1:10">
      <c r="A1954" s="58" t="s">
        <v>2673</v>
      </c>
      <c r="B1954" s="59">
        <v>550</v>
      </c>
      <c r="C1954" s="59">
        <v>1155</v>
      </c>
      <c r="D1954" s="59" t="s">
        <v>801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ht="15.2" spans="1:10">
      <c r="A1955" s="58" t="s">
        <v>2674</v>
      </c>
      <c r="B1955" s="59">
        <v>3763.68</v>
      </c>
      <c r="C1955" s="59">
        <v>6199</v>
      </c>
      <c r="D1955" s="59" t="s">
        <v>803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ht="15.2" spans="1:10">
      <c r="A1956" s="58" t="s">
        <v>2675</v>
      </c>
      <c r="B1956" s="59">
        <v>1247.8</v>
      </c>
      <c r="C1956" s="59">
        <v>1899</v>
      </c>
      <c r="D1956" s="59" t="s">
        <v>803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ht="15.2" spans="1:10">
      <c r="A1957" s="58" t="s">
        <v>2676</v>
      </c>
      <c r="B1957" s="59">
        <v>340</v>
      </c>
      <c r="C1957" s="59">
        <v>788</v>
      </c>
      <c r="D1957" s="59" t="s">
        <v>801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</v>
      </c>
    </row>
    <row r="1958" ht="15.2" spans="1:10">
      <c r="A1958" s="58" t="s">
        <v>2677</v>
      </c>
      <c r="B1958" s="59">
        <v>4124.41</v>
      </c>
      <c r="C1958" s="59">
        <v>6999</v>
      </c>
      <c r="D1958" s="59" t="s">
        <v>803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ht="15.2" spans="1:10">
      <c r="A1959" s="58" t="s">
        <v>2678</v>
      </c>
      <c r="B1959" s="59">
        <v>1313.5</v>
      </c>
      <c r="C1959" s="59">
        <v>1999</v>
      </c>
      <c r="D1959" s="59" t="s">
        <v>803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ht="15.2" spans="1:10">
      <c r="A1960" s="58" t="s">
        <v>2679</v>
      </c>
      <c r="B1960" s="59">
        <v>1545.44</v>
      </c>
      <c r="C1960" s="59">
        <v>2399</v>
      </c>
      <c r="D1960" s="59" t="s">
        <v>803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ht="15.2" spans="1:10">
      <c r="A1961" s="58" t="s">
        <v>2680</v>
      </c>
      <c r="B1961" s="59">
        <v>906.02</v>
      </c>
      <c r="C1961" s="59">
        <v>1399</v>
      </c>
      <c r="D1961" s="59" t="s">
        <v>803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ht="15.2" spans="1:10">
      <c r="A1962" s="58" t="s">
        <v>2681</v>
      </c>
      <c r="B1962" s="59">
        <v>1379.21</v>
      </c>
      <c r="C1962" s="59">
        <v>2099</v>
      </c>
      <c r="D1962" s="59" t="s">
        <v>803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ht="15.2" spans="1:10">
      <c r="A1963" s="58" t="s">
        <v>2682</v>
      </c>
      <c r="B1963" s="59">
        <v>499</v>
      </c>
      <c r="C1963" s="59">
        <v>1117</v>
      </c>
      <c r="D1963" s="59" t="s">
        <v>801</v>
      </c>
      <c r="E1963" s="59">
        <v>1.1</v>
      </c>
      <c r="F1963" s="59">
        <v>1.1</v>
      </c>
      <c r="G1963" s="59">
        <v>0</v>
      </c>
      <c r="H1963" s="60">
        <f t="shared" si="94"/>
        <v>1.1</v>
      </c>
      <c r="I1963" s="60">
        <f t="shared" si="92"/>
        <v>548.9</v>
      </c>
      <c r="J1963" s="60">
        <f t="shared" si="93"/>
        <v>1228.7</v>
      </c>
    </row>
    <row r="1964" ht="15.2" spans="1:10">
      <c r="A1964" s="58" t="s">
        <v>690</v>
      </c>
      <c r="B1964" s="59">
        <v>349</v>
      </c>
      <c r="C1964" s="59">
        <v>770</v>
      </c>
      <c r="D1964" s="59" t="s">
        <v>801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ht="15.2" spans="1:10">
      <c r="A1965" s="58" t="s">
        <v>2683</v>
      </c>
      <c r="B1965" s="59">
        <v>6481.55</v>
      </c>
      <c r="C1965" s="59">
        <v>10999</v>
      </c>
      <c r="D1965" s="59" t="s">
        <v>803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ht="15.2" spans="1:10">
      <c r="A1966" s="58" t="s">
        <v>2684</v>
      </c>
      <c r="B1966" s="59">
        <v>1576.34</v>
      </c>
      <c r="C1966" s="59">
        <v>2399</v>
      </c>
      <c r="D1966" s="59" t="s">
        <v>803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ht="15.2" spans="1:10">
      <c r="A1967" s="58" t="s">
        <v>2685</v>
      </c>
      <c r="B1967" s="59">
        <v>1349</v>
      </c>
      <c r="C1967" s="59">
        <v>3185</v>
      </c>
      <c r="D1967" s="59" t="s">
        <v>801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ht="15.2" spans="1:10">
      <c r="A1968" s="58" t="s">
        <v>2686</v>
      </c>
      <c r="B1968" s="59">
        <v>1274.39</v>
      </c>
      <c r="C1968" s="59">
        <v>2099</v>
      </c>
      <c r="D1968" s="59" t="s">
        <v>803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</v>
      </c>
      <c r="J1968" s="60">
        <f t="shared" si="93"/>
        <v>4198</v>
      </c>
    </row>
    <row r="1969" ht="15.2" spans="1:10">
      <c r="A1969" s="58" t="s">
        <v>2687</v>
      </c>
      <c r="B1969" s="59">
        <v>1456.54</v>
      </c>
      <c r="C1969" s="59">
        <v>2399</v>
      </c>
      <c r="D1969" s="59" t="s">
        <v>803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ht="15.2" spans="1:10">
      <c r="A1970" s="58" t="s">
        <v>2688</v>
      </c>
      <c r="B1970" s="59">
        <v>1642.05</v>
      </c>
      <c r="C1970" s="59">
        <v>2499</v>
      </c>
      <c r="D1970" s="59" t="s">
        <v>803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ht="15.2" spans="1:10">
      <c r="A1971" s="58" t="s">
        <v>2689</v>
      </c>
      <c r="B1971" s="59">
        <v>2124.4</v>
      </c>
      <c r="C1971" s="59">
        <v>3499</v>
      </c>
      <c r="D1971" s="59" t="s">
        <v>803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ht="15.2" spans="1:10">
      <c r="A1972" s="58" t="s">
        <v>723</v>
      </c>
      <c r="B1972" s="59">
        <v>364</v>
      </c>
      <c r="C1972" s="59">
        <v>743</v>
      </c>
      <c r="D1972" s="59" t="s">
        <v>801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ht="15.2" spans="1:10">
      <c r="A1973" s="58" t="s">
        <v>2690</v>
      </c>
      <c r="B1973" s="59">
        <v>562</v>
      </c>
      <c r="C1973" s="59">
        <v>1181</v>
      </c>
      <c r="D1973" s="59" t="s">
        <v>801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ht="15.2" spans="1:10">
      <c r="A1974" s="58" t="s">
        <v>2691</v>
      </c>
      <c r="B1974" s="59">
        <v>1760.11</v>
      </c>
      <c r="C1974" s="59">
        <v>2899</v>
      </c>
      <c r="D1974" s="59" t="s">
        <v>803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ht="15.2" spans="1:10">
      <c r="A1975" s="58" t="s">
        <v>2692</v>
      </c>
      <c r="B1975" s="59">
        <v>364</v>
      </c>
      <c r="C1975" s="59">
        <v>862</v>
      </c>
      <c r="D1975" s="59" t="s">
        <v>801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ht="15.2" spans="1:10">
      <c r="A1976" s="58" t="s">
        <v>2693</v>
      </c>
      <c r="B1976" s="59">
        <v>273</v>
      </c>
      <c r="C1976" s="59">
        <v>590</v>
      </c>
      <c r="D1976" s="59" t="s">
        <v>801</v>
      </c>
      <c r="E1976" s="59">
        <v>1.1</v>
      </c>
      <c r="F1976" s="59">
        <v>1.1</v>
      </c>
      <c r="G1976" s="59">
        <v>0</v>
      </c>
      <c r="H1976" s="60">
        <f t="shared" si="94"/>
        <v>1.1</v>
      </c>
      <c r="I1976" s="60">
        <f t="shared" si="92"/>
        <v>300.3</v>
      </c>
      <c r="J1976" s="60">
        <f t="shared" si="93"/>
        <v>649</v>
      </c>
    </row>
    <row r="1977" ht="15.2" spans="1:10">
      <c r="A1977" s="58" t="s">
        <v>2694</v>
      </c>
      <c r="B1977" s="59">
        <v>901.24</v>
      </c>
      <c r="C1977" s="59">
        <v>1399</v>
      </c>
      <c r="D1977" s="59" t="s">
        <v>803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ht="15.2" spans="1:10">
      <c r="A1978" s="58" t="s">
        <v>52</v>
      </c>
      <c r="B1978" s="59">
        <v>409</v>
      </c>
      <c r="C1978" s="59">
        <v>1032</v>
      </c>
      <c r="D1978" s="59" t="s">
        <v>801</v>
      </c>
      <c r="E1978" s="59">
        <v>9.2</v>
      </c>
      <c r="F1978" s="59">
        <v>9.2</v>
      </c>
      <c r="G1978" s="59">
        <v>0</v>
      </c>
      <c r="H1978" s="60">
        <f t="shared" si="94"/>
        <v>9.2</v>
      </c>
      <c r="I1978" s="60">
        <f t="shared" si="92"/>
        <v>3762.8</v>
      </c>
      <c r="J1978" s="60">
        <f t="shared" si="93"/>
        <v>9494.4</v>
      </c>
    </row>
    <row r="1979" ht="15.2" spans="1:10">
      <c r="A1979" s="58" t="s">
        <v>2695</v>
      </c>
      <c r="B1979" s="59">
        <v>582.21</v>
      </c>
      <c r="C1979" s="59">
        <v>899</v>
      </c>
      <c r="D1979" s="59" t="s">
        <v>803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ht="15.2" spans="1:10">
      <c r="A1980" s="58" t="s">
        <v>2696</v>
      </c>
      <c r="B1980" s="59">
        <v>846</v>
      </c>
      <c r="C1980" s="59">
        <v>2078</v>
      </c>
      <c r="D1980" s="59" t="s">
        <v>801</v>
      </c>
      <c r="E1980" s="59">
        <v>4.9</v>
      </c>
      <c r="F1980" s="59">
        <v>4.9</v>
      </c>
      <c r="G1980" s="59">
        <v>0</v>
      </c>
      <c r="H1980" s="60">
        <f t="shared" si="94"/>
        <v>4.9</v>
      </c>
      <c r="I1980" s="60">
        <f t="shared" si="92"/>
        <v>4145.4</v>
      </c>
      <c r="J1980" s="60">
        <f t="shared" si="93"/>
        <v>10182.2</v>
      </c>
    </row>
    <row r="1981" ht="15.2" spans="1:10">
      <c r="A1981" s="58" t="s">
        <v>2697</v>
      </c>
      <c r="B1981" s="59">
        <v>1129.44</v>
      </c>
      <c r="C1981" s="59">
        <v>1799</v>
      </c>
      <c r="D1981" s="59" t="s">
        <v>803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ht="15.2" spans="1:10">
      <c r="A1982" s="58" t="s">
        <v>2698</v>
      </c>
      <c r="B1982" s="59">
        <v>1213.68</v>
      </c>
      <c r="C1982" s="59">
        <v>1999</v>
      </c>
      <c r="D1982" s="59" t="s">
        <v>803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ht="15.2" spans="1:10">
      <c r="A1983" s="58" t="s">
        <v>2699</v>
      </c>
      <c r="B1983" s="59">
        <v>378</v>
      </c>
      <c r="C1983" s="59">
        <v>973</v>
      </c>
      <c r="D1983" s="59" t="s">
        <v>801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</v>
      </c>
      <c r="J1983" s="60">
        <f t="shared" si="93"/>
        <v>97.3</v>
      </c>
    </row>
    <row r="1984" ht="15.2" spans="1:10">
      <c r="A1984" s="58" t="s">
        <v>2700</v>
      </c>
      <c r="B1984" s="59">
        <v>351</v>
      </c>
      <c r="C1984" s="59">
        <v>820</v>
      </c>
      <c r="D1984" s="59" t="s">
        <v>801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ht="15.2" spans="1:10">
      <c r="A1985" s="58" t="s">
        <v>2701</v>
      </c>
      <c r="B1985" s="59">
        <v>1116.38</v>
      </c>
      <c r="C1985" s="59">
        <v>1699</v>
      </c>
      <c r="D1985" s="59" t="s">
        <v>803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</v>
      </c>
      <c r="J1985" s="60">
        <f t="shared" si="93"/>
        <v>1699</v>
      </c>
    </row>
    <row r="1986" ht="15.2" spans="1:10">
      <c r="A1986" s="58" t="s">
        <v>2702</v>
      </c>
      <c r="B1986" s="59">
        <v>1094.5</v>
      </c>
      <c r="C1986" s="59">
        <v>1699</v>
      </c>
      <c r="D1986" s="59" t="s">
        <v>803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ht="15.2" spans="1:10">
      <c r="A1987" s="58" t="s">
        <v>2703</v>
      </c>
      <c r="B1987" s="59">
        <v>1247.8</v>
      </c>
      <c r="C1987" s="59">
        <v>1899</v>
      </c>
      <c r="D1987" s="59" t="s">
        <v>803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ht="15.2" spans="1:10">
      <c r="A1988" s="58" t="s">
        <v>2704</v>
      </c>
      <c r="B1988" s="59">
        <v>1274.4</v>
      </c>
      <c r="C1988" s="59">
        <v>2099</v>
      </c>
      <c r="D1988" s="59" t="s">
        <v>803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ht="15.2" spans="1:10">
      <c r="A1989" s="58" t="s">
        <v>2705</v>
      </c>
      <c r="B1989" s="59">
        <v>278</v>
      </c>
      <c r="C1989" s="59">
        <v>595</v>
      </c>
      <c r="D1989" s="59" t="s">
        <v>801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264.1</v>
      </c>
      <c r="J1989" s="60">
        <f t="shared" si="96"/>
        <v>565.25</v>
      </c>
    </row>
    <row r="1990" ht="15.2" spans="1:10">
      <c r="A1990" s="58" t="s">
        <v>2706</v>
      </c>
      <c r="B1990" s="59">
        <v>1274.39</v>
      </c>
      <c r="C1990" s="59">
        <v>2099</v>
      </c>
      <c r="D1990" s="59" t="s">
        <v>803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ht="15.2" spans="1:10">
      <c r="A1991" s="58" t="s">
        <v>164</v>
      </c>
      <c r="B1991" s="59">
        <v>525</v>
      </c>
      <c r="C1991" s="59">
        <v>1149</v>
      </c>
      <c r="D1991" s="59" t="s">
        <v>801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ht="15.2" spans="1:10">
      <c r="A1992" s="58" t="s">
        <v>2707</v>
      </c>
      <c r="B1992" s="59">
        <v>1274.39</v>
      </c>
      <c r="C1992" s="59">
        <v>2099</v>
      </c>
      <c r="D1992" s="59" t="s">
        <v>803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</v>
      </c>
      <c r="J1992" s="60">
        <f t="shared" si="96"/>
        <v>2099</v>
      </c>
    </row>
    <row r="1993" ht="15.2" spans="1:10">
      <c r="A1993" s="58" t="s">
        <v>2708</v>
      </c>
      <c r="B1993" s="59">
        <v>2063.68</v>
      </c>
      <c r="C1993" s="59">
        <v>3399</v>
      </c>
      <c r="D1993" s="59" t="s">
        <v>803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ht="15.2" spans="1:10">
      <c r="A1994" s="58" t="s">
        <v>2709</v>
      </c>
      <c r="B1994" s="59">
        <v>564</v>
      </c>
      <c r="C1994" s="59">
        <v>1304</v>
      </c>
      <c r="D1994" s="59" t="s">
        <v>801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ht="15.2" spans="1:10">
      <c r="A1995" s="58" t="s">
        <v>2710</v>
      </c>
      <c r="B1995" s="59">
        <v>1456.54</v>
      </c>
      <c r="C1995" s="59">
        <v>2399</v>
      </c>
      <c r="D1995" s="59" t="s">
        <v>803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ht="15.2" spans="1:10">
      <c r="A1996" s="58" t="s">
        <v>2711</v>
      </c>
      <c r="B1996" s="59">
        <v>1707.76</v>
      </c>
      <c r="C1996" s="59">
        <v>2599</v>
      </c>
      <c r="D1996" s="59" t="s">
        <v>803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ht="15.2" spans="1:10">
      <c r="A1997" s="58" t="s">
        <v>2712</v>
      </c>
      <c r="B1997" s="59">
        <v>1416.6</v>
      </c>
      <c r="C1997" s="59">
        <v>2199</v>
      </c>
      <c r="D1997" s="59" t="s">
        <v>803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ht="15.2" spans="1:10">
      <c r="A1998" s="58" t="s">
        <v>2713</v>
      </c>
      <c r="B1998" s="59">
        <v>322</v>
      </c>
      <c r="C1998" s="59">
        <v>680</v>
      </c>
      <c r="D1998" s="59" t="s">
        <v>801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</v>
      </c>
      <c r="J1998" s="60">
        <f t="shared" si="96"/>
        <v>7174</v>
      </c>
    </row>
    <row r="1999" ht="15.2" spans="1:10">
      <c r="A1999" s="58" t="s">
        <v>2714</v>
      </c>
      <c r="B1999" s="59">
        <v>1472.63</v>
      </c>
      <c r="C1999" s="59">
        <v>2499</v>
      </c>
      <c r="D1999" s="59" t="s">
        <v>803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</v>
      </c>
      <c r="J1999" s="60">
        <f t="shared" si="96"/>
        <v>7497</v>
      </c>
    </row>
    <row r="2000" ht="15.2" spans="1:10">
      <c r="A2000" s="58" t="s">
        <v>2715</v>
      </c>
      <c r="B2000" s="59">
        <v>1456.54</v>
      </c>
      <c r="C2000" s="59">
        <v>2399</v>
      </c>
      <c r="D2000" s="59" t="s">
        <v>803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ht="15.2" spans="1:10">
      <c r="A2001" s="58" t="s">
        <v>2716</v>
      </c>
      <c r="B2001" s="59">
        <v>295.02</v>
      </c>
      <c r="C2001" s="59">
        <v>449</v>
      </c>
      <c r="D2001" s="59" t="s">
        <v>803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ht="15.2" spans="1:10">
      <c r="A2002" s="58" t="s">
        <v>2717</v>
      </c>
      <c r="B2002" s="59">
        <v>1313.5</v>
      </c>
      <c r="C2002" s="59">
        <v>1999</v>
      </c>
      <c r="D2002" s="59" t="s">
        <v>803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ht="15.2" spans="1:10">
      <c r="A2003" s="58" t="s">
        <v>2718</v>
      </c>
      <c r="B2003" s="59">
        <v>908.83</v>
      </c>
      <c r="C2003" s="59">
        <v>1399</v>
      </c>
      <c r="D2003" s="59" t="s">
        <v>803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ht="15.2" spans="1:10">
      <c r="A2004" s="58" t="s">
        <v>2719</v>
      </c>
      <c r="B2004" s="59">
        <v>2063.68</v>
      </c>
      <c r="C2004" s="59">
        <v>3399</v>
      </c>
      <c r="D2004" s="59" t="s">
        <v>803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ht="15.2" spans="1:10">
      <c r="A2005" s="58" t="s">
        <v>2720</v>
      </c>
      <c r="B2005" s="59">
        <v>1295.84</v>
      </c>
      <c r="C2005" s="59">
        <v>2199</v>
      </c>
      <c r="D2005" s="59" t="s">
        <v>803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2591.68</v>
      </c>
      <c r="J2005" s="60">
        <f t="shared" si="96"/>
        <v>4398</v>
      </c>
    </row>
    <row r="2006" ht="15.2" spans="1:10">
      <c r="A2006" s="58" t="s">
        <v>2721</v>
      </c>
      <c r="B2006" s="59">
        <v>474</v>
      </c>
      <c r="C2006" s="59">
        <v>1079</v>
      </c>
      <c r="D2006" s="59" t="s">
        <v>801</v>
      </c>
      <c r="E2006" s="59">
        <v>17.6</v>
      </c>
      <c r="F2006" s="59">
        <v>17.6</v>
      </c>
      <c r="G2006" s="59">
        <v>0</v>
      </c>
      <c r="H2006" s="60">
        <f t="shared" si="94"/>
        <v>17.6</v>
      </c>
      <c r="I2006" s="60">
        <f t="shared" si="95"/>
        <v>8342.4</v>
      </c>
      <c r="J2006" s="60">
        <f t="shared" si="96"/>
        <v>18990.4</v>
      </c>
    </row>
    <row r="2007" ht="15.2" spans="1:10">
      <c r="A2007" s="58" t="s">
        <v>2722</v>
      </c>
      <c r="B2007" s="59">
        <v>4598.9</v>
      </c>
      <c r="C2007" s="59">
        <v>6999</v>
      </c>
      <c r="D2007" s="59" t="s">
        <v>803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4598.9</v>
      </c>
      <c r="J2007" s="60">
        <f t="shared" si="96"/>
        <v>6999</v>
      </c>
    </row>
    <row r="2008" ht="15.2" spans="1:10">
      <c r="A2008" s="58" t="s">
        <v>2723</v>
      </c>
      <c r="B2008" s="59">
        <v>1354.77</v>
      </c>
      <c r="C2008" s="59">
        <v>2299</v>
      </c>
      <c r="D2008" s="59" t="s">
        <v>803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ht="15.2" spans="1:10">
      <c r="A2009" s="58" t="s">
        <v>2724</v>
      </c>
      <c r="B2009" s="59">
        <v>410</v>
      </c>
      <c r="C2009" s="59">
        <v>1040</v>
      </c>
      <c r="D2009" s="59" t="s">
        <v>801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ht="15.2" spans="1:10">
      <c r="A2010" s="58" t="s">
        <v>2725</v>
      </c>
      <c r="B2010" s="59">
        <v>1119.05</v>
      </c>
      <c r="C2010" s="59">
        <v>1899</v>
      </c>
      <c r="D2010" s="59" t="s">
        <v>803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ht="15.2" spans="1:10">
      <c r="A2011" s="58" t="s">
        <v>2726</v>
      </c>
      <c r="B2011" s="59">
        <v>1031.54</v>
      </c>
      <c r="C2011" s="59">
        <v>1699</v>
      </c>
      <c r="D2011" s="59" t="s">
        <v>803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ht="15.2" spans="1:10">
      <c r="A2012" s="58" t="s">
        <v>2727</v>
      </c>
      <c r="B2012" s="59">
        <v>1213.68</v>
      </c>
      <c r="C2012" s="59">
        <v>1999</v>
      </c>
      <c r="D2012" s="59" t="s">
        <v>803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ht="15.2" spans="1:10">
      <c r="A2013" s="58" t="s">
        <v>2728</v>
      </c>
      <c r="B2013" s="59">
        <v>841</v>
      </c>
      <c r="C2013" s="59">
        <v>2089</v>
      </c>
      <c r="D2013" s="59" t="s">
        <v>801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</v>
      </c>
      <c r="J2013" s="60">
        <f t="shared" si="96"/>
        <v>5640.3</v>
      </c>
    </row>
    <row r="2014" ht="15.2" spans="1:10">
      <c r="A2014" s="58" t="s">
        <v>2729</v>
      </c>
      <c r="B2014" s="59">
        <v>1050.67</v>
      </c>
      <c r="C2014" s="59">
        <v>1599</v>
      </c>
      <c r="D2014" s="59" t="s">
        <v>803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ht="15.2" spans="1:10">
      <c r="A2015" s="58" t="s">
        <v>2730</v>
      </c>
      <c r="B2015" s="59">
        <v>841.26</v>
      </c>
      <c r="C2015" s="59">
        <v>1299</v>
      </c>
      <c r="D2015" s="59" t="s">
        <v>803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ht="15.2" spans="1:10">
      <c r="A2016" s="58" t="s">
        <v>2731</v>
      </c>
      <c r="B2016" s="59">
        <v>1395.82</v>
      </c>
      <c r="C2016" s="59">
        <v>2299</v>
      </c>
      <c r="D2016" s="59" t="s">
        <v>803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ht="15.2" spans="1:10">
      <c r="A2017" s="58" t="s">
        <v>2732</v>
      </c>
      <c r="B2017" s="59">
        <v>349</v>
      </c>
      <c r="C2017" s="59">
        <v>735</v>
      </c>
      <c r="D2017" s="59" t="s">
        <v>801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ht="15.2" spans="1:10">
      <c r="A2018" s="58" t="s">
        <v>2733</v>
      </c>
      <c r="B2018" s="59">
        <v>1119.05</v>
      </c>
      <c r="C2018" s="59">
        <v>1899</v>
      </c>
      <c r="D2018" s="59" t="s">
        <v>803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ht="15.2" spans="1:10">
      <c r="A2019" s="58" t="s">
        <v>2734</v>
      </c>
      <c r="B2019" s="59">
        <v>517.45</v>
      </c>
      <c r="C2019" s="59">
        <v>799</v>
      </c>
      <c r="D2019" s="59" t="s">
        <v>803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</v>
      </c>
      <c r="J2019" s="60">
        <f t="shared" si="96"/>
        <v>2397</v>
      </c>
    </row>
    <row r="2020" ht="15.2" spans="1:10">
      <c r="A2020" s="58" t="s">
        <v>2735</v>
      </c>
      <c r="B2020" s="59">
        <v>4249.39</v>
      </c>
      <c r="C2020" s="59">
        <v>6999</v>
      </c>
      <c r="D2020" s="59" t="s">
        <v>803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</v>
      </c>
      <c r="J2020" s="60">
        <f t="shared" si="96"/>
        <v>6999</v>
      </c>
    </row>
    <row r="2021" ht="15.2" spans="1:10">
      <c r="A2021" s="58" t="s">
        <v>2736</v>
      </c>
      <c r="B2021" s="59">
        <v>769</v>
      </c>
      <c r="C2021" s="59">
        <v>1831</v>
      </c>
      <c r="D2021" s="59" t="s">
        <v>801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ht="15.2" spans="1:10">
      <c r="A2022" s="58" t="s">
        <v>2737</v>
      </c>
      <c r="B2022" s="59">
        <v>1313.5</v>
      </c>
      <c r="C2022" s="59">
        <v>1999</v>
      </c>
      <c r="D2022" s="59" t="s">
        <v>803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ht="15.2" spans="1:10">
      <c r="A2023" s="58" t="s">
        <v>2738</v>
      </c>
      <c r="B2023" s="59">
        <v>0</v>
      </c>
      <c r="C2023" s="59">
        <v>0</v>
      </c>
      <c r="D2023" s="59" t="s">
        <v>815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ht="15.2" spans="1:10">
      <c r="A2024" s="58" t="s">
        <v>2739</v>
      </c>
      <c r="B2024" s="59">
        <v>254</v>
      </c>
      <c r="C2024" s="59">
        <v>551</v>
      </c>
      <c r="D2024" s="59" t="s">
        <v>801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ht="15.2" spans="1:10">
      <c r="A2025" s="58" t="s">
        <v>2740</v>
      </c>
      <c r="B2025" s="59">
        <v>1158.92</v>
      </c>
      <c r="C2025" s="59">
        <v>1799</v>
      </c>
      <c r="D2025" s="59" t="s">
        <v>803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ht="15.2" spans="1:10">
      <c r="A2026" s="58" t="s">
        <v>2741</v>
      </c>
      <c r="B2026" s="59">
        <v>1354.77</v>
      </c>
      <c r="C2026" s="59">
        <v>2299</v>
      </c>
      <c r="D2026" s="59" t="s">
        <v>803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ht="15.2" spans="1:10">
      <c r="A2027" s="58" t="s">
        <v>2742</v>
      </c>
      <c r="B2027" s="59">
        <v>1354.77</v>
      </c>
      <c r="C2027" s="59">
        <v>2299</v>
      </c>
      <c r="D2027" s="59" t="s">
        <v>803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ht="15.2" spans="1:10">
      <c r="A2028" s="58" t="s">
        <v>2743</v>
      </c>
      <c r="B2028" s="59">
        <v>2185.11</v>
      </c>
      <c r="C2028" s="59">
        <v>3599</v>
      </c>
      <c r="D2028" s="59" t="s">
        <v>803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ht="15.2" spans="1:10">
      <c r="A2029" s="58" t="s">
        <v>2744</v>
      </c>
      <c r="B2029" s="59">
        <v>1674.28</v>
      </c>
      <c r="C2029" s="59">
        <v>2599</v>
      </c>
      <c r="D2029" s="59" t="s">
        <v>803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ht="15.2" spans="1:10">
      <c r="A2030" s="58" t="s">
        <v>2745</v>
      </c>
      <c r="B2030" s="59">
        <v>2364.83</v>
      </c>
      <c r="C2030" s="59">
        <v>3599</v>
      </c>
      <c r="D2030" s="59" t="s">
        <v>803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ht="15.2" spans="1:10">
      <c r="A2031" s="58" t="s">
        <v>2746</v>
      </c>
      <c r="B2031" s="59">
        <v>250</v>
      </c>
      <c r="C2031" s="59">
        <v>520</v>
      </c>
      <c r="D2031" s="59" t="s">
        <v>801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ht="15.2" spans="1:10">
      <c r="A2032" s="58" t="s">
        <v>2747</v>
      </c>
      <c r="B2032" s="59">
        <v>532</v>
      </c>
      <c r="C2032" s="59">
        <v>1181</v>
      </c>
      <c r="D2032" s="59" t="s">
        <v>801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ht="15.2" spans="1:10">
      <c r="A2033" s="58" t="s">
        <v>2748</v>
      </c>
      <c r="B2033" s="59">
        <v>1444.92</v>
      </c>
      <c r="C2033" s="59">
        <v>2199</v>
      </c>
      <c r="D2033" s="59" t="s">
        <v>803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ht="15.2" spans="1:10">
      <c r="A2034" s="58" t="s">
        <v>2749</v>
      </c>
      <c r="B2034" s="59">
        <v>270</v>
      </c>
      <c r="C2034" s="59">
        <v>570</v>
      </c>
      <c r="D2034" s="59" t="s">
        <v>801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ht="15.2" spans="1:10">
      <c r="A2035" s="58" t="s">
        <v>2750</v>
      </c>
      <c r="B2035" s="59">
        <v>2731.54</v>
      </c>
      <c r="C2035" s="59">
        <v>4499</v>
      </c>
      <c r="D2035" s="59" t="s">
        <v>803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ht="15.2" spans="1:10">
      <c r="A2036" s="58" t="s">
        <v>2751</v>
      </c>
      <c r="B2036" s="59">
        <v>1472.63</v>
      </c>
      <c r="C2036" s="59">
        <v>2499</v>
      </c>
      <c r="D2036" s="59" t="s">
        <v>803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ht="15.2" spans="1:10">
      <c r="A2037" s="58" t="s">
        <v>2752</v>
      </c>
      <c r="B2037" s="59">
        <v>1577.96</v>
      </c>
      <c r="C2037" s="59">
        <v>2599</v>
      </c>
      <c r="D2037" s="59" t="s">
        <v>803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ht="15.2" spans="1:10">
      <c r="A2038" s="58" t="s">
        <v>2753</v>
      </c>
      <c r="B2038" s="59">
        <v>1456.54</v>
      </c>
      <c r="C2038" s="59">
        <v>2399</v>
      </c>
      <c r="D2038" s="59" t="s">
        <v>803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ht="15.2" spans="1:10">
      <c r="A2039" s="58" t="s">
        <v>2754</v>
      </c>
      <c r="B2039" s="59">
        <v>351.7</v>
      </c>
      <c r="C2039" s="59">
        <v>1093</v>
      </c>
      <c r="D2039" s="59" t="s">
        <v>801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211.02</v>
      </c>
      <c r="J2039" s="60">
        <f t="shared" si="96"/>
        <v>655.8</v>
      </c>
    </row>
    <row r="2040" ht="15.2" spans="1:10">
      <c r="A2040" s="58" t="s">
        <v>2755</v>
      </c>
      <c r="B2040" s="59">
        <v>2523.36</v>
      </c>
      <c r="C2040" s="59">
        <v>5248</v>
      </c>
      <c r="D2040" s="59" t="s">
        <v>801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</v>
      </c>
      <c r="J2040" s="60">
        <f t="shared" si="96"/>
        <v>59302.4</v>
      </c>
    </row>
    <row r="2041" ht="15.2" spans="1:10">
      <c r="A2041" s="58" t="s">
        <v>2756</v>
      </c>
      <c r="B2041" s="59">
        <v>317</v>
      </c>
      <c r="C2041" s="59">
        <v>795</v>
      </c>
      <c r="D2041" s="59" t="s">
        <v>801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ht="15.2" spans="1:10">
      <c r="A2042" s="58" t="s">
        <v>2757</v>
      </c>
      <c r="B2042" s="59">
        <v>308</v>
      </c>
      <c r="C2042" s="59">
        <v>714</v>
      </c>
      <c r="D2042" s="59" t="s">
        <v>801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</v>
      </c>
    </row>
    <row r="2043" ht="15.2" spans="1:10">
      <c r="A2043" s="58" t="s">
        <v>2758</v>
      </c>
      <c r="B2043" s="59">
        <v>413</v>
      </c>
      <c r="C2043" s="59">
        <v>899</v>
      </c>
      <c r="D2043" s="59" t="s">
        <v>801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</v>
      </c>
      <c r="J2043" s="60">
        <f t="shared" si="96"/>
        <v>719.2</v>
      </c>
    </row>
    <row r="2044" ht="15.2" spans="1:10">
      <c r="A2044" s="58" t="s">
        <v>2759</v>
      </c>
      <c r="B2044" s="59">
        <v>449</v>
      </c>
      <c r="C2044" s="59">
        <v>943</v>
      </c>
      <c r="D2044" s="59" t="s">
        <v>801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ht="15.2" spans="1:10">
      <c r="A2045" s="58" t="s">
        <v>2760</v>
      </c>
      <c r="B2045" s="59">
        <v>1577.96</v>
      </c>
      <c r="C2045" s="59">
        <v>2599</v>
      </c>
      <c r="D2045" s="59" t="s">
        <v>803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ht="15.2" spans="1:10">
      <c r="A2046" s="58" t="s">
        <v>2761</v>
      </c>
      <c r="B2046" s="59">
        <v>4124.41</v>
      </c>
      <c r="C2046" s="59">
        <v>6999</v>
      </c>
      <c r="D2046" s="59" t="s">
        <v>803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ht="15.2" spans="1:10">
      <c r="A2047" s="58" t="s">
        <v>2762</v>
      </c>
      <c r="B2047" s="59">
        <v>499</v>
      </c>
      <c r="C2047" s="59">
        <v>1048</v>
      </c>
      <c r="D2047" s="59" t="s">
        <v>801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ht="15.2" spans="1:10">
      <c r="A2048" s="58" t="s">
        <v>2763</v>
      </c>
      <c r="B2048" s="59">
        <v>1158.92</v>
      </c>
      <c r="C2048" s="59">
        <v>1799</v>
      </c>
      <c r="D2048" s="59" t="s">
        <v>803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ht="15.2" spans="1:10">
      <c r="A2049" s="58" t="s">
        <v>2764</v>
      </c>
      <c r="B2049" s="59">
        <v>1287.76</v>
      </c>
      <c r="C2049" s="59">
        <v>1999</v>
      </c>
      <c r="D2049" s="59" t="s">
        <v>803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ht="15.2" spans="1:10">
      <c r="A2050" s="58" t="s">
        <v>2765</v>
      </c>
      <c r="B2050" s="59">
        <v>906.02</v>
      </c>
      <c r="C2050" s="59">
        <v>1399</v>
      </c>
      <c r="D2050" s="59" t="s">
        <v>803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ht="15.2" spans="1:10">
      <c r="A2051" s="58" t="s">
        <v>2766</v>
      </c>
      <c r="B2051" s="59">
        <v>1295.84</v>
      </c>
      <c r="C2051" s="59">
        <v>2199</v>
      </c>
      <c r="D2051" s="59" t="s">
        <v>803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1295.84</v>
      </c>
      <c r="J2051" s="60">
        <f t="shared" si="99"/>
        <v>2199</v>
      </c>
    </row>
    <row r="2052" ht="15.2" spans="1:10">
      <c r="A2052" s="58" t="s">
        <v>2767</v>
      </c>
      <c r="B2052" s="59">
        <v>1738.7</v>
      </c>
      <c r="C2052" s="59">
        <v>2699</v>
      </c>
      <c r="D2052" s="59" t="s">
        <v>803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ht="15.2" spans="1:10">
      <c r="A2053" s="58" t="s">
        <v>2768</v>
      </c>
      <c r="B2053" s="59">
        <v>1177.98</v>
      </c>
      <c r="C2053" s="59">
        <v>1999</v>
      </c>
      <c r="D2053" s="59" t="s">
        <v>803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ht="15.2" spans="1:10">
      <c r="A2054" s="58" t="s">
        <v>727</v>
      </c>
      <c r="B2054" s="59">
        <v>1349</v>
      </c>
      <c r="C2054" s="59">
        <v>2833</v>
      </c>
      <c r="D2054" s="59" t="s">
        <v>801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ht="15.2" spans="1:10">
      <c r="A2055" s="58" t="s">
        <v>2769</v>
      </c>
      <c r="B2055" s="59">
        <v>274</v>
      </c>
      <c r="C2055" s="59">
        <v>619</v>
      </c>
      <c r="D2055" s="59" t="s">
        <v>801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</v>
      </c>
      <c r="J2055" s="60">
        <f t="shared" si="99"/>
        <v>61.9</v>
      </c>
    </row>
    <row r="2056" ht="15.2" spans="1:10">
      <c r="A2056" s="58" t="s">
        <v>2770</v>
      </c>
      <c r="B2056" s="59">
        <v>1178</v>
      </c>
      <c r="C2056" s="59">
        <v>3185</v>
      </c>
      <c r="D2056" s="59" t="s">
        <v>801</v>
      </c>
      <c r="E2056" s="59">
        <v>1.1</v>
      </c>
      <c r="F2056" s="59">
        <v>1.1</v>
      </c>
      <c r="G2056" s="59">
        <v>0</v>
      </c>
      <c r="H2056" s="60">
        <f t="shared" si="97"/>
        <v>1.1</v>
      </c>
      <c r="I2056" s="60">
        <f t="shared" si="98"/>
        <v>1295.8</v>
      </c>
      <c r="J2056" s="60">
        <f t="shared" si="99"/>
        <v>3503.5</v>
      </c>
    </row>
    <row r="2057" ht="15.2" spans="1:10">
      <c r="A2057" s="58" t="s">
        <v>2771</v>
      </c>
      <c r="B2057" s="59">
        <v>374</v>
      </c>
      <c r="C2057" s="59">
        <v>951</v>
      </c>
      <c r="D2057" s="59" t="s">
        <v>801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1331.4</v>
      </c>
    </row>
    <row r="2058" ht="15.2" spans="1:10">
      <c r="A2058" s="58" t="s">
        <v>2772</v>
      </c>
      <c r="B2058" s="59">
        <v>794</v>
      </c>
      <c r="C2058" s="59">
        <v>1892</v>
      </c>
      <c r="D2058" s="59" t="s">
        <v>801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ht="15.2" spans="1:10">
      <c r="A2059" s="58" t="s">
        <v>2773</v>
      </c>
      <c r="B2059" s="59">
        <v>582.21</v>
      </c>
      <c r="C2059" s="59">
        <v>899</v>
      </c>
      <c r="D2059" s="59" t="s">
        <v>803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ht="15.2" spans="1:10">
      <c r="A2060" s="58" t="s">
        <v>2774</v>
      </c>
      <c r="B2060" s="59">
        <v>1472.63</v>
      </c>
      <c r="C2060" s="59">
        <v>2499</v>
      </c>
      <c r="D2060" s="59" t="s">
        <v>803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ht="15.2" spans="1:10">
      <c r="A2061" s="58" t="s">
        <v>2775</v>
      </c>
      <c r="B2061" s="59">
        <v>425</v>
      </c>
      <c r="C2061" s="59">
        <v>892</v>
      </c>
      <c r="D2061" s="59" t="s">
        <v>801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ht="15.2" spans="1:10">
      <c r="A2062" s="58" t="s">
        <v>2776</v>
      </c>
      <c r="B2062" s="59">
        <v>938</v>
      </c>
      <c r="C2062" s="59">
        <v>2073</v>
      </c>
      <c r="D2062" s="59" t="s">
        <v>801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562.8</v>
      </c>
      <c r="J2062" s="60">
        <f t="shared" si="99"/>
        <v>1243.8</v>
      </c>
    </row>
    <row r="2063" ht="15.2" spans="1:10">
      <c r="A2063" s="58" t="s">
        <v>2777</v>
      </c>
      <c r="B2063" s="59">
        <v>405</v>
      </c>
      <c r="C2063" s="59">
        <v>835</v>
      </c>
      <c r="D2063" s="59" t="s">
        <v>801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ht="15.2" spans="1:10">
      <c r="A2064" s="58" t="s">
        <v>2778</v>
      </c>
      <c r="B2064" s="59">
        <v>582.21</v>
      </c>
      <c r="C2064" s="59">
        <v>899</v>
      </c>
      <c r="D2064" s="59" t="s">
        <v>803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ht="15.2" spans="1:10">
      <c r="A2065" s="58" t="s">
        <v>2779</v>
      </c>
      <c r="B2065" s="59">
        <v>1638.68</v>
      </c>
      <c r="C2065" s="59">
        <v>2699</v>
      </c>
      <c r="D2065" s="59" t="s">
        <v>803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ht="15.2" spans="1:10">
      <c r="A2066" s="58" t="s">
        <v>2780</v>
      </c>
      <c r="B2066" s="59">
        <v>1699.39</v>
      </c>
      <c r="C2066" s="59">
        <v>2799</v>
      </c>
      <c r="D2066" s="59" t="s">
        <v>803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ht="15.2" spans="1:10">
      <c r="A2067" s="58" t="s">
        <v>2781</v>
      </c>
      <c r="B2067" s="59">
        <v>722.13</v>
      </c>
      <c r="C2067" s="59">
        <v>1099</v>
      </c>
      <c r="D2067" s="59" t="s">
        <v>803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ht="15.2" spans="1:10">
      <c r="A2068" s="58" t="s">
        <v>2782</v>
      </c>
      <c r="B2068" s="59">
        <v>431</v>
      </c>
      <c r="C2068" s="59">
        <v>1071</v>
      </c>
      <c r="D2068" s="59" t="s">
        <v>801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ht="15.2" spans="1:10">
      <c r="A2069" s="58" t="s">
        <v>2783</v>
      </c>
      <c r="B2069" s="59">
        <v>2913.68</v>
      </c>
      <c r="C2069" s="59">
        <v>4799</v>
      </c>
      <c r="D2069" s="59" t="s">
        <v>803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ht="15.2" spans="1:10">
      <c r="A2070" s="58" t="s">
        <v>2784</v>
      </c>
      <c r="B2070" s="59">
        <v>1213.68</v>
      </c>
      <c r="C2070" s="59">
        <v>1999</v>
      </c>
      <c r="D2070" s="59" t="s">
        <v>803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ht="15.2" spans="1:10">
      <c r="A2071" s="58" t="s">
        <v>2785</v>
      </c>
      <c r="B2071" s="59">
        <v>1247.8</v>
      </c>
      <c r="C2071" s="59">
        <v>1899</v>
      </c>
      <c r="D2071" s="59" t="s">
        <v>803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ht="15.2" spans="1:10">
      <c r="A2072" s="58" t="s">
        <v>2786</v>
      </c>
      <c r="B2072" s="59">
        <v>350</v>
      </c>
      <c r="C2072" s="59">
        <v>999</v>
      </c>
      <c r="D2072" s="59" t="s">
        <v>815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ht="15.2" spans="1:10">
      <c r="A2073" s="58" t="s">
        <v>2787</v>
      </c>
      <c r="B2073" s="59">
        <v>1116.38</v>
      </c>
      <c r="C2073" s="59">
        <v>1699</v>
      </c>
      <c r="D2073" s="59" t="s">
        <v>803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ht="15.2" spans="1:10">
      <c r="A2074" s="58" t="s">
        <v>2788</v>
      </c>
      <c r="B2074" s="59">
        <v>973</v>
      </c>
      <c r="C2074" s="59">
        <v>2305</v>
      </c>
      <c r="D2074" s="59" t="s">
        <v>801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ht="15.2" spans="1:10">
      <c r="A2075" s="58" t="s">
        <v>2789</v>
      </c>
      <c r="B2075" s="59">
        <v>656.42</v>
      </c>
      <c r="C2075" s="59">
        <v>999</v>
      </c>
      <c r="D2075" s="59" t="s">
        <v>803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ht="15.2" spans="1:10">
      <c r="A2076" s="58" t="s">
        <v>2790</v>
      </c>
      <c r="B2076" s="59">
        <v>0</v>
      </c>
      <c r="C2076" s="59">
        <v>0</v>
      </c>
      <c r="D2076" s="59" t="s">
        <v>815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ht="15.2" spans="1:10">
      <c r="A2077" s="58" t="s">
        <v>728</v>
      </c>
      <c r="B2077" s="59">
        <v>649</v>
      </c>
      <c r="C2077" s="59">
        <v>1447</v>
      </c>
      <c r="D2077" s="59" t="s">
        <v>801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ht="15.2" spans="1:10">
      <c r="A2078" s="58" t="s">
        <v>2791</v>
      </c>
      <c r="B2078" s="59">
        <v>1263.07</v>
      </c>
      <c r="C2078" s="59">
        <v>1999</v>
      </c>
      <c r="D2078" s="59" t="s">
        <v>803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ht="15.2" spans="1:10">
      <c r="A2079" s="58" t="s">
        <v>2792</v>
      </c>
      <c r="B2079" s="59">
        <v>1416.6</v>
      </c>
      <c r="C2079" s="59">
        <v>2199</v>
      </c>
      <c r="D2079" s="59" t="s">
        <v>803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ht="15.2" spans="1:10">
      <c r="A2080" s="58" t="s">
        <v>165</v>
      </c>
      <c r="B2080" s="59">
        <v>399</v>
      </c>
      <c r="C2080" s="59">
        <v>892</v>
      </c>
      <c r="D2080" s="59" t="s">
        <v>801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</v>
      </c>
      <c r="J2080" s="60">
        <f t="shared" si="99"/>
        <v>4192.4</v>
      </c>
    </row>
    <row r="2081" ht="15.2" spans="1:10">
      <c r="A2081" s="58" t="s">
        <v>2793</v>
      </c>
      <c r="B2081" s="59">
        <v>400</v>
      </c>
      <c r="C2081" s="59">
        <v>951</v>
      </c>
      <c r="D2081" s="59" t="s">
        <v>801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ht="15.2" spans="1:10">
      <c r="A2082" s="58" t="s">
        <v>2794</v>
      </c>
      <c r="B2082" s="59">
        <v>906.02</v>
      </c>
      <c r="C2082" s="59">
        <v>1399</v>
      </c>
      <c r="D2082" s="59" t="s">
        <v>803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ht="15.2" spans="1:10">
      <c r="A2083" s="58" t="s">
        <v>2795</v>
      </c>
      <c r="B2083" s="59">
        <v>3745.19</v>
      </c>
      <c r="C2083" s="59">
        <v>6499</v>
      </c>
      <c r="D2083" s="59" t="s">
        <v>803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ht="15.2" spans="1:10">
      <c r="A2084" s="58" t="s">
        <v>2796</v>
      </c>
      <c r="B2084" s="59">
        <v>1119.05</v>
      </c>
      <c r="C2084" s="59">
        <v>1899</v>
      </c>
      <c r="D2084" s="59" t="s">
        <v>803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ht="15.2" spans="1:10">
      <c r="A2085" s="58" t="s">
        <v>2797</v>
      </c>
      <c r="B2085" s="59">
        <v>1247.8</v>
      </c>
      <c r="C2085" s="59">
        <v>1899</v>
      </c>
      <c r="D2085" s="59" t="s">
        <v>803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ht="15.2" spans="1:10">
      <c r="A2086" s="58" t="s">
        <v>2798</v>
      </c>
      <c r="B2086" s="59">
        <v>1177.98</v>
      </c>
      <c r="C2086" s="59">
        <v>1999</v>
      </c>
      <c r="D2086" s="59" t="s">
        <v>803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ht="15.2" spans="1:10">
      <c r="A2087" s="58" t="s">
        <v>2799</v>
      </c>
      <c r="B2087" s="59">
        <v>1247.8</v>
      </c>
      <c r="C2087" s="59">
        <v>1899</v>
      </c>
      <c r="D2087" s="59" t="s">
        <v>803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ht="15.2" spans="1:10">
      <c r="A2088" s="58" t="s">
        <v>2800</v>
      </c>
      <c r="B2088" s="59">
        <v>1177.98</v>
      </c>
      <c r="C2088" s="59">
        <v>1999</v>
      </c>
      <c r="D2088" s="59" t="s">
        <v>803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ht="15.2" spans="1:10">
      <c r="A2089" s="58" t="s">
        <v>2801</v>
      </c>
      <c r="B2089" s="59">
        <v>4249.39</v>
      </c>
      <c r="C2089" s="59">
        <v>6999</v>
      </c>
      <c r="D2089" s="59" t="s">
        <v>803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</v>
      </c>
      <c r="J2089" s="60">
        <f t="shared" si="99"/>
        <v>6999</v>
      </c>
    </row>
    <row r="2090" ht="15.2" spans="1:10">
      <c r="A2090" s="58" t="s">
        <v>2802</v>
      </c>
      <c r="B2090" s="59">
        <v>426</v>
      </c>
      <c r="C2090" s="59">
        <v>927</v>
      </c>
      <c r="D2090" s="59" t="s">
        <v>801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ht="15.2" spans="1:10">
      <c r="A2091" s="58" t="s">
        <v>2803</v>
      </c>
      <c r="B2091" s="59">
        <v>1031.54</v>
      </c>
      <c r="C2091" s="59">
        <v>1699</v>
      </c>
      <c r="D2091" s="59" t="s">
        <v>803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ht="15.2" spans="1:10">
      <c r="A2092" s="58" t="s">
        <v>2804</v>
      </c>
      <c r="B2092" s="59">
        <v>912.64</v>
      </c>
      <c r="C2092" s="59">
        <v>1399</v>
      </c>
      <c r="D2092" s="59" t="s">
        <v>803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ht="15.2" spans="1:10">
      <c r="A2093" s="58" t="s">
        <v>2805</v>
      </c>
      <c r="B2093" s="59">
        <v>1030.08</v>
      </c>
      <c r="C2093" s="59">
        <v>1599</v>
      </c>
      <c r="D2093" s="59" t="s">
        <v>803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ht="15.2" spans="1:10">
      <c r="A2094" s="58" t="s">
        <v>2806</v>
      </c>
      <c r="B2094" s="59">
        <v>1642.05</v>
      </c>
      <c r="C2094" s="59">
        <v>2499</v>
      </c>
      <c r="D2094" s="59" t="s">
        <v>803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ht="15.2" spans="1:10">
      <c r="A2095" s="58" t="s">
        <v>2807</v>
      </c>
      <c r="B2095" s="59">
        <v>2610.11</v>
      </c>
      <c r="C2095" s="59">
        <v>4299</v>
      </c>
      <c r="D2095" s="59" t="s">
        <v>803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ht="15.2" spans="1:10">
      <c r="A2096" s="58" t="s">
        <v>2808</v>
      </c>
      <c r="B2096" s="59">
        <v>1395.82</v>
      </c>
      <c r="C2096" s="59">
        <v>2299</v>
      </c>
      <c r="D2096" s="59" t="s">
        <v>803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ht="15.2" spans="1:10">
      <c r="A2097" s="58" t="s">
        <v>2809</v>
      </c>
      <c r="B2097" s="59">
        <v>1517.25</v>
      </c>
      <c r="C2097" s="59">
        <v>2499</v>
      </c>
      <c r="D2097" s="59" t="s">
        <v>803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ht="15.2" spans="1:10">
      <c r="A2098" s="58" t="s">
        <v>2810</v>
      </c>
      <c r="B2098" s="59">
        <v>1313.5</v>
      </c>
      <c r="C2098" s="59">
        <v>1999</v>
      </c>
      <c r="D2098" s="59" t="s">
        <v>803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ht="15.2" spans="1:10">
      <c r="A2099" s="58" t="s">
        <v>2811</v>
      </c>
      <c r="B2099" s="59">
        <v>1092.25</v>
      </c>
      <c r="C2099" s="59">
        <v>1799</v>
      </c>
      <c r="D2099" s="59" t="s">
        <v>803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ht="15.2" spans="1:10">
      <c r="A2100" s="58" t="s">
        <v>2812</v>
      </c>
      <c r="B2100" s="59">
        <v>1379.21</v>
      </c>
      <c r="C2100" s="59">
        <v>2099</v>
      </c>
      <c r="D2100" s="59" t="s">
        <v>803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ht="15.2" spans="1:10">
      <c r="A2101" s="58" t="s">
        <v>2813</v>
      </c>
      <c r="B2101" s="59">
        <v>1395.82</v>
      </c>
      <c r="C2101" s="59">
        <v>2299</v>
      </c>
      <c r="D2101" s="59" t="s">
        <v>803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ht="15.2" spans="1:10">
      <c r="A2102" s="58" t="s">
        <v>2814</v>
      </c>
      <c r="B2102" s="59">
        <v>1760.11</v>
      </c>
      <c r="C2102" s="59">
        <v>2899</v>
      </c>
      <c r="D2102" s="59" t="s">
        <v>803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ht="15.2" spans="1:10">
      <c r="A2103" s="58" t="s">
        <v>2815</v>
      </c>
      <c r="B2103" s="59">
        <v>1444.92</v>
      </c>
      <c r="C2103" s="59">
        <v>2199</v>
      </c>
      <c r="D2103" s="59" t="s">
        <v>803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ht="15.2" spans="1:10">
      <c r="A2104" s="58" t="s">
        <v>2816</v>
      </c>
      <c r="B2104" s="59">
        <v>549.83</v>
      </c>
      <c r="C2104" s="59">
        <v>849</v>
      </c>
      <c r="D2104" s="59" t="s">
        <v>803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ht="15.2" spans="1:10">
      <c r="A2105" s="58" t="s">
        <v>2817</v>
      </c>
      <c r="B2105" s="59">
        <v>635</v>
      </c>
      <c r="C2105" s="59">
        <v>1380</v>
      </c>
      <c r="D2105" s="59" t="s">
        <v>801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ht="15.2" spans="1:10">
      <c r="A2106" s="58" t="s">
        <v>2818</v>
      </c>
      <c r="B2106" s="59">
        <v>475</v>
      </c>
      <c r="C2106" s="59">
        <v>998</v>
      </c>
      <c r="D2106" s="59" t="s">
        <v>801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</v>
      </c>
    </row>
    <row r="2107" ht="15.2" spans="1:10">
      <c r="A2107" s="58" t="s">
        <v>2819</v>
      </c>
      <c r="B2107" s="59">
        <v>517.45</v>
      </c>
      <c r="C2107" s="59">
        <v>799</v>
      </c>
      <c r="D2107" s="59" t="s">
        <v>803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</v>
      </c>
      <c r="J2107" s="60">
        <f t="shared" si="99"/>
        <v>1598</v>
      </c>
    </row>
    <row r="2108" ht="15.2" spans="1:10">
      <c r="A2108" s="58" t="s">
        <v>2820</v>
      </c>
      <c r="B2108" s="59">
        <v>306</v>
      </c>
      <c r="C2108" s="59">
        <v>750</v>
      </c>
      <c r="D2108" s="59" t="s">
        <v>801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ht="15.2" spans="1:10">
      <c r="A2109" s="58" t="s">
        <v>2821</v>
      </c>
      <c r="B2109" s="59">
        <v>787.84</v>
      </c>
      <c r="C2109" s="59">
        <v>1199</v>
      </c>
      <c r="D2109" s="59" t="s">
        <v>803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ht="15.2" spans="1:10">
      <c r="A2110" s="58" t="s">
        <v>2822</v>
      </c>
      <c r="B2110" s="59">
        <v>769</v>
      </c>
      <c r="C2110" s="59">
        <v>1825</v>
      </c>
      <c r="D2110" s="59" t="s">
        <v>801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ht="15.2" spans="1:10">
      <c r="A2111" s="58" t="s">
        <v>2823</v>
      </c>
      <c r="B2111" s="59">
        <v>1456.54</v>
      </c>
      <c r="C2111" s="59">
        <v>2399</v>
      </c>
      <c r="D2111" s="59" t="s">
        <v>803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ht="15.2" spans="1:10">
      <c r="A2112" s="58" t="s">
        <v>2824</v>
      </c>
      <c r="B2112" s="59">
        <v>1287.76</v>
      </c>
      <c r="C2112" s="59">
        <v>1999</v>
      </c>
      <c r="D2112" s="59" t="s">
        <v>803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ht="15.2" spans="1:10">
      <c r="A2113" s="58" t="s">
        <v>2825</v>
      </c>
      <c r="B2113" s="59">
        <v>1395.82</v>
      </c>
      <c r="C2113" s="59">
        <v>2299</v>
      </c>
      <c r="D2113" s="59" t="s">
        <v>803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ht="15.2" spans="1:10">
      <c r="A2114" s="58" t="s">
        <v>2826</v>
      </c>
      <c r="B2114" s="59">
        <v>646.97</v>
      </c>
      <c r="C2114" s="59">
        <v>999</v>
      </c>
      <c r="D2114" s="59" t="s">
        <v>803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ht="15.2" spans="1:10">
      <c r="A2115" s="58" t="s">
        <v>2827</v>
      </c>
      <c r="B2115" s="59">
        <v>819</v>
      </c>
      <c r="C2115" s="59">
        <v>2078</v>
      </c>
      <c r="D2115" s="59" t="s">
        <v>801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ht="15.2" spans="1:10">
      <c r="A2116" s="58" t="s">
        <v>2828</v>
      </c>
      <c r="B2116" s="59">
        <v>1456.54</v>
      </c>
      <c r="C2116" s="59">
        <v>2399</v>
      </c>
      <c r="D2116" s="59" t="s">
        <v>803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ht="15.2" spans="1:10">
      <c r="A2117" s="58" t="s">
        <v>2829</v>
      </c>
      <c r="B2117" s="59">
        <v>249</v>
      </c>
      <c r="C2117" s="59">
        <v>523</v>
      </c>
      <c r="D2117" s="59" t="s">
        <v>801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ht="15.2" spans="1:10">
      <c r="A2118" s="58" t="s">
        <v>2830</v>
      </c>
      <c r="B2118" s="59">
        <v>1177.98</v>
      </c>
      <c r="C2118" s="59">
        <v>1999</v>
      </c>
      <c r="D2118" s="59" t="s">
        <v>803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ht="15.2" spans="1:10">
      <c r="A2119" s="58" t="s">
        <v>2831</v>
      </c>
      <c r="B2119" s="59">
        <v>1236.91</v>
      </c>
      <c r="C2119" s="59">
        <v>2099</v>
      </c>
      <c r="D2119" s="59" t="s">
        <v>803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</v>
      </c>
      <c r="J2119" s="60">
        <f t="shared" si="102"/>
        <v>8396</v>
      </c>
    </row>
    <row r="2120" ht="15.2" spans="1:10">
      <c r="A2120" s="58" t="s">
        <v>2832</v>
      </c>
      <c r="B2120" s="59">
        <v>281</v>
      </c>
      <c r="C2120" s="59">
        <v>620</v>
      </c>
      <c r="D2120" s="59" t="s">
        <v>801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ht="15.2" spans="1:10">
      <c r="A2121" s="58" t="s">
        <v>2833</v>
      </c>
      <c r="B2121" s="59">
        <v>1025</v>
      </c>
      <c r="C2121" s="59">
        <v>2434</v>
      </c>
      <c r="D2121" s="59" t="s">
        <v>801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22149.4</v>
      </c>
    </row>
    <row r="2122" ht="15.2" spans="1:10">
      <c r="A2122" s="58" t="s">
        <v>2834</v>
      </c>
      <c r="B2122" s="59">
        <v>1177.98</v>
      </c>
      <c r="C2122" s="59">
        <v>1999</v>
      </c>
      <c r="D2122" s="59" t="s">
        <v>803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ht="15.2" spans="1:10">
      <c r="A2123" s="58" t="s">
        <v>2835</v>
      </c>
      <c r="B2123" s="59">
        <v>1274.39</v>
      </c>
      <c r="C2123" s="59">
        <v>2099</v>
      </c>
      <c r="D2123" s="59" t="s">
        <v>803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</v>
      </c>
      <c r="J2123" s="60">
        <f t="shared" si="102"/>
        <v>4198</v>
      </c>
    </row>
    <row r="2124" ht="15.2" spans="1:10">
      <c r="A2124" s="58" t="s">
        <v>187</v>
      </c>
      <c r="B2124" s="59">
        <v>351</v>
      </c>
      <c r="C2124" s="59">
        <v>820</v>
      </c>
      <c r="D2124" s="59" t="s">
        <v>801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ht="15.2" spans="1:10">
      <c r="A2125" s="58" t="s">
        <v>2836</v>
      </c>
      <c r="B2125" s="59">
        <v>1354.77</v>
      </c>
      <c r="C2125" s="59">
        <v>2299</v>
      </c>
      <c r="D2125" s="59" t="s">
        <v>803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ht="15.2" spans="1:10">
      <c r="A2126" s="58" t="s">
        <v>2837</v>
      </c>
      <c r="B2126" s="59">
        <v>656.42</v>
      </c>
      <c r="C2126" s="59">
        <v>999</v>
      </c>
      <c r="D2126" s="59" t="s">
        <v>803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ht="15.2" spans="1:10">
      <c r="A2127" s="58" t="s">
        <v>2838</v>
      </c>
      <c r="B2127" s="59">
        <v>451</v>
      </c>
      <c r="C2127" s="59">
        <v>938</v>
      </c>
      <c r="D2127" s="59" t="s">
        <v>801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</v>
      </c>
    </row>
    <row r="2128" ht="15.2" spans="1:10">
      <c r="A2128" s="58" t="s">
        <v>2839</v>
      </c>
      <c r="B2128" s="59">
        <v>299</v>
      </c>
      <c r="C2128" s="59">
        <v>628</v>
      </c>
      <c r="D2128" s="59" t="s">
        <v>801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209.3</v>
      </c>
      <c r="J2128" s="60">
        <f t="shared" si="102"/>
        <v>439.6</v>
      </c>
    </row>
    <row r="2129" ht="15.2" spans="1:10">
      <c r="A2129" s="58" t="s">
        <v>2840</v>
      </c>
      <c r="B2129" s="59">
        <v>1116.38</v>
      </c>
      <c r="C2129" s="59">
        <v>1699</v>
      </c>
      <c r="D2129" s="59" t="s">
        <v>803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</v>
      </c>
      <c r="J2129" s="60">
        <f t="shared" si="102"/>
        <v>1699</v>
      </c>
    </row>
    <row r="2130" ht="15.2" spans="1:10">
      <c r="A2130" s="58" t="s">
        <v>2841</v>
      </c>
      <c r="B2130" s="59">
        <v>775</v>
      </c>
      <c r="C2130" s="59">
        <v>1747</v>
      </c>
      <c r="D2130" s="59" t="s">
        <v>801</v>
      </c>
      <c r="E2130" s="59">
        <v>16.4</v>
      </c>
      <c r="F2130" s="59">
        <v>16.4</v>
      </c>
      <c r="G2130" s="59">
        <v>0</v>
      </c>
      <c r="H2130" s="60">
        <f t="shared" si="100"/>
        <v>16.4</v>
      </c>
      <c r="I2130" s="60">
        <f t="shared" si="101"/>
        <v>12710</v>
      </c>
      <c r="J2130" s="60">
        <f t="shared" si="102"/>
        <v>28650.8</v>
      </c>
    </row>
    <row r="2131" ht="15.2" spans="1:10">
      <c r="A2131" s="58" t="s">
        <v>2842</v>
      </c>
      <c r="B2131" s="59">
        <v>1456.54</v>
      </c>
      <c r="C2131" s="59">
        <v>2399</v>
      </c>
      <c r="D2131" s="59" t="s">
        <v>803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ht="15.2" spans="1:10">
      <c r="A2132" s="58" t="s">
        <v>2843</v>
      </c>
      <c r="B2132" s="59">
        <v>1247.8</v>
      </c>
      <c r="C2132" s="59">
        <v>1899</v>
      </c>
      <c r="D2132" s="59" t="s">
        <v>803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ht="15.2" spans="1:10">
      <c r="A2133" s="58" t="s">
        <v>2844</v>
      </c>
      <c r="B2133" s="59">
        <v>409</v>
      </c>
      <c r="C2133" s="59">
        <v>1032</v>
      </c>
      <c r="D2133" s="59" t="s">
        <v>801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</v>
      </c>
      <c r="J2133" s="60">
        <f t="shared" si="102"/>
        <v>4850.4</v>
      </c>
    </row>
    <row r="2134" ht="15.2" spans="1:10">
      <c r="A2134" s="58" t="s">
        <v>2845</v>
      </c>
      <c r="B2134" s="59">
        <v>365</v>
      </c>
      <c r="C2134" s="59">
        <v>907</v>
      </c>
      <c r="D2134" s="59" t="s">
        <v>801</v>
      </c>
      <c r="E2134" s="59">
        <v>1.1</v>
      </c>
      <c r="F2134" s="59">
        <v>1.1</v>
      </c>
      <c r="G2134" s="59">
        <v>0</v>
      </c>
      <c r="H2134" s="60">
        <f t="shared" si="100"/>
        <v>1.1</v>
      </c>
      <c r="I2134" s="60">
        <f t="shared" si="101"/>
        <v>401.5</v>
      </c>
      <c r="J2134" s="60">
        <f t="shared" si="102"/>
        <v>997.7</v>
      </c>
    </row>
    <row r="2135" ht="15.2" spans="1:10">
      <c r="A2135" s="58" t="s">
        <v>2846</v>
      </c>
      <c r="B2135" s="59">
        <v>255</v>
      </c>
      <c r="C2135" s="59">
        <v>569</v>
      </c>
      <c r="D2135" s="59" t="s">
        <v>801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</v>
      </c>
    </row>
    <row r="2136" ht="15.2" spans="1:10">
      <c r="A2136" s="58" t="s">
        <v>2847</v>
      </c>
      <c r="B2136" s="59">
        <v>285</v>
      </c>
      <c r="C2136" s="59">
        <v>630</v>
      </c>
      <c r="D2136" s="59" t="s">
        <v>801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ht="15.2" spans="1:10">
      <c r="A2137" s="58" t="s">
        <v>2848</v>
      </c>
      <c r="B2137" s="59">
        <v>517.45</v>
      </c>
      <c r="C2137" s="59">
        <v>799</v>
      </c>
      <c r="D2137" s="59" t="s">
        <v>803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</v>
      </c>
      <c r="J2137" s="60">
        <f t="shared" si="102"/>
        <v>799</v>
      </c>
    </row>
    <row r="2138" ht="15.2" spans="1:10">
      <c r="A2138" s="58" t="s">
        <v>2849</v>
      </c>
      <c r="B2138" s="59">
        <v>1699.39</v>
      </c>
      <c r="C2138" s="59">
        <v>2799</v>
      </c>
      <c r="D2138" s="59" t="s">
        <v>803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ht="15.2" spans="1:10">
      <c r="A2139" s="58" t="s">
        <v>2850</v>
      </c>
      <c r="B2139" s="59">
        <v>1177.98</v>
      </c>
      <c r="C2139" s="59">
        <v>1999</v>
      </c>
      <c r="D2139" s="59" t="s">
        <v>803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ht="15.2" spans="1:10">
      <c r="A2140" s="58" t="s">
        <v>2851</v>
      </c>
      <c r="B2140" s="59">
        <v>1395.82</v>
      </c>
      <c r="C2140" s="59">
        <v>2299</v>
      </c>
      <c r="D2140" s="59" t="s">
        <v>803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ht="15.2" spans="1:10">
      <c r="A2141" s="58" t="s">
        <v>2852</v>
      </c>
      <c r="B2141" s="59">
        <v>429</v>
      </c>
      <c r="C2141" s="59">
        <v>982</v>
      </c>
      <c r="D2141" s="59" t="s">
        <v>801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</v>
      </c>
      <c r="J2141" s="60">
        <f t="shared" si="102"/>
        <v>5793.8</v>
      </c>
    </row>
    <row r="2142" ht="15.2" spans="1:10">
      <c r="A2142" s="58" t="s">
        <v>2853</v>
      </c>
      <c r="B2142" s="59">
        <v>841.26</v>
      </c>
      <c r="C2142" s="59">
        <v>1299</v>
      </c>
      <c r="D2142" s="59" t="s">
        <v>803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2523.78</v>
      </c>
      <c r="J2142" s="60">
        <f t="shared" si="102"/>
        <v>3897</v>
      </c>
    </row>
    <row r="2143" ht="15.2" spans="1:10">
      <c r="A2143" s="58" t="s">
        <v>2854</v>
      </c>
      <c r="B2143" s="59">
        <v>564</v>
      </c>
      <c r="C2143" s="59">
        <v>1421</v>
      </c>
      <c r="D2143" s="59" t="s">
        <v>801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ht="15.2" spans="1:10">
      <c r="A2144" s="58" t="s">
        <v>2855</v>
      </c>
      <c r="B2144" s="59">
        <v>1335.11</v>
      </c>
      <c r="C2144" s="59">
        <v>2199</v>
      </c>
      <c r="D2144" s="59" t="s">
        <v>803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ht="15.2" spans="1:10">
      <c r="A2145" s="58" t="s">
        <v>2856</v>
      </c>
      <c r="B2145" s="59">
        <v>515</v>
      </c>
      <c r="C2145" s="59">
        <v>1061</v>
      </c>
      <c r="D2145" s="59" t="s">
        <v>801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ht="15.2" spans="1:10">
      <c r="A2146" s="58" t="s">
        <v>2857</v>
      </c>
      <c r="B2146" s="59">
        <v>1092.25</v>
      </c>
      <c r="C2146" s="59">
        <v>1799</v>
      </c>
      <c r="D2146" s="59" t="s">
        <v>803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ht="15.2" spans="1:10">
      <c r="A2147" s="58" t="s">
        <v>2858</v>
      </c>
      <c r="B2147" s="59">
        <v>1456.54</v>
      </c>
      <c r="C2147" s="59">
        <v>2399</v>
      </c>
      <c r="D2147" s="59" t="s">
        <v>803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ht="15.2" spans="1:10">
      <c r="A2148" s="58" t="s">
        <v>2859</v>
      </c>
      <c r="B2148" s="59">
        <v>1738.7</v>
      </c>
      <c r="C2148" s="59">
        <v>2699</v>
      </c>
      <c r="D2148" s="59" t="s">
        <v>803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ht="15.2" spans="1:10">
      <c r="A2149" s="58" t="s">
        <v>2860</v>
      </c>
      <c r="B2149" s="59">
        <v>906.02</v>
      </c>
      <c r="C2149" s="59">
        <v>1399</v>
      </c>
      <c r="D2149" s="59" t="s">
        <v>803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ht="15.2" spans="1:10">
      <c r="A2150" s="58" t="s">
        <v>2861</v>
      </c>
      <c r="B2150" s="59">
        <v>484</v>
      </c>
      <c r="C2150" s="59">
        <v>1048</v>
      </c>
      <c r="D2150" s="59" t="s">
        <v>801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ht="15.2" spans="1:10">
      <c r="A2151" s="58" t="s">
        <v>2862</v>
      </c>
      <c r="B2151" s="59">
        <v>1707.76</v>
      </c>
      <c r="C2151" s="59">
        <v>2599</v>
      </c>
      <c r="D2151" s="59" t="s">
        <v>803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ht="15.2" spans="1:10">
      <c r="A2152" s="58" t="s">
        <v>2863</v>
      </c>
      <c r="B2152" s="59">
        <v>1158.92</v>
      </c>
      <c r="C2152" s="59">
        <v>1799</v>
      </c>
      <c r="D2152" s="59" t="s">
        <v>803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ht="15.2" spans="1:10">
      <c r="A2153" s="58" t="s">
        <v>2864</v>
      </c>
      <c r="B2153" s="59">
        <v>1206.45</v>
      </c>
      <c r="C2153" s="59">
        <v>2586</v>
      </c>
      <c r="D2153" s="59" t="s">
        <v>801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</v>
      </c>
      <c r="J2153" s="60">
        <f t="shared" si="102"/>
        <v>1680.9</v>
      </c>
    </row>
    <row r="2154" ht="15.2" spans="1:10">
      <c r="A2154" s="58" t="s">
        <v>2865</v>
      </c>
      <c r="B2154" s="59">
        <v>1295.84</v>
      </c>
      <c r="C2154" s="59">
        <v>2199</v>
      </c>
      <c r="D2154" s="59" t="s">
        <v>803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1295.84</v>
      </c>
      <c r="J2154" s="60">
        <f t="shared" si="102"/>
        <v>2199</v>
      </c>
    </row>
    <row r="2155" ht="15.2" spans="1:10">
      <c r="A2155" s="58" t="s">
        <v>2866</v>
      </c>
      <c r="B2155" s="59">
        <v>1707.76</v>
      </c>
      <c r="C2155" s="59">
        <v>2599</v>
      </c>
      <c r="D2155" s="59" t="s">
        <v>803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ht="15.2" spans="1:10">
      <c r="A2156" s="58" t="s">
        <v>2867</v>
      </c>
      <c r="B2156" s="59">
        <v>1820.82</v>
      </c>
      <c r="C2156" s="59">
        <v>2999</v>
      </c>
      <c r="D2156" s="59" t="s">
        <v>803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ht="15.2" spans="1:10">
      <c r="A2157" s="58" t="s">
        <v>2868</v>
      </c>
      <c r="B2157" s="59">
        <v>1177.98</v>
      </c>
      <c r="C2157" s="59">
        <v>1999</v>
      </c>
      <c r="D2157" s="59" t="s">
        <v>803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ht="15.2" spans="1:10">
      <c r="A2158" s="58" t="s">
        <v>2869</v>
      </c>
      <c r="B2158" s="59">
        <v>846</v>
      </c>
      <c r="C2158" s="59">
        <v>2078</v>
      </c>
      <c r="D2158" s="59" t="s">
        <v>801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</v>
      </c>
    </row>
    <row r="2159" ht="15.2" spans="1:10">
      <c r="A2159" s="58" t="s">
        <v>2870</v>
      </c>
      <c r="B2159" s="59">
        <v>4249.39</v>
      </c>
      <c r="C2159" s="59">
        <v>6999</v>
      </c>
      <c r="D2159" s="59" t="s">
        <v>803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ht="15.2" spans="1:10">
      <c r="A2160" s="58" t="s">
        <v>2871</v>
      </c>
      <c r="B2160" s="59">
        <v>317</v>
      </c>
      <c r="C2160" s="59">
        <v>795</v>
      </c>
      <c r="D2160" s="59" t="s">
        <v>801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ht="15.2" spans="1:10">
      <c r="A2161" s="58" t="s">
        <v>2872</v>
      </c>
      <c r="B2161" s="59">
        <v>259</v>
      </c>
      <c r="C2161" s="59">
        <v>635</v>
      </c>
      <c r="D2161" s="59" t="s">
        <v>801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ht="15.2" spans="1:10">
      <c r="A2162" s="58" t="s">
        <v>2873</v>
      </c>
      <c r="B2162" s="59">
        <v>409</v>
      </c>
      <c r="C2162" s="59">
        <v>1032</v>
      </c>
      <c r="D2162" s="59" t="s">
        <v>801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245.4</v>
      </c>
      <c r="J2162" s="60">
        <f t="shared" si="102"/>
        <v>619.2</v>
      </c>
    </row>
    <row r="2163" ht="15.2" spans="1:10">
      <c r="A2163" s="58" t="s">
        <v>2874</v>
      </c>
      <c r="B2163" s="59">
        <v>375</v>
      </c>
      <c r="C2163" s="59">
        <v>830</v>
      </c>
      <c r="D2163" s="59" t="s">
        <v>801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ht="15.2" spans="1:10">
      <c r="A2164" s="58" t="s">
        <v>46</v>
      </c>
      <c r="B2164" s="59">
        <v>299</v>
      </c>
      <c r="C2164" s="59">
        <v>660</v>
      </c>
      <c r="D2164" s="59" t="s">
        <v>801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ht="15.2" spans="1:10">
      <c r="A2165" s="58" t="s">
        <v>2875</v>
      </c>
      <c r="B2165" s="59">
        <v>570.86</v>
      </c>
      <c r="C2165" s="59">
        <v>3703</v>
      </c>
      <c r="D2165" s="59" t="s">
        <v>801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ht="15.2" spans="1:10">
      <c r="A2166" s="58" t="s">
        <v>2876</v>
      </c>
      <c r="B2166" s="59">
        <v>1577.96</v>
      </c>
      <c r="C2166" s="59">
        <v>2599</v>
      </c>
      <c r="D2166" s="59" t="s">
        <v>803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ht="15.2" spans="1:10">
      <c r="A2167" s="58" t="s">
        <v>2877</v>
      </c>
      <c r="B2167" s="59">
        <v>3763.68</v>
      </c>
      <c r="C2167" s="59">
        <v>6199</v>
      </c>
      <c r="D2167" s="59" t="s">
        <v>803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ht="15.2" spans="1:10">
      <c r="A2168" s="58" t="s">
        <v>2878</v>
      </c>
      <c r="B2168" s="59">
        <v>608</v>
      </c>
      <c r="C2168" s="59">
        <v>1271</v>
      </c>
      <c r="D2168" s="59" t="s">
        <v>801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ht="15.2" spans="1:10">
      <c r="A2169" s="58" t="s">
        <v>2879</v>
      </c>
      <c r="B2169" s="59">
        <v>970.78</v>
      </c>
      <c r="C2169" s="59">
        <v>1499</v>
      </c>
      <c r="D2169" s="59" t="s">
        <v>803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ht="15.2" spans="1:10">
      <c r="A2170" s="58" t="s">
        <v>2880</v>
      </c>
      <c r="B2170" s="59">
        <v>1456.54</v>
      </c>
      <c r="C2170" s="59">
        <v>2399</v>
      </c>
      <c r="D2170" s="59" t="s">
        <v>803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ht="15.2" spans="1:10">
      <c r="A2171" s="58" t="s">
        <v>2881</v>
      </c>
      <c r="B2171" s="59">
        <v>489.3</v>
      </c>
      <c r="C2171" s="59">
        <v>1468</v>
      </c>
      <c r="D2171" s="59" t="s">
        <v>801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</v>
      </c>
      <c r="J2171" s="60">
        <f t="shared" si="102"/>
        <v>17249</v>
      </c>
    </row>
    <row r="2172" ht="15.2" spans="1:10">
      <c r="A2172" s="58" t="s">
        <v>2882</v>
      </c>
      <c r="B2172" s="59">
        <v>1313.5</v>
      </c>
      <c r="C2172" s="59">
        <v>1999</v>
      </c>
      <c r="D2172" s="59" t="s">
        <v>803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ht="15.2" spans="1:10">
      <c r="A2173" s="58" t="s">
        <v>2883</v>
      </c>
      <c r="B2173" s="59">
        <v>1050.67</v>
      </c>
      <c r="C2173" s="59">
        <v>1599</v>
      </c>
      <c r="D2173" s="59" t="s">
        <v>803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ht="15.2" spans="1:10">
      <c r="A2174" s="58" t="s">
        <v>2884</v>
      </c>
      <c r="B2174" s="59">
        <v>1707.76</v>
      </c>
      <c r="C2174" s="59">
        <v>2599</v>
      </c>
      <c r="D2174" s="59" t="s">
        <v>803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ht="15.2" spans="1:10">
      <c r="A2175" s="58" t="s">
        <v>2885</v>
      </c>
      <c r="B2175" s="59">
        <v>906.02</v>
      </c>
      <c r="C2175" s="59">
        <v>1399</v>
      </c>
      <c r="D2175" s="59" t="s">
        <v>803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ht="15.2" spans="1:10">
      <c r="A2176" s="58" t="s">
        <v>2886</v>
      </c>
      <c r="B2176" s="59">
        <v>340</v>
      </c>
      <c r="C2176" s="59">
        <v>792</v>
      </c>
      <c r="D2176" s="59" t="s">
        <v>801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ht="15.2" spans="1:10">
      <c r="A2177" s="58" t="s">
        <v>2887</v>
      </c>
      <c r="B2177" s="59">
        <v>1030.08</v>
      </c>
      <c r="C2177" s="59">
        <v>1599</v>
      </c>
      <c r="D2177" s="59" t="s">
        <v>803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ht="15.2" spans="1:10">
      <c r="A2178" s="58" t="s">
        <v>2888</v>
      </c>
      <c r="B2178" s="59">
        <v>1158.92</v>
      </c>
      <c r="C2178" s="59">
        <v>1799</v>
      </c>
      <c r="D2178" s="59" t="s">
        <v>803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ht="15.2" spans="1:10">
      <c r="A2179" s="58" t="s">
        <v>2889</v>
      </c>
      <c r="B2179" s="59">
        <v>1116.38</v>
      </c>
      <c r="C2179" s="59">
        <v>1699</v>
      </c>
      <c r="D2179" s="59" t="s">
        <v>803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</v>
      </c>
      <c r="J2179" s="60">
        <f t="shared" si="105"/>
        <v>3398</v>
      </c>
    </row>
    <row r="2180" ht="15.2" spans="1:10">
      <c r="A2180" s="58" t="s">
        <v>2890</v>
      </c>
      <c r="B2180" s="59">
        <v>787.84</v>
      </c>
      <c r="C2180" s="59">
        <v>1199</v>
      </c>
      <c r="D2180" s="59" t="s">
        <v>803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ht="15.2" spans="1:10">
      <c r="A2181" s="58" t="s">
        <v>2891</v>
      </c>
      <c r="B2181" s="59">
        <v>722.13</v>
      </c>
      <c r="C2181" s="59">
        <v>1099</v>
      </c>
      <c r="D2181" s="59" t="s">
        <v>803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ht="15.2" spans="1:10">
      <c r="A2182" s="58" t="s">
        <v>2892</v>
      </c>
      <c r="B2182" s="59">
        <v>2063.68</v>
      </c>
      <c r="C2182" s="59">
        <v>3399</v>
      </c>
      <c r="D2182" s="59" t="s">
        <v>803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ht="15.2" spans="1:10">
      <c r="A2183" s="58" t="s">
        <v>2893</v>
      </c>
      <c r="B2183" s="59">
        <v>1674.28</v>
      </c>
      <c r="C2183" s="59">
        <v>2599</v>
      </c>
      <c r="D2183" s="59" t="s">
        <v>803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ht="15.2" spans="1:10">
      <c r="A2184" s="58" t="s">
        <v>2894</v>
      </c>
      <c r="B2184" s="59">
        <v>413</v>
      </c>
      <c r="C2184" s="59">
        <v>845</v>
      </c>
      <c r="D2184" s="59" t="s">
        <v>801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ht="15.2" spans="1:10">
      <c r="A2185" s="58" t="s">
        <v>2895</v>
      </c>
      <c r="B2185" s="59">
        <v>1092.25</v>
      </c>
      <c r="C2185" s="59">
        <v>1799</v>
      </c>
      <c r="D2185" s="59" t="s">
        <v>803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ht="15.2" spans="1:10">
      <c r="A2186" s="58" t="s">
        <v>2896</v>
      </c>
      <c r="B2186" s="59">
        <v>599</v>
      </c>
      <c r="C2186" s="59">
        <v>1338</v>
      </c>
      <c r="D2186" s="59" t="s">
        <v>801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ht="15.2" spans="1:10">
      <c r="A2187" s="58" t="s">
        <v>2897</v>
      </c>
      <c r="B2187" s="59">
        <v>1395.82</v>
      </c>
      <c r="C2187" s="59">
        <v>2299</v>
      </c>
      <c r="D2187" s="59" t="s">
        <v>803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ht="15.2" spans="1:10">
      <c r="A2188" s="58" t="s">
        <v>2898</v>
      </c>
      <c r="B2188" s="59">
        <v>1395.82</v>
      </c>
      <c r="C2188" s="59">
        <v>2299</v>
      </c>
      <c r="D2188" s="59" t="s">
        <v>803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ht="15.2" spans="1:10">
      <c r="A2189" s="58" t="s">
        <v>2899</v>
      </c>
      <c r="B2189" s="59">
        <v>282</v>
      </c>
      <c r="C2189" s="59">
        <v>725</v>
      </c>
      <c r="D2189" s="59" t="s">
        <v>801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ht="15.2" spans="1:10">
      <c r="A2190" s="58" t="s">
        <v>2900</v>
      </c>
      <c r="B2190" s="59">
        <v>1638.68</v>
      </c>
      <c r="C2190" s="59">
        <v>2699</v>
      </c>
      <c r="D2190" s="59" t="s">
        <v>803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ht="15.2" spans="1:10">
      <c r="A2191" s="58" t="s">
        <v>2901</v>
      </c>
      <c r="B2191" s="59">
        <v>1177.98</v>
      </c>
      <c r="C2191" s="59">
        <v>1999</v>
      </c>
      <c r="D2191" s="59" t="s">
        <v>803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ht="15.2" spans="1:10">
      <c r="A2192" s="58" t="s">
        <v>2902</v>
      </c>
      <c r="B2192" s="59">
        <v>1510.63</v>
      </c>
      <c r="C2192" s="59">
        <v>2299</v>
      </c>
      <c r="D2192" s="59" t="s">
        <v>803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ht="15.2" spans="1:10">
      <c r="A2193" s="58" t="s">
        <v>2903</v>
      </c>
      <c r="B2193" s="59">
        <v>409</v>
      </c>
      <c r="C2193" s="59">
        <v>962</v>
      </c>
      <c r="D2193" s="59" t="s">
        <v>801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4130.9</v>
      </c>
      <c r="J2193" s="60">
        <f t="shared" si="105"/>
        <v>9716.2</v>
      </c>
    </row>
    <row r="2194" ht="15.2" spans="1:10">
      <c r="A2194" s="58" t="s">
        <v>2904</v>
      </c>
      <c r="B2194" s="59">
        <v>1456.54</v>
      </c>
      <c r="C2194" s="59">
        <v>2399</v>
      </c>
      <c r="D2194" s="59" t="s">
        <v>803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ht="15.2" spans="1:10">
      <c r="A2195" s="58" t="s">
        <v>2905</v>
      </c>
      <c r="B2195" s="59">
        <v>1295.84</v>
      </c>
      <c r="C2195" s="59">
        <v>2199</v>
      </c>
      <c r="D2195" s="59" t="s">
        <v>803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1295.84</v>
      </c>
      <c r="J2195" s="60">
        <f t="shared" si="105"/>
        <v>2199</v>
      </c>
    </row>
    <row r="2196" ht="15.2" spans="1:10">
      <c r="A2196" s="58" t="s">
        <v>2906</v>
      </c>
      <c r="B2196" s="59">
        <v>1199</v>
      </c>
      <c r="C2196" s="59">
        <v>3399</v>
      </c>
      <c r="D2196" s="59" t="s">
        <v>801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ht="15.2" spans="1:10">
      <c r="A2197" s="58" t="s">
        <v>2907</v>
      </c>
      <c r="B2197" s="59">
        <v>299</v>
      </c>
      <c r="C2197" s="59">
        <v>628</v>
      </c>
      <c r="D2197" s="59" t="s">
        <v>801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837.2</v>
      </c>
      <c r="J2197" s="60">
        <f t="shared" si="105"/>
        <v>1758.4</v>
      </c>
    </row>
    <row r="2198" ht="15.2" spans="1:10">
      <c r="A2198" s="58" t="s">
        <v>2908</v>
      </c>
      <c r="B2198" s="59">
        <v>450</v>
      </c>
      <c r="C2198" s="59">
        <v>1040</v>
      </c>
      <c r="D2198" s="59" t="s">
        <v>801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ht="15.2" spans="1:10">
      <c r="A2199" s="58" t="s">
        <v>2909</v>
      </c>
      <c r="B2199" s="59">
        <v>260</v>
      </c>
      <c r="C2199" s="59">
        <v>655</v>
      </c>
      <c r="D2199" s="59" t="s">
        <v>801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ht="15.2" spans="1:10">
      <c r="A2200" s="58" t="s">
        <v>2910</v>
      </c>
      <c r="B2200" s="59">
        <v>1295.84</v>
      </c>
      <c r="C2200" s="59">
        <v>2199</v>
      </c>
      <c r="D2200" s="59" t="s">
        <v>803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ht="15.2" spans="1:10">
      <c r="A2201" s="58" t="s">
        <v>2911</v>
      </c>
      <c r="B2201" s="59">
        <v>1456.54</v>
      </c>
      <c r="C2201" s="59">
        <v>2399</v>
      </c>
      <c r="D2201" s="59" t="s">
        <v>803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ht="15.2" spans="1:10">
      <c r="A2202" s="58" t="s">
        <v>2912</v>
      </c>
      <c r="B2202" s="59">
        <v>1517.25</v>
      </c>
      <c r="C2202" s="59">
        <v>2499</v>
      </c>
      <c r="D2202" s="59" t="s">
        <v>803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ht="15.2" spans="1:10">
      <c r="A2203" s="58" t="s">
        <v>2913</v>
      </c>
      <c r="B2203" s="59">
        <v>299</v>
      </c>
      <c r="C2203" s="59">
        <v>628</v>
      </c>
      <c r="D2203" s="59" t="s">
        <v>801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ht="15.2" spans="1:10">
      <c r="A2204" s="58" t="s">
        <v>2914</v>
      </c>
      <c r="B2204" s="59">
        <v>281.7</v>
      </c>
      <c r="C2204" s="59">
        <v>907</v>
      </c>
      <c r="D2204" s="59" t="s">
        <v>801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394.38</v>
      </c>
      <c r="J2204" s="60">
        <f t="shared" si="105"/>
        <v>1269.8</v>
      </c>
    </row>
    <row r="2205" ht="15.2" spans="1:10">
      <c r="A2205" s="58" t="s">
        <v>96</v>
      </c>
      <c r="B2205" s="59">
        <v>449</v>
      </c>
      <c r="C2205" s="59">
        <v>999</v>
      </c>
      <c r="D2205" s="59" t="s">
        <v>801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ht="15.2" spans="1:10">
      <c r="A2206" s="58" t="s">
        <v>2915</v>
      </c>
      <c r="B2206" s="59">
        <v>4124.41</v>
      </c>
      <c r="C2206" s="59">
        <v>6999</v>
      </c>
      <c r="D2206" s="59" t="s">
        <v>803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ht="15.2" spans="1:10">
      <c r="A2207" s="58" t="s">
        <v>2916</v>
      </c>
      <c r="B2207" s="59">
        <v>1354.77</v>
      </c>
      <c r="C2207" s="59">
        <v>2299</v>
      </c>
      <c r="D2207" s="59" t="s">
        <v>803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ht="15.2" spans="1:10">
      <c r="A2208" s="58" t="s">
        <v>2917</v>
      </c>
      <c r="B2208" s="59">
        <v>970.82</v>
      </c>
      <c r="C2208" s="59">
        <v>1599</v>
      </c>
      <c r="D2208" s="59" t="s">
        <v>803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ht="15.2" spans="1:10">
      <c r="A2209" s="58" t="s">
        <v>2918</v>
      </c>
      <c r="B2209" s="59">
        <v>1444.92</v>
      </c>
      <c r="C2209" s="59">
        <v>2199</v>
      </c>
      <c r="D2209" s="59" t="s">
        <v>803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ht="15.2" spans="1:10">
      <c r="A2210" s="58" t="s">
        <v>2919</v>
      </c>
      <c r="B2210" s="59">
        <v>1050.67</v>
      </c>
      <c r="C2210" s="59">
        <v>1599</v>
      </c>
      <c r="D2210" s="59" t="s">
        <v>803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ht="15.2" spans="1:10">
      <c r="A2211" s="58" t="s">
        <v>2920</v>
      </c>
      <c r="B2211" s="59">
        <v>1416.6</v>
      </c>
      <c r="C2211" s="59">
        <v>2199</v>
      </c>
      <c r="D2211" s="59" t="s">
        <v>803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ht="15.2" spans="1:10">
      <c r="A2212" s="58" t="s">
        <v>360</v>
      </c>
      <c r="B2212" s="59">
        <v>483</v>
      </c>
      <c r="C2212" s="59">
        <v>1149</v>
      </c>
      <c r="D2212" s="59" t="s">
        <v>801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ht="15.2" spans="1:10">
      <c r="A2213" s="58" t="s">
        <v>2921</v>
      </c>
      <c r="B2213" s="59">
        <v>1031.54</v>
      </c>
      <c r="C2213" s="59">
        <v>1699</v>
      </c>
      <c r="D2213" s="59" t="s">
        <v>803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ht="15.2" spans="1:10">
      <c r="A2214" s="58" t="s">
        <v>2922</v>
      </c>
      <c r="B2214" s="59">
        <v>1904.87</v>
      </c>
      <c r="C2214" s="59">
        <v>2899</v>
      </c>
      <c r="D2214" s="59" t="s">
        <v>803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ht="15.2" spans="1:10">
      <c r="A2215" s="58" t="s">
        <v>2923</v>
      </c>
      <c r="B2215" s="59">
        <v>1638.68</v>
      </c>
      <c r="C2215" s="59">
        <v>2699</v>
      </c>
      <c r="D2215" s="59" t="s">
        <v>803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ht="15.2" spans="1:10">
      <c r="A2216" s="58" t="s">
        <v>2924</v>
      </c>
      <c r="B2216" s="59">
        <v>4552.96</v>
      </c>
      <c r="C2216" s="59">
        <v>7499</v>
      </c>
      <c r="D2216" s="59" t="s">
        <v>803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ht="15.2" spans="1:10">
      <c r="A2217" s="58" t="s">
        <v>2925</v>
      </c>
      <c r="B2217" s="59">
        <v>615</v>
      </c>
      <c r="C2217" s="59">
        <v>1365</v>
      </c>
      <c r="D2217" s="59" t="s">
        <v>801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ht="15.2" spans="1:10">
      <c r="A2218" s="58" t="s">
        <v>2926</v>
      </c>
      <c r="B2218" s="59">
        <v>1773.46</v>
      </c>
      <c r="C2218" s="59">
        <v>2699</v>
      </c>
      <c r="D2218" s="59" t="s">
        <v>803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ht="15.2" spans="1:10">
      <c r="A2219" s="58" t="s">
        <v>2927</v>
      </c>
      <c r="B2219" s="59">
        <v>1313.5</v>
      </c>
      <c r="C2219" s="59">
        <v>1999</v>
      </c>
      <c r="D2219" s="59" t="s">
        <v>803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ht="15.2" spans="1:10">
      <c r="A2220" s="58" t="s">
        <v>2928</v>
      </c>
      <c r="B2220" s="59">
        <v>722.13</v>
      </c>
      <c r="C2220" s="59">
        <v>1099</v>
      </c>
      <c r="D2220" s="59" t="s">
        <v>803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ht="15.2" spans="1:10">
      <c r="A2221" s="58" t="s">
        <v>2929</v>
      </c>
      <c r="B2221" s="59">
        <v>1472.63</v>
      </c>
      <c r="C2221" s="59">
        <v>2499</v>
      </c>
      <c r="D2221" s="59" t="s">
        <v>803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</v>
      </c>
      <c r="J2221" s="60">
        <f t="shared" si="105"/>
        <v>7497</v>
      </c>
    </row>
    <row r="2222" ht="15.2" spans="1:10">
      <c r="A2222" s="58" t="s">
        <v>2930</v>
      </c>
      <c r="B2222" s="59">
        <v>1119.05</v>
      </c>
      <c r="C2222" s="59">
        <v>1899</v>
      </c>
      <c r="D2222" s="59" t="s">
        <v>803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3357.15</v>
      </c>
      <c r="J2222" s="60">
        <f t="shared" si="105"/>
        <v>5697</v>
      </c>
    </row>
    <row r="2223" ht="15.2" spans="1:10">
      <c r="A2223" s="58" t="s">
        <v>2931</v>
      </c>
      <c r="B2223" s="59">
        <v>1839.16</v>
      </c>
      <c r="C2223" s="59">
        <v>2799</v>
      </c>
      <c r="D2223" s="59" t="s">
        <v>803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ht="15.2" spans="1:10">
      <c r="A2224" s="58" t="s">
        <v>2932</v>
      </c>
      <c r="B2224" s="59">
        <v>370</v>
      </c>
      <c r="C2224" s="59">
        <v>802</v>
      </c>
      <c r="D2224" s="59" t="s">
        <v>801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ht="15.2" spans="1:10">
      <c r="A2225" s="58" t="s">
        <v>2933</v>
      </c>
      <c r="B2225" s="59">
        <v>718</v>
      </c>
      <c r="C2225" s="59">
        <v>1586</v>
      </c>
      <c r="D2225" s="59" t="s">
        <v>801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237.9</v>
      </c>
    </row>
    <row r="2226" ht="15.2" spans="1:10">
      <c r="A2226" s="58" t="s">
        <v>2934</v>
      </c>
      <c r="B2226" s="59">
        <v>1213.68</v>
      </c>
      <c r="C2226" s="59">
        <v>1999</v>
      </c>
      <c r="D2226" s="59" t="s">
        <v>803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ht="15.2" spans="1:10">
      <c r="A2227" s="58" t="s">
        <v>2935</v>
      </c>
      <c r="B2227" s="59">
        <v>1099</v>
      </c>
      <c r="C2227" s="59">
        <v>2308</v>
      </c>
      <c r="D2227" s="59" t="s">
        <v>801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ht="15.2" spans="1:10">
      <c r="A2228" s="58" t="s">
        <v>2936</v>
      </c>
      <c r="B2228" s="59">
        <v>910.24</v>
      </c>
      <c r="C2228" s="59">
        <v>1399</v>
      </c>
      <c r="D2228" s="59" t="s">
        <v>803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ht="15.2" spans="1:10">
      <c r="A2229" s="58" t="s">
        <v>2937</v>
      </c>
      <c r="B2229" s="59">
        <v>5892.27</v>
      </c>
      <c r="C2229" s="59">
        <v>9999</v>
      </c>
      <c r="D2229" s="59" t="s">
        <v>803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ht="15.2" spans="1:10">
      <c r="A2230" s="58" t="s">
        <v>2938</v>
      </c>
      <c r="B2230" s="59">
        <v>675</v>
      </c>
      <c r="C2230" s="59">
        <v>1418</v>
      </c>
      <c r="D2230" s="59" t="s">
        <v>801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ht="15.2" spans="1:10">
      <c r="A2231" s="58" t="s">
        <v>2939</v>
      </c>
      <c r="B2231" s="59">
        <v>1119.05</v>
      </c>
      <c r="C2231" s="59">
        <v>1899</v>
      </c>
      <c r="D2231" s="59" t="s">
        <v>803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ht="15.2" spans="1:10">
      <c r="A2232" s="58" t="s">
        <v>2940</v>
      </c>
      <c r="B2232" s="59">
        <v>666</v>
      </c>
      <c r="C2232" s="59">
        <v>1430</v>
      </c>
      <c r="D2232" s="59" t="s">
        <v>801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ht="15.2" spans="1:10">
      <c r="A2233" s="58" t="s">
        <v>2941</v>
      </c>
      <c r="B2233" s="59">
        <v>1545.44</v>
      </c>
      <c r="C2233" s="59">
        <v>2399</v>
      </c>
      <c r="D2233" s="59" t="s">
        <v>803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ht="15.2" spans="1:10">
      <c r="A2234" s="58" t="s">
        <v>2942</v>
      </c>
      <c r="B2234" s="59">
        <v>3642.25</v>
      </c>
      <c r="C2234" s="59">
        <v>5999</v>
      </c>
      <c r="D2234" s="59" t="s">
        <v>803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ht="15.2" spans="1:10">
      <c r="A2235" s="58" t="s">
        <v>2943</v>
      </c>
      <c r="B2235" s="59">
        <v>630</v>
      </c>
      <c r="C2235" s="59">
        <v>1353</v>
      </c>
      <c r="D2235" s="59" t="s">
        <v>801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ht="15.2" spans="1:10">
      <c r="A2236" s="58" t="s">
        <v>2944</v>
      </c>
      <c r="B2236" s="59">
        <v>630</v>
      </c>
      <c r="C2236" s="59">
        <v>1425</v>
      </c>
      <c r="D2236" s="59" t="s">
        <v>801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ht="15.2" spans="1:10">
      <c r="A2237" s="58" t="s">
        <v>2945</v>
      </c>
      <c r="B2237" s="59">
        <v>461</v>
      </c>
      <c r="C2237" s="59">
        <v>1165</v>
      </c>
      <c r="D2237" s="59" t="s">
        <v>801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ht="15.2" spans="1:10">
      <c r="A2238" s="58" t="s">
        <v>2946</v>
      </c>
      <c r="B2238" s="59">
        <v>525</v>
      </c>
      <c r="C2238" s="59">
        <v>799</v>
      </c>
      <c r="D2238" s="59" t="s">
        <v>803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ht="15.2" spans="1:10">
      <c r="A2239" s="58" t="s">
        <v>2947</v>
      </c>
      <c r="B2239" s="59">
        <v>499</v>
      </c>
      <c r="C2239" s="59">
        <v>1117</v>
      </c>
      <c r="D2239" s="59" t="s">
        <v>801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5588.8</v>
      </c>
      <c r="J2239" s="60">
        <f t="shared" si="105"/>
        <v>12510.4</v>
      </c>
    </row>
    <row r="2240" ht="15.2" spans="1:10">
      <c r="A2240" s="58" t="s">
        <v>2948</v>
      </c>
      <c r="B2240" s="59">
        <v>1472.63</v>
      </c>
      <c r="C2240" s="59">
        <v>2499</v>
      </c>
      <c r="D2240" s="59" t="s">
        <v>803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ht="15.2" spans="1:10">
      <c r="A2241" s="58" t="s">
        <v>2949</v>
      </c>
      <c r="B2241" s="59">
        <v>1349</v>
      </c>
      <c r="C2241" s="59">
        <v>2938</v>
      </c>
      <c r="D2241" s="59" t="s">
        <v>801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ht="15.2" spans="1:10">
      <c r="A2242" s="58" t="s">
        <v>2950</v>
      </c>
      <c r="B2242" s="59">
        <v>1395.82</v>
      </c>
      <c r="C2242" s="59">
        <v>2299</v>
      </c>
      <c r="D2242" s="59" t="s">
        <v>803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ht="15.2" spans="1:10">
      <c r="A2243" s="58" t="s">
        <v>2951</v>
      </c>
      <c r="B2243" s="59">
        <v>1577.96</v>
      </c>
      <c r="C2243" s="59">
        <v>2599</v>
      </c>
      <c r="D2243" s="59" t="s">
        <v>803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ht="15.2" spans="1:10">
      <c r="A2244" s="58" t="s">
        <v>2952</v>
      </c>
      <c r="B2244" s="59">
        <v>1116.38</v>
      </c>
      <c r="C2244" s="59">
        <v>1699</v>
      </c>
      <c r="D2244" s="59" t="s">
        <v>803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ht="15.2" spans="1:10">
      <c r="A2245" s="58" t="s">
        <v>2953</v>
      </c>
      <c r="B2245" s="59">
        <v>1177.98</v>
      </c>
      <c r="C2245" s="59">
        <v>1999</v>
      </c>
      <c r="D2245" s="59" t="s">
        <v>803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ht="15.2" spans="1:10">
      <c r="A2246" s="58" t="s">
        <v>2954</v>
      </c>
      <c r="B2246" s="59">
        <v>1152.97</v>
      </c>
      <c r="C2246" s="59">
        <v>1899</v>
      </c>
      <c r="D2246" s="59" t="s">
        <v>803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ht="15.2" spans="1:10">
      <c r="A2247" s="58" t="s">
        <v>2955</v>
      </c>
      <c r="B2247" s="59">
        <v>1609.86</v>
      </c>
      <c r="C2247" s="59">
        <v>2499</v>
      </c>
      <c r="D2247" s="59" t="s">
        <v>803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ht="15.2" spans="1:10">
      <c r="A2248" s="58" t="s">
        <v>2956</v>
      </c>
      <c r="B2248" s="59">
        <v>525</v>
      </c>
      <c r="C2248" s="59">
        <v>1141</v>
      </c>
      <c r="D2248" s="59" t="s">
        <v>801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ht="15.2" spans="1:10">
      <c r="A2249" s="58" t="s">
        <v>2957</v>
      </c>
      <c r="B2249" s="59">
        <v>1354.77</v>
      </c>
      <c r="C2249" s="59">
        <v>2299</v>
      </c>
      <c r="D2249" s="59" t="s">
        <v>803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ht="15.2" spans="1:10">
      <c r="A2250" s="58" t="s">
        <v>2958</v>
      </c>
      <c r="B2250" s="59">
        <v>207</v>
      </c>
      <c r="C2250" s="59">
        <v>483</v>
      </c>
      <c r="D2250" s="59" t="s">
        <v>801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62.1</v>
      </c>
      <c r="J2250" s="60">
        <f t="shared" si="108"/>
        <v>144.9</v>
      </c>
    </row>
    <row r="2251" ht="15.2" spans="1:10">
      <c r="A2251" s="58" t="s">
        <v>2959</v>
      </c>
      <c r="B2251" s="59">
        <v>490</v>
      </c>
      <c r="C2251" s="59">
        <v>1138</v>
      </c>
      <c r="D2251" s="59" t="s">
        <v>801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</v>
      </c>
    </row>
    <row r="2252" ht="15.2" spans="1:10">
      <c r="A2252" s="58" t="s">
        <v>2960</v>
      </c>
      <c r="B2252" s="59">
        <v>1820.82</v>
      </c>
      <c r="C2252" s="59">
        <v>2899</v>
      </c>
      <c r="D2252" s="59" t="s">
        <v>803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ht="15.2" spans="1:10">
      <c r="A2253" s="58" t="s">
        <v>2961</v>
      </c>
      <c r="B2253" s="59">
        <v>1158.92</v>
      </c>
      <c r="C2253" s="59">
        <v>1799</v>
      </c>
      <c r="D2253" s="59" t="s">
        <v>803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ht="15.2" spans="1:10">
      <c r="A2254" s="58" t="s">
        <v>2962</v>
      </c>
      <c r="B2254" s="59">
        <v>229.32</v>
      </c>
      <c r="C2254" s="59">
        <v>349</v>
      </c>
      <c r="D2254" s="59" t="s">
        <v>803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ht="15.2" spans="1:10">
      <c r="A2255" s="58" t="s">
        <v>2963</v>
      </c>
      <c r="B2255" s="59">
        <v>656.42</v>
      </c>
      <c r="C2255" s="59">
        <v>999</v>
      </c>
      <c r="D2255" s="59" t="s">
        <v>803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ht="15.2" spans="1:10">
      <c r="A2256" s="58" t="s">
        <v>2964</v>
      </c>
      <c r="B2256" s="59">
        <v>0</v>
      </c>
      <c r="C2256" s="59">
        <v>0</v>
      </c>
      <c r="D2256" s="59" t="s">
        <v>815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ht="15.2" spans="1:10">
      <c r="A2257" s="58" t="s">
        <v>2965</v>
      </c>
      <c r="B2257" s="59">
        <v>273</v>
      </c>
      <c r="C2257" s="59">
        <v>561</v>
      </c>
      <c r="D2257" s="59" t="s">
        <v>801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81.9</v>
      </c>
      <c r="J2257" s="60">
        <f t="shared" si="108"/>
        <v>168.3</v>
      </c>
    </row>
    <row r="2258" ht="15.2" spans="1:10">
      <c r="A2258" s="58" t="s">
        <v>2966</v>
      </c>
      <c r="B2258" s="59">
        <v>517.45</v>
      </c>
      <c r="C2258" s="59">
        <v>799</v>
      </c>
      <c r="D2258" s="59" t="s">
        <v>803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</v>
      </c>
      <c r="J2258" s="60">
        <f t="shared" si="108"/>
        <v>1598</v>
      </c>
    </row>
    <row r="2259" ht="15.2" spans="1:10">
      <c r="A2259" s="58" t="s">
        <v>2967</v>
      </c>
      <c r="B2259" s="59">
        <v>250</v>
      </c>
      <c r="C2259" s="59">
        <v>590</v>
      </c>
      <c r="D2259" s="59" t="s">
        <v>801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ht="15.2" spans="1:10">
      <c r="A2260" s="58" t="s">
        <v>2968</v>
      </c>
      <c r="B2260" s="59">
        <v>1773.46</v>
      </c>
      <c r="C2260" s="59">
        <v>2699</v>
      </c>
      <c r="D2260" s="59" t="s">
        <v>803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ht="15.2" spans="1:10">
      <c r="A2261" s="58" t="s">
        <v>2969</v>
      </c>
      <c r="B2261" s="59">
        <v>460</v>
      </c>
      <c r="C2261" s="59">
        <v>1157</v>
      </c>
      <c r="D2261" s="59" t="s">
        <v>801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ht="15.2" spans="1:10">
      <c r="A2262" s="58" t="s">
        <v>2970</v>
      </c>
      <c r="B2262" s="59">
        <v>901.24</v>
      </c>
      <c r="C2262" s="59">
        <v>1399</v>
      </c>
      <c r="D2262" s="59" t="s">
        <v>803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ht="15.2" spans="1:10">
      <c r="A2263" s="58" t="s">
        <v>2971</v>
      </c>
      <c r="B2263" s="59">
        <v>1274.39</v>
      </c>
      <c r="C2263" s="59">
        <v>2099</v>
      </c>
      <c r="D2263" s="59" t="s">
        <v>803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</v>
      </c>
      <c r="J2263" s="60">
        <f t="shared" si="108"/>
        <v>4198</v>
      </c>
    </row>
    <row r="2264" ht="15.2" spans="1:10">
      <c r="A2264" s="58" t="s">
        <v>2972</v>
      </c>
      <c r="B2264" s="59">
        <v>8499.39</v>
      </c>
      <c r="C2264" s="59">
        <v>13999</v>
      </c>
      <c r="D2264" s="59" t="s">
        <v>803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ht="15.2" spans="1:10">
      <c r="A2265" s="58" t="s">
        <v>2973</v>
      </c>
      <c r="B2265" s="59">
        <v>1040.38</v>
      </c>
      <c r="C2265" s="59">
        <v>1599</v>
      </c>
      <c r="D2265" s="59" t="s">
        <v>803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ht="15.2" spans="1:10">
      <c r="A2266" s="58" t="s">
        <v>2974</v>
      </c>
      <c r="B2266" s="59">
        <v>369</v>
      </c>
      <c r="C2266" s="59">
        <v>880</v>
      </c>
      <c r="D2266" s="59" t="s">
        <v>801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</v>
      </c>
      <c r="J2266" s="60">
        <f t="shared" si="108"/>
        <v>5896</v>
      </c>
    </row>
    <row r="2267" ht="15.2" spans="1:10">
      <c r="A2267" s="58" t="s">
        <v>2975</v>
      </c>
      <c r="B2267" s="59">
        <v>1092.25</v>
      </c>
      <c r="C2267" s="59">
        <v>1799</v>
      </c>
      <c r="D2267" s="59" t="s">
        <v>803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ht="15.2" spans="1:10">
      <c r="A2268" s="58" t="s">
        <v>2976</v>
      </c>
      <c r="B2268" s="59">
        <v>1213.68</v>
      </c>
      <c r="C2268" s="59">
        <v>1999</v>
      </c>
      <c r="D2268" s="59" t="s">
        <v>803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ht="15.2" spans="1:10">
      <c r="A2269" s="58" t="s">
        <v>2977</v>
      </c>
      <c r="B2269" s="59">
        <v>294.7</v>
      </c>
      <c r="C2269" s="59">
        <v>743</v>
      </c>
      <c r="D2269" s="59" t="s">
        <v>801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ht="15.2" spans="1:10">
      <c r="A2270" s="58" t="s">
        <v>2978</v>
      </c>
      <c r="B2270" s="59">
        <v>1213.68</v>
      </c>
      <c r="C2270" s="59">
        <v>1999</v>
      </c>
      <c r="D2270" s="59" t="s">
        <v>803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ht="15.2" spans="1:10">
      <c r="A2271" s="58" t="s">
        <v>2979</v>
      </c>
      <c r="B2271" s="59">
        <v>1354.77</v>
      </c>
      <c r="C2271" s="59">
        <v>2299</v>
      </c>
      <c r="D2271" s="59" t="s">
        <v>803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ht="15.2" spans="1:10">
      <c r="A2272" s="58" t="s">
        <v>2980</v>
      </c>
      <c r="B2272" s="59">
        <v>452.69</v>
      </c>
      <c r="C2272" s="59">
        <v>699</v>
      </c>
      <c r="D2272" s="59" t="s">
        <v>803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ht="15.2" spans="1:10">
      <c r="A2273" s="58" t="s">
        <v>2981</v>
      </c>
      <c r="B2273" s="59">
        <v>1395.82</v>
      </c>
      <c r="C2273" s="59">
        <v>2299</v>
      </c>
      <c r="D2273" s="59" t="s">
        <v>803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ht="15.2" spans="1:10">
      <c r="A2274" s="58" t="s">
        <v>2982</v>
      </c>
      <c r="B2274" s="59">
        <v>1416.6</v>
      </c>
      <c r="C2274" s="59">
        <v>2199</v>
      </c>
      <c r="D2274" s="59" t="s">
        <v>803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ht="15.2" spans="1:10">
      <c r="A2275" s="58" t="s">
        <v>2983</v>
      </c>
      <c r="B2275" s="59">
        <v>1970.58</v>
      </c>
      <c r="C2275" s="59">
        <v>2999</v>
      </c>
      <c r="D2275" s="59" t="s">
        <v>803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ht="15.2" spans="1:10">
      <c r="A2276" s="58" t="s">
        <v>2984</v>
      </c>
      <c r="B2276" s="59">
        <v>490</v>
      </c>
      <c r="C2276" s="59">
        <v>1207</v>
      </c>
      <c r="D2276" s="59" t="s">
        <v>801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</v>
      </c>
    </row>
    <row r="2277" ht="15.2" spans="1:10">
      <c r="A2277" s="58" t="s">
        <v>2985</v>
      </c>
      <c r="B2277" s="59">
        <v>1116.38</v>
      </c>
      <c r="C2277" s="59">
        <v>1699</v>
      </c>
      <c r="D2277" s="59" t="s">
        <v>803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</v>
      </c>
      <c r="J2277" s="60">
        <f t="shared" si="108"/>
        <v>3398</v>
      </c>
    </row>
    <row r="2278" ht="15.2" spans="1:10">
      <c r="A2278" s="58" t="s">
        <v>2986</v>
      </c>
      <c r="B2278" s="59">
        <v>513</v>
      </c>
      <c r="C2278" s="59">
        <v>1290</v>
      </c>
      <c r="D2278" s="59" t="s">
        <v>801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ht="15.2" spans="1:10">
      <c r="A2279" s="58" t="s">
        <v>2987</v>
      </c>
      <c r="B2279" s="59">
        <v>429</v>
      </c>
      <c r="C2279" s="59">
        <v>925</v>
      </c>
      <c r="D2279" s="59" t="s">
        <v>801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</v>
      </c>
      <c r="J2279" s="60">
        <f t="shared" si="108"/>
        <v>601.25</v>
      </c>
    </row>
    <row r="2280" ht="15.2" spans="1:10">
      <c r="A2280" s="58" t="s">
        <v>2988</v>
      </c>
      <c r="B2280" s="59">
        <v>1577.96</v>
      </c>
      <c r="C2280" s="59">
        <v>2599</v>
      </c>
      <c r="D2280" s="59" t="s">
        <v>803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ht="15.2" spans="1:10">
      <c r="A2281" s="58" t="s">
        <v>2989</v>
      </c>
      <c r="B2281" s="59">
        <v>970.78</v>
      </c>
      <c r="C2281" s="59">
        <v>1499</v>
      </c>
      <c r="D2281" s="59" t="s">
        <v>803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ht="15.2" spans="1:10">
      <c r="A2282" s="58" t="s">
        <v>2990</v>
      </c>
      <c r="B2282" s="59">
        <v>400</v>
      </c>
      <c r="C2282" s="59">
        <v>943</v>
      </c>
      <c r="D2282" s="59" t="s">
        <v>801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1131.6</v>
      </c>
    </row>
    <row r="2283" ht="15.2" spans="1:10">
      <c r="A2283" s="58" t="s">
        <v>2991</v>
      </c>
      <c r="B2283" s="59">
        <v>582.21</v>
      </c>
      <c r="C2283" s="59">
        <v>899</v>
      </c>
      <c r="D2283" s="59" t="s">
        <v>803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ht="15.2" spans="1:10">
      <c r="A2284" s="58" t="s">
        <v>2992</v>
      </c>
      <c r="B2284" s="59">
        <v>1577.97</v>
      </c>
      <c r="C2284" s="59">
        <v>2599</v>
      </c>
      <c r="D2284" s="59" t="s">
        <v>803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ht="15.2" spans="1:10">
      <c r="A2285" s="58" t="s">
        <v>2993</v>
      </c>
      <c r="B2285" s="59">
        <v>608</v>
      </c>
      <c r="C2285" s="59">
        <v>1347</v>
      </c>
      <c r="D2285" s="59" t="s">
        <v>801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</v>
      </c>
      <c r="J2285" s="60">
        <f t="shared" si="108"/>
        <v>1818.45</v>
      </c>
    </row>
    <row r="2286" ht="15.2" spans="1:10">
      <c r="A2286" s="58" t="s">
        <v>2994</v>
      </c>
      <c r="B2286" s="59">
        <v>970.78</v>
      </c>
      <c r="C2286" s="59">
        <v>1499</v>
      </c>
      <c r="D2286" s="59" t="s">
        <v>803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ht="15.2" spans="1:10">
      <c r="A2287" s="58" t="s">
        <v>2995</v>
      </c>
      <c r="B2287" s="59">
        <v>1295.84</v>
      </c>
      <c r="C2287" s="59">
        <v>2199</v>
      </c>
      <c r="D2287" s="59" t="s">
        <v>803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ht="15.2" spans="1:10">
      <c r="A2288" s="58" t="s">
        <v>2996</v>
      </c>
      <c r="B2288" s="59">
        <v>425</v>
      </c>
      <c r="C2288" s="59">
        <v>892</v>
      </c>
      <c r="D2288" s="59" t="s">
        <v>801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ht="15.2" spans="1:10">
      <c r="A2289" s="58" t="s">
        <v>2997</v>
      </c>
      <c r="B2289" s="59">
        <v>281</v>
      </c>
      <c r="C2289" s="59">
        <v>620</v>
      </c>
      <c r="D2289" s="59" t="s">
        <v>801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ht="15.2" spans="1:10">
      <c r="A2290" s="58" t="s">
        <v>2998</v>
      </c>
      <c r="B2290" s="59">
        <v>1280</v>
      </c>
      <c r="C2290" s="59">
        <v>3238</v>
      </c>
      <c r="D2290" s="59" t="s">
        <v>801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</v>
      </c>
    </row>
    <row r="2291" ht="15.2" spans="1:10">
      <c r="A2291" s="58" t="s">
        <v>2999</v>
      </c>
      <c r="B2291" s="59">
        <v>302</v>
      </c>
      <c r="C2291" s="59">
        <v>617</v>
      </c>
      <c r="D2291" s="59" t="s">
        <v>801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</v>
      </c>
    </row>
    <row r="2292" ht="15.2" spans="1:10">
      <c r="A2292" s="58" t="s">
        <v>3000</v>
      </c>
      <c r="B2292" s="59">
        <v>472.5</v>
      </c>
      <c r="C2292" s="59">
        <v>1172</v>
      </c>
      <c r="D2292" s="59" t="s">
        <v>801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ht="15.2" spans="1:10">
      <c r="A2293" s="58" t="s">
        <v>3001</v>
      </c>
      <c r="B2293" s="59">
        <v>1456.54</v>
      </c>
      <c r="C2293" s="59">
        <v>2399</v>
      </c>
      <c r="D2293" s="59" t="s">
        <v>803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ht="15.2" spans="1:10">
      <c r="A2294" s="58" t="s">
        <v>3002</v>
      </c>
      <c r="B2294" s="59">
        <v>1152.96</v>
      </c>
      <c r="C2294" s="59">
        <v>1899</v>
      </c>
      <c r="D2294" s="59" t="s">
        <v>803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ht="15.2" spans="1:10">
      <c r="A2295" s="58" t="s">
        <v>3003</v>
      </c>
      <c r="B2295" s="59">
        <v>970.78</v>
      </c>
      <c r="C2295" s="59">
        <v>1499</v>
      </c>
      <c r="D2295" s="59" t="s">
        <v>803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ht="15.2" spans="1:10">
      <c r="A2296" s="58" t="s">
        <v>3004</v>
      </c>
      <c r="B2296" s="59">
        <v>1092.25</v>
      </c>
      <c r="C2296" s="59">
        <v>1799</v>
      </c>
      <c r="D2296" s="59" t="s">
        <v>803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ht="15.2" spans="1:10">
      <c r="A2297" s="58" t="s">
        <v>3005</v>
      </c>
      <c r="B2297" s="59">
        <v>290.78</v>
      </c>
      <c r="C2297" s="59">
        <v>449</v>
      </c>
      <c r="D2297" s="59" t="s">
        <v>803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581.56</v>
      </c>
      <c r="J2297" s="60">
        <f t="shared" si="108"/>
        <v>898</v>
      </c>
    </row>
    <row r="2298" ht="15.2" spans="1:10">
      <c r="A2298" s="58" t="s">
        <v>3006</v>
      </c>
      <c r="B2298" s="59">
        <v>564</v>
      </c>
      <c r="C2298" s="59">
        <v>1246</v>
      </c>
      <c r="D2298" s="59" t="s">
        <v>801</v>
      </c>
      <c r="E2298" s="59">
        <v>0.55</v>
      </c>
      <c r="F2298" s="59">
        <v>0.55</v>
      </c>
      <c r="G2298" s="59">
        <v>0</v>
      </c>
      <c r="H2298" s="60">
        <f t="shared" si="109"/>
        <v>0.55</v>
      </c>
      <c r="I2298" s="60">
        <f t="shared" si="107"/>
        <v>310.2</v>
      </c>
      <c r="J2298" s="60">
        <f t="shared" si="108"/>
        <v>685.3</v>
      </c>
    </row>
    <row r="2299" ht="15.2" spans="1:10">
      <c r="A2299" s="58" t="s">
        <v>3007</v>
      </c>
      <c r="B2299" s="59">
        <v>1517.25</v>
      </c>
      <c r="C2299" s="59">
        <v>2499</v>
      </c>
      <c r="D2299" s="59" t="s">
        <v>803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ht="15.2" spans="1:10">
      <c r="A2300" s="58" t="s">
        <v>3008</v>
      </c>
      <c r="B2300" s="59">
        <v>1274.39</v>
      </c>
      <c r="C2300" s="59">
        <v>2099</v>
      </c>
      <c r="D2300" s="59" t="s">
        <v>803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ht="15.2" spans="1:10">
      <c r="A2301" s="58" t="s">
        <v>3009</v>
      </c>
      <c r="B2301" s="59">
        <v>1213.68</v>
      </c>
      <c r="C2301" s="59">
        <v>1999</v>
      </c>
      <c r="D2301" s="59" t="s">
        <v>803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ht="15.2" spans="1:10">
      <c r="A2302" s="58" t="s">
        <v>3010</v>
      </c>
      <c r="B2302" s="59">
        <v>564</v>
      </c>
      <c r="C2302" s="59">
        <v>1421</v>
      </c>
      <c r="D2302" s="59" t="s">
        <v>801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7162.8</v>
      </c>
      <c r="J2302" s="60">
        <f t="shared" si="108"/>
        <v>18046.7</v>
      </c>
    </row>
    <row r="2303" ht="15.2" spans="1:10">
      <c r="A2303" s="58" t="s">
        <v>3011</v>
      </c>
      <c r="B2303" s="59">
        <v>1773.46</v>
      </c>
      <c r="C2303" s="59">
        <v>2699</v>
      </c>
      <c r="D2303" s="59" t="s">
        <v>803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ht="15.2" spans="1:10">
      <c r="A2304" s="58" t="s">
        <v>3012</v>
      </c>
      <c r="B2304" s="59">
        <v>374</v>
      </c>
      <c r="C2304" s="59">
        <v>919</v>
      </c>
      <c r="D2304" s="59" t="s">
        <v>801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ht="15.2" spans="1:10">
      <c r="A2305" s="58" t="s">
        <v>3013</v>
      </c>
      <c r="B2305" s="59">
        <v>1177.98</v>
      </c>
      <c r="C2305" s="59">
        <v>1999</v>
      </c>
      <c r="D2305" s="59" t="s">
        <v>803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ht="15.2" spans="1:10">
      <c r="A2306" s="58" t="s">
        <v>3014</v>
      </c>
      <c r="B2306" s="59">
        <v>399</v>
      </c>
      <c r="C2306" s="59">
        <v>838</v>
      </c>
      <c r="D2306" s="59" t="s">
        <v>801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</v>
      </c>
      <c r="J2306" s="60">
        <f t="shared" ref="J2306:J2369" si="111">C2306*H2306</f>
        <v>41.9</v>
      </c>
    </row>
    <row r="2307" ht="15.2" spans="1:10">
      <c r="A2307" s="58" t="s">
        <v>3015</v>
      </c>
      <c r="B2307" s="59">
        <v>399</v>
      </c>
      <c r="C2307" s="59">
        <v>892</v>
      </c>
      <c r="D2307" s="59" t="s">
        <v>801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ht="15.2" spans="1:10">
      <c r="A2308" s="58" t="s">
        <v>3016</v>
      </c>
      <c r="B2308" s="59">
        <v>787.84</v>
      </c>
      <c r="C2308" s="59">
        <v>1199</v>
      </c>
      <c r="D2308" s="59" t="s">
        <v>803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ht="15.2" spans="1:10">
      <c r="A2309" s="58" t="s">
        <v>3017</v>
      </c>
      <c r="B2309" s="59">
        <v>1707.76</v>
      </c>
      <c r="C2309" s="59">
        <v>2599</v>
      </c>
      <c r="D2309" s="59" t="s">
        <v>803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ht="15.2" spans="1:10">
      <c r="A2310" s="58" t="s">
        <v>3018</v>
      </c>
      <c r="B2310" s="59">
        <v>265</v>
      </c>
      <c r="C2310" s="59">
        <v>620</v>
      </c>
      <c r="D2310" s="59" t="s">
        <v>801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ht="15.2" spans="1:10">
      <c r="A2311" s="58" t="s">
        <v>3019</v>
      </c>
      <c r="B2311" s="59">
        <v>1970.58</v>
      </c>
      <c r="C2311" s="59">
        <v>2999</v>
      </c>
      <c r="D2311" s="59" t="s">
        <v>803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ht="15.2" spans="1:10">
      <c r="A2312" s="58" t="s">
        <v>3020</v>
      </c>
      <c r="B2312" s="59">
        <v>1638.68</v>
      </c>
      <c r="C2312" s="59">
        <v>2699</v>
      </c>
      <c r="D2312" s="59" t="s">
        <v>803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ht="15.2" spans="1:10">
      <c r="A2313" s="58" t="s">
        <v>3021</v>
      </c>
      <c r="B2313" s="59">
        <v>570.86</v>
      </c>
      <c r="C2313" s="59">
        <v>2381</v>
      </c>
      <c r="D2313" s="59" t="s">
        <v>801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ht="15.2" spans="1:10">
      <c r="A2314" s="58" t="s">
        <v>3022</v>
      </c>
      <c r="B2314" s="59">
        <v>1354.77</v>
      </c>
      <c r="C2314" s="59">
        <v>2299</v>
      </c>
      <c r="D2314" s="59" t="s">
        <v>803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ht="15.2" spans="1:10">
      <c r="A2315" s="58" t="s">
        <v>3023</v>
      </c>
      <c r="B2315" s="59">
        <v>1456.54</v>
      </c>
      <c r="C2315" s="59">
        <v>2399</v>
      </c>
      <c r="D2315" s="59" t="s">
        <v>803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ht="15.2" spans="1:13">
      <c r="A2316" s="58" t="s">
        <v>3024</v>
      </c>
      <c r="B2316" s="59">
        <v>354</v>
      </c>
      <c r="C2316" s="59">
        <v>780</v>
      </c>
      <c r="D2316" s="59" t="s">
        <v>801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ht="15.2" spans="1:10">
      <c r="A2317" s="58" t="s">
        <v>3025</v>
      </c>
      <c r="B2317" s="59">
        <v>1472.63</v>
      </c>
      <c r="C2317" s="59">
        <v>2499</v>
      </c>
      <c r="D2317" s="59" t="s">
        <v>803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ht="15.2" spans="1:10">
      <c r="A2318" s="58" t="s">
        <v>3026</v>
      </c>
      <c r="B2318" s="59">
        <v>1577.97</v>
      </c>
      <c r="C2318" s="59">
        <v>2599</v>
      </c>
      <c r="D2318" s="59" t="s">
        <v>803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ht="15.2" spans="1:10">
      <c r="A2319" s="58" t="s">
        <v>3027</v>
      </c>
      <c r="B2319" s="59">
        <v>4239.47</v>
      </c>
      <c r="C2319" s="59">
        <v>7999</v>
      </c>
      <c r="D2319" s="59" t="s">
        <v>803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ht="15.2" spans="1:10">
      <c r="A2320" s="58" t="s">
        <v>3028</v>
      </c>
      <c r="B2320" s="59">
        <v>661</v>
      </c>
      <c r="C2320" s="59">
        <v>1471</v>
      </c>
      <c r="D2320" s="59" t="s">
        <v>801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ht="15.2" spans="1:10">
      <c r="A2321" s="58" t="s">
        <v>273</v>
      </c>
      <c r="B2321" s="59">
        <v>564</v>
      </c>
      <c r="C2321" s="59">
        <v>1431</v>
      </c>
      <c r="D2321" s="59" t="s">
        <v>801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ht="15.2" spans="1:10">
      <c r="A2322" s="58" t="s">
        <v>3029</v>
      </c>
      <c r="B2322" s="59">
        <v>429</v>
      </c>
      <c r="C2322" s="59">
        <v>982</v>
      </c>
      <c r="D2322" s="59" t="s">
        <v>801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ht="15.2" spans="1:10">
      <c r="A2323" s="58" t="s">
        <v>3030</v>
      </c>
      <c r="B2323" s="59">
        <v>1769</v>
      </c>
      <c r="C2323" s="59">
        <v>3970</v>
      </c>
      <c r="D2323" s="59" t="s">
        <v>801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ht="15.2" spans="1:10">
      <c r="A2324" s="58" t="s">
        <v>3031</v>
      </c>
      <c r="B2324" s="59">
        <v>3709.47</v>
      </c>
      <c r="C2324" s="59">
        <v>6999</v>
      </c>
      <c r="D2324" s="59" t="s">
        <v>803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ht="15.2" spans="1:10">
      <c r="A2325" s="58" t="s">
        <v>3032</v>
      </c>
      <c r="B2325" s="59">
        <v>384</v>
      </c>
      <c r="C2325" s="59">
        <v>911</v>
      </c>
      <c r="D2325" s="59" t="s">
        <v>801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ht="15.2" spans="1:10">
      <c r="A2326" s="58" t="s">
        <v>3033</v>
      </c>
      <c r="B2326" s="59">
        <v>5463.68</v>
      </c>
      <c r="C2326" s="59">
        <v>8999</v>
      </c>
      <c r="D2326" s="59" t="s">
        <v>803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ht="15.2" spans="1:10">
      <c r="A2327" s="58" t="s">
        <v>215</v>
      </c>
      <c r="B2327" s="59">
        <v>675</v>
      </c>
      <c r="C2327" s="59">
        <v>1508</v>
      </c>
      <c r="D2327" s="59" t="s">
        <v>801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ht="15.2" spans="1:10">
      <c r="A2328" s="58" t="s">
        <v>3034</v>
      </c>
      <c r="B2328" s="59">
        <v>1354.77</v>
      </c>
      <c r="C2328" s="59">
        <v>2299</v>
      </c>
      <c r="D2328" s="59" t="s">
        <v>803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ht="15.2" spans="1:10">
      <c r="A2329" s="58" t="s">
        <v>3035</v>
      </c>
      <c r="B2329" s="59">
        <v>449</v>
      </c>
      <c r="C2329" s="59">
        <v>999</v>
      </c>
      <c r="D2329" s="59" t="s">
        <v>801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2155.2</v>
      </c>
      <c r="J2329" s="60">
        <f t="shared" si="111"/>
        <v>4795.2</v>
      </c>
    </row>
    <row r="2330" ht="15.2" spans="1:10">
      <c r="A2330" s="58" t="s">
        <v>3036</v>
      </c>
      <c r="B2330" s="59">
        <v>4124.41</v>
      </c>
      <c r="C2330" s="59">
        <v>6999</v>
      </c>
      <c r="D2330" s="59" t="s">
        <v>803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ht="15.2" spans="1:10">
      <c r="A2331" s="58" t="s">
        <v>3037</v>
      </c>
      <c r="B2331" s="59">
        <v>1274.39</v>
      </c>
      <c r="C2331" s="59">
        <v>2099</v>
      </c>
      <c r="D2331" s="59" t="s">
        <v>803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ht="15.2" spans="1:10">
      <c r="A2332" s="58" t="s">
        <v>3038</v>
      </c>
      <c r="B2332" s="59">
        <v>1092.25</v>
      </c>
      <c r="C2332" s="59">
        <v>1799</v>
      </c>
      <c r="D2332" s="59" t="s">
        <v>803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ht="15.2" spans="1:10">
      <c r="A2333" s="58" t="s">
        <v>3039</v>
      </c>
      <c r="B2333" s="59">
        <v>499</v>
      </c>
      <c r="C2333" s="59">
        <v>1117</v>
      </c>
      <c r="D2333" s="59" t="s">
        <v>801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</v>
      </c>
      <c r="J2333" s="60">
        <f t="shared" si="111"/>
        <v>223.4</v>
      </c>
    </row>
    <row r="2334" ht="15.2" spans="1:10">
      <c r="A2334" s="58" t="s">
        <v>371</v>
      </c>
      <c r="B2334" s="59">
        <v>513</v>
      </c>
      <c r="C2334" s="59">
        <v>1290</v>
      </c>
      <c r="D2334" s="59" t="s">
        <v>801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ht="15.2" spans="1:10">
      <c r="A2335" s="58" t="s">
        <v>3040</v>
      </c>
      <c r="B2335" s="59">
        <v>2061.91</v>
      </c>
      <c r="C2335" s="59">
        <v>3499</v>
      </c>
      <c r="D2335" s="59" t="s">
        <v>803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ht="15.2" spans="1:10">
      <c r="A2336" s="58" t="s">
        <v>3041</v>
      </c>
      <c r="B2336" s="59">
        <v>970.78</v>
      </c>
      <c r="C2336" s="59">
        <v>1499</v>
      </c>
      <c r="D2336" s="59" t="s">
        <v>803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ht="15.2" spans="1:10">
      <c r="A2337" s="58" t="s">
        <v>3042</v>
      </c>
      <c r="B2337" s="59">
        <v>940.46</v>
      </c>
      <c r="C2337" s="59">
        <v>1549</v>
      </c>
      <c r="D2337" s="59" t="s">
        <v>803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ht="15.2" spans="1:10">
      <c r="A2338" s="58" t="s">
        <v>3043</v>
      </c>
      <c r="B2338" s="59">
        <v>1335.11</v>
      </c>
      <c r="C2338" s="59">
        <v>2199</v>
      </c>
      <c r="D2338" s="59" t="s">
        <v>803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ht="15.2" spans="1:10">
      <c r="A2339" s="58" t="s">
        <v>3044</v>
      </c>
      <c r="B2339" s="59">
        <v>1820.82</v>
      </c>
      <c r="C2339" s="59">
        <v>2999</v>
      </c>
      <c r="D2339" s="59" t="s">
        <v>803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ht="15.2" spans="1:10">
      <c r="A2340" s="58" t="s">
        <v>3045</v>
      </c>
      <c r="B2340" s="59">
        <v>776.49</v>
      </c>
      <c r="C2340" s="59">
        <v>1199</v>
      </c>
      <c r="D2340" s="59" t="s">
        <v>803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ht="15.2" spans="1:10">
      <c r="A2341" s="58" t="s">
        <v>3046</v>
      </c>
      <c r="B2341" s="59">
        <v>490</v>
      </c>
      <c r="C2341" s="59">
        <v>1181</v>
      </c>
      <c r="D2341" s="59" t="s">
        <v>801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ht="15.2" spans="1:10">
      <c r="A2342" s="58" t="s">
        <v>3047</v>
      </c>
      <c r="B2342" s="59">
        <v>288</v>
      </c>
      <c r="C2342" s="59">
        <v>680</v>
      </c>
      <c r="D2342" s="59" t="s">
        <v>801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ht="15.2" spans="1:10">
      <c r="A2343" s="58" t="s">
        <v>3048</v>
      </c>
      <c r="B2343" s="59">
        <v>6677.96</v>
      </c>
      <c r="C2343" s="59">
        <v>10999</v>
      </c>
      <c r="D2343" s="59" t="s">
        <v>803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ht="15.2" spans="1:10">
      <c r="A2344" s="58" t="s">
        <v>3049</v>
      </c>
      <c r="B2344" s="59">
        <v>1178</v>
      </c>
      <c r="C2344" s="59">
        <v>3039</v>
      </c>
      <c r="D2344" s="59" t="s">
        <v>801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8658.3</v>
      </c>
      <c r="J2344" s="60">
        <f t="shared" si="111"/>
        <v>22336.65</v>
      </c>
    </row>
    <row r="2345" ht="15.2" spans="1:10">
      <c r="A2345" s="58" t="s">
        <v>3050</v>
      </c>
      <c r="B2345" s="59">
        <v>1699.39</v>
      </c>
      <c r="C2345" s="59">
        <v>2799</v>
      </c>
      <c r="D2345" s="59" t="s">
        <v>803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ht="15.2" spans="1:10">
      <c r="A2346" s="58" t="s">
        <v>3051</v>
      </c>
      <c r="B2346" s="59">
        <v>938</v>
      </c>
      <c r="C2346" s="59">
        <v>2167</v>
      </c>
      <c r="D2346" s="59" t="s">
        <v>801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1125.6</v>
      </c>
      <c r="J2346" s="60">
        <f t="shared" si="111"/>
        <v>2600.4</v>
      </c>
    </row>
    <row r="2347" ht="15.2" spans="1:10">
      <c r="A2347" s="58" t="s">
        <v>3052</v>
      </c>
      <c r="B2347" s="59">
        <v>350</v>
      </c>
      <c r="C2347" s="59">
        <v>825</v>
      </c>
      <c r="D2347" s="59" t="s">
        <v>801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ht="15.2" spans="1:10">
      <c r="A2348" s="58" t="s">
        <v>3053</v>
      </c>
      <c r="B2348" s="59">
        <v>722.13</v>
      </c>
      <c r="C2348" s="59">
        <v>1099</v>
      </c>
      <c r="D2348" s="59" t="s">
        <v>803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ht="15.2" spans="1:10">
      <c r="A2349" s="58" t="s">
        <v>3054</v>
      </c>
      <c r="B2349" s="59">
        <v>1354.77</v>
      </c>
      <c r="C2349" s="59">
        <v>2299</v>
      </c>
      <c r="D2349" s="59" t="s">
        <v>803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ht="15.2" spans="1:10">
      <c r="A2350" s="58" t="s">
        <v>3055</v>
      </c>
      <c r="B2350" s="59">
        <v>525</v>
      </c>
      <c r="C2350" s="59">
        <v>799</v>
      </c>
      <c r="D2350" s="59" t="s">
        <v>803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ht="15.2" spans="1:10">
      <c r="A2351" s="58" t="s">
        <v>3056</v>
      </c>
      <c r="B2351" s="59">
        <v>1249</v>
      </c>
      <c r="C2351" s="59">
        <v>3196</v>
      </c>
      <c r="D2351" s="59" t="s">
        <v>801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ht="15.2" spans="1:10">
      <c r="A2352" s="58" t="s">
        <v>3057</v>
      </c>
      <c r="B2352" s="59">
        <v>1295.84</v>
      </c>
      <c r="C2352" s="59">
        <v>2199</v>
      </c>
      <c r="D2352" s="59" t="s">
        <v>803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1295.84</v>
      </c>
      <c r="J2352" s="60">
        <f t="shared" si="111"/>
        <v>2199</v>
      </c>
    </row>
    <row r="2353" ht="15.2" spans="1:10">
      <c r="A2353" s="58" t="s">
        <v>3058</v>
      </c>
      <c r="B2353" s="59">
        <v>410</v>
      </c>
      <c r="C2353" s="59">
        <v>913</v>
      </c>
      <c r="D2353" s="59" t="s">
        <v>801</v>
      </c>
      <c r="E2353" s="59">
        <v>2.45</v>
      </c>
      <c r="F2353" s="59">
        <v>2.45</v>
      </c>
      <c r="G2353" s="59">
        <v>0</v>
      </c>
      <c r="H2353" s="60">
        <f t="shared" si="112"/>
        <v>2.45</v>
      </c>
      <c r="I2353" s="60">
        <f t="shared" si="110"/>
        <v>1004.5</v>
      </c>
      <c r="J2353" s="60">
        <f t="shared" si="111"/>
        <v>2236.85</v>
      </c>
    </row>
    <row r="2354" ht="15.2" spans="1:10">
      <c r="A2354" s="58" t="s">
        <v>3059</v>
      </c>
      <c r="B2354" s="59">
        <v>756</v>
      </c>
      <c r="C2354" s="59">
        <v>1838</v>
      </c>
      <c r="D2354" s="59" t="s">
        <v>801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</v>
      </c>
      <c r="J2354" s="60">
        <f t="shared" si="111"/>
        <v>1470.4</v>
      </c>
    </row>
    <row r="2355" ht="15.2" spans="1:10">
      <c r="A2355" s="58" t="s">
        <v>3060</v>
      </c>
      <c r="B2355" s="59">
        <v>476</v>
      </c>
      <c r="C2355" s="59">
        <v>1025</v>
      </c>
      <c r="D2355" s="59" t="s">
        <v>801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ht="15.2" spans="1:10">
      <c r="A2356" s="58" t="s">
        <v>3061</v>
      </c>
      <c r="B2356" s="59">
        <v>375</v>
      </c>
      <c r="C2356" s="59">
        <v>788</v>
      </c>
      <c r="D2356" s="59" t="s">
        <v>801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</v>
      </c>
    </row>
    <row r="2357" ht="15.2" spans="1:10">
      <c r="A2357" s="58" t="s">
        <v>3062</v>
      </c>
      <c r="B2357" s="59">
        <v>1444.92</v>
      </c>
      <c r="C2357" s="59">
        <v>2199</v>
      </c>
      <c r="D2357" s="59" t="s">
        <v>803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ht="15.2" spans="1:10">
      <c r="A2358" s="58" t="s">
        <v>3063</v>
      </c>
      <c r="B2358" s="59">
        <v>499</v>
      </c>
      <c r="C2358" s="59">
        <v>1117</v>
      </c>
      <c r="D2358" s="59" t="s">
        <v>801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698.6</v>
      </c>
      <c r="J2358" s="60">
        <f t="shared" si="111"/>
        <v>1563.8</v>
      </c>
    </row>
    <row r="2359" ht="15.2" spans="1:10">
      <c r="A2359" s="58" t="s">
        <v>3064</v>
      </c>
      <c r="B2359" s="59">
        <v>1247.8</v>
      </c>
      <c r="C2359" s="59">
        <v>1899</v>
      </c>
      <c r="D2359" s="59" t="s">
        <v>803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ht="15.2" spans="1:10">
      <c r="A2360" s="58" t="s">
        <v>3065</v>
      </c>
      <c r="B2360" s="59">
        <v>499</v>
      </c>
      <c r="C2360" s="59">
        <v>1117</v>
      </c>
      <c r="D2360" s="59" t="s">
        <v>801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474.05</v>
      </c>
      <c r="J2360" s="60">
        <f t="shared" si="111"/>
        <v>1061.15</v>
      </c>
    </row>
    <row r="2361" ht="15.2" spans="1:10">
      <c r="A2361" s="58" t="s">
        <v>3066</v>
      </c>
      <c r="B2361" s="59">
        <v>1517.25</v>
      </c>
      <c r="C2361" s="59">
        <v>2499</v>
      </c>
      <c r="D2361" s="59" t="s">
        <v>803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ht="15.2" spans="1:10">
      <c r="A2362" s="58" t="s">
        <v>3067</v>
      </c>
      <c r="B2362" s="59">
        <v>1472.63</v>
      </c>
      <c r="C2362" s="59">
        <v>2499</v>
      </c>
      <c r="D2362" s="59" t="s">
        <v>803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ht="15.2" spans="1:10">
      <c r="A2363" s="58" t="s">
        <v>3068</v>
      </c>
      <c r="B2363" s="59">
        <v>1456.54</v>
      </c>
      <c r="C2363" s="59">
        <v>2399</v>
      </c>
      <c r="D2363" s="59" t="s">
        <v>803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ht="15.2" spans="1:10">
      <c r="A2364" s="58" t="s">
        <v>687</v>
      </c>
      <c r="B2364" s="59">
        <v>239.2</v>
      </c>
      <c r="C2364" s="59">
        <v>628</v>
      </c>
      <c r="D2364" s="59" t="s">
        <v>801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2679.04</v>
      </c>
      <c r="J2364" s="60">
        <f t="shared" si="111"/>
        <v>7033.6</v>
      </c>
    </row>
    <row r="2365" ht="15.2" spans="1:10">
      <c r="A2365" s="58" t="s">
        <v>3069</v>
      </c>
      <c r="B2365" s="59">
        <v>940.46</v>
      </c>
      <c r="C2365" s="59">
        <v>1549</v>
      </c>
      <c r="D2365" s="59" t="s">
        <v>803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ht="15.2" spans="1:10">
      <c r="A2366" s="58" t="s">
        <v>3070</v>
      </c>
      <c r="B2366" s="59">
        <v>1287.76</v>
      </c>
      <c r="C2366" s="59">
        <v>1999</v>
      </c>
      <c r="D2366" s="59" t="s">
        <v>803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ht="15.2" spans="1:10">
      <c r="A2367" s="58" t="s">
        <v>3071</v>
      </c>
      <c r="B2367" s="59">
        <v>495</v>
      </c>
      <c r="C2367" s="59">
        <v>1040</v>
      </c>
      <c r="D2367" s="59" t="s">
        <v>801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ht="15.2" spans="1:10">
      <c r="A2368" s="58" t="s">
        <v>3072</v>
      </c>
      <c r="B2368" s="59">
        <v>1820.82</v>
      </c>
      <c r="C2368" s="59">
        <v>2999</v>
      </c>
      <c r="D2368" s="59" t="s">
        <v>803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ht="15.2" spans="1:10">
      <c r="A2369" s="58" t="s">
        <v>3073</v>
      </c>
      <c r="B2369" s="59">
        <v>354</v>
      </c>
      <c r="C2369" s="59">
        <v>782</v>
      </c>
      <c r="D2369" s="59" t="s">
        <v>801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ht="15.2" spans="1:10">
      <c r="A2370" s="58" t="s">
        <v>716</v>
      </c>
      <c r="B2370" s="59">
        <v>336</v>
      </c>
      <c r="C2370" s="59">
        <v>825</v>
      </c>
      <c r="D2370" s="59" t="s">
        <v>801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ht="15.2" spans="1:10">
      <c r="A2371" s="58" t="s">
        <v>3074</v>
      </c>
      <c r="B2371" s="59">
        <v>1576.34</v>
      </c>
      <c r="C2371" s="59">
        <v>2399</v>
      </c>
      <c r="D2371" s="59" t="s">
        <v>803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ht="15.2" spans="1:10">
      <c r="A2372" s="58" t="s">
        <v>3075</v>
      </c>
      <c r="B2372" s="59">
        <v>60</v>
      </c>
      <c r="C2372" s="59">
        <v>999</v>
      </c>
      <c r="D2372" s="59" t="s">
        <v>801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ht="15.2" spans="1:10">
      <c r="A2373" s="58" t="s">
        <v>3076</v>
      </c>
      <c r="B2373" s="59">
        <v>1638.68</v>
      </c>
      <c r="C2373" s="59">
        <v>2699</v>
      </c>
      <c r="D2373" s="59" t="s">
        <v>803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ht="15.2" spans="1:10">
      <c r="A2374" s="58" t="s">
        <v>3077</v>
      </c>
      <c r="B2374" s="59">
        <v>517.45</v>
      </c>
      <c r="C2374" s="59">
        <v>799</v>
      </c>
      <c r="D2374" s="59" t="s">
        <v>803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ht="15.2" spans="1:10">
      <c r="A2375" s="58" t="s">
        <v>3078</v>
      </c>
      <c r="B2375" s="59">
        <v>259</v>
      </c>
      <c r="C2375" s="59">
        <v>635</v>
      </c>
      <c r="D2375" s="59" t="s">
        <v>801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ht="15.2" spans="1:10">
      <c r="A2376" s="58" t="s">
        <v>364</v>
      </c>
      <c r="B2376" s="59">
        <v>0</v>
      </c>
      <c r="C2376" s="59">
        <v>0</v>
      </c>
      <c r="D2376" s="59" t="s">
        <v>991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ht="15.2" spans="1:10">
      <c r="A2377" s="58" t="s">
        <v>3079</v>
      </c>
      <c r="B2377" s="59">
        <v>1092.25</v>
      </c>
      <c r="C2377" s="59">
        <v>1799</v>
      </c>
      <c r="D2377" s="59" t="s">
        <v>803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ht="15.2" spans="1:10">
      <c r="A2378" s="58" t="s">
        <v>3080</v>
      </c>
      <c r="B2378" s="59">
        <v>292</v>
      </c>
      <c r="C2378" s="59">
        <v>850</v>
      </c>
      <c r="D2378" s="59" t="s">
        <v>801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ht="15.2" spans="1:10">
      <c r="A2379" s="58" t="s">
        <v>3081</v>
      </c>
      <c r="B2379" s="59">
        <v>313</v>
      </c>
      <c r="C2379" s="59">
        <v>690</v>
      </c>
      <c r="D2379" s="59" t="s">
        <v>801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ht="15.2" spans="1:10">
      <c r="A2380" s="58" t="s">
        <v>3082</v>
      </c>
      <c r="B2380" s="59">
        <v>1247.8</v>
      </c>
      <c r="C2380" s="59">
        <v>1899</v>
      </c>
      <c r="D2380" s="59" t="s">
        <v>803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ht="15.2" spans="1:10">
      <c r="A2381" s="58" t="s">
        <v>3083</v>
      </c>
      <c r="B2381" s="59">
        <v>350.9</v>
      </c>
      <c r="C2381" s="59">
        <v>1091</v>
      </c>
      <c r="D2381" s="59" t="s">
        <v>801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754.435</v>
      </c>
      <c r="J2381" s="60">
        <f t="shared" si="114"/>
        <v>2345.65</v>
      </c>
    </row>
    <row r="2382" ht="15.2" spans="1:10">
      <c r="A2382" s="58" t="s">
        <v>3084</v>
      </c>
      <c r="B2382" s="59">
        <v>1313.5</v>
      </c>
      <c r="C2382" s="59">
        <v>1999</v>
      </c>
      <c r="D2382" s="59" t="s">
        <v>803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ht="15.2" spans="1:10">
      <c r="A2383" s="58" t="s">
        <v>3085</v>
      </c>
      <c r="B2383" s="59">
        <v>1510.63</v>
      </c>
      <c r="C2383" s="59">
        <v>2299</v>
      </c>
      <c r="D2383" s="59" t="s">
        <v>803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ht="15.2" spans="1:10">
      <c r="A2384" s="58" t="s">
        <v>3086</v>
      </c>
      <c r="B2384" s="59">
        <v>525</v>
      </c>
      <c r="C2384" s="59">
        <v>799</v>
      </c>
      <c r="D2384" s="59" t="s">
        <v>803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ht="15.2" spans="1:10">
      <c r="A2385" s="58" t="s">
        <v>3087</v>
      </c>
      <c r="B2385" s="59">
        <v>1247.8</v>
      </c>
      <c r="C2385" s="59">
        <v>1899</v>
      </c>
      <c r="D2385" s="59" t="s">
        <v>803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ht="15.2" spans="1:10">
      <c r="A2386" s="58" t="s">
        <v>3088</v>
      </c>
      <c r="B2386" s="59">
        <v>1395.82</v>
      </c>
      <c r="C2386" s="59">
        <v>2299</v>
      </c>
      <c r="D2386" s="59" t="s">
        <v>803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ht="15.2" spans="1:10">
      <c r="A2387" s="58" t="s">
        <v>3089</v>
      </c>
      <c r="B2387" s="59">
        <v>841.26</v>
      </c>
      <c r="C2387" s="59">
        <v>1299</v>
      </c>
      <c r="D2387" s="59" t="s">
        <v>803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ht="15.2" spans="1:10">
      <c r="A2388" s="58" t="s">
        <v>3090</v>
      </c>
      <c r="B2388" s="59">
        <v>1510.63</v>
      </c>
      <c r="C2388" s="59">
        <v>2299</v>
      </c>
      <c r="D2388" s="59" t="s">
        <v>803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ht="15.2" spans="1:10">
      <c r="A2389" s="58" t="s">
        <v>3091</v>
      </c>
      <c r="B2389" s="59">
        <v>1313.5</v>
      </c>
      <c r="C2389" s="59">
        <v>1999</v>
      </c>
      <c r="D2389" s="59" t="s">
        <v>803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ht="15.2" spans="1:10">
      <c r="A2390" s="58" t="s">
        <v>3092</v>
      </c>
      <c r="B2390" s="59">
        <v>390</v>
      </c>
      <c r="C2390" s="59">
        <v>966</v>
      </c>
      <c r="D2390" s="59" t="s">
        <v>801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ht="15.2" spans="1:10">
      <c r="A2391" s="58" t="s">
        <v>3093</v>
      </c>
      <c r="B2391" s="59">
        <v>1395.82</v>
      </c>
      <c r="C2391" s="59">
        <v>2299</v>
      </c>
      <c r="D2391" s="59" t="s">
        <v>803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ht="15.2" spans="1:10">
      <c r="A2392" s="58" t="s">
        <v>3094</v>
      </c>
      <c r="B2392" s="59">
        <v>281</v>
      </c>
      <c r="C2392" s="59">
        <v>635</v>
      </c>
      <c r="D2392" s="59" t="s">
        <v>801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ht="15.2" spans="1:10">
      <c r="A2393" s="58" t="s">
        <v>3095</v>
      </c>
      <c r="B2393" s="59">
        <v>2731.54</v>
      </c>
      <c r="C2393" s="59">
        <v>4499</v>
      </c>
      <c r="D2393" s="59" t="s">
        <v>803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ht="15.2" spans="1:10">
      <c r="A2394" s="58" t="s">
        <v>3096</v>
      </c>
      <c r="B2394" s="59">
        <v>1517.25</v>
      </c>
      <c r="C2394" s="59">
        <v>2499</v>
      </c>
      <c r="D2394" s="59" t="s">
        <v>803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ht="15.2" spans="1:10">
      <c r="A2395" s="58" t="s">
        <v>3097</v>
      </c>
      <c r="B2395" s="59">
        <v>1092.25</v>
      </c>
      <c r="C2395" s="59">
        <v>1799</v>
      </c>
      <c r="D2395" s="59" t="s">
        <v>803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ht="15.2" spans="1:10">
      <c r="A2396" s="58" t="s">
        <v>3098</v>
      </c>
      <c r="B2396" s="59">
        <v>1094.5</v>
      </c>
      <c r="C2396" s="59">
        <v>1699</v>
      </c>
      <c r="D2396" s="59" t="s">
        <v>803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ht="15.2" spans="1:10">
      <c r="A2397" s="58" t="s">
        <v>3099</v>
      </c>
      <c r="B2397" s="59">
        <v>1444.92</v>
      </c>
      <c r="C2397" s="59">
        <v>2199</v>
      </c>
      <c r="D2397" s="59" t="s">
        <v>803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ht="15.2" spans="1:10">
      <c r="A2398" s="58" t="s">
        <v>3100</v>
      </c>
      <c r="B2398" s="59">
        <v>973</v>
      </c>
      <c r="C2398" s="59">
        <v>2306</v>
      </c>
      <c r="D2398" s="59" t="s">
        <v>801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ht="15.2" spans="1:10">
      <c r="A2399" s="58" t="s">
        <v>3101</v>
      </c>
      <c r="B2399" s="59">
        <v>1773.46</v>
      </c>
      <c r="C2399" s="59">
        <v>2699</v>
      </c>
      <c r="D2399" s="59" t="s">
        <v>803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ht="15.2" spans="1:10">
      <c r="A2400" s="58" t="s">
        <v>3102</v>
      </c>
      <c r="B2400" s="59">
        <v>279.3</v>
      </c>
      <c r="C2400" s="59">
        <v>838</v>
      </c>
      <c r="D2400" s="59" t="s">
        <v>801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ht="15.2" spans="1:10">
      <c r="A2401" s="58" t="s">
        <v>3103</v>
      </c>
      <c r="B2401" s="59">
        <v>1545.44</v>
      </c>
      <c r="C2401" s="59">
        <v>2399</v>
      </c>
      <c r="D2401" s="59" t="s">
        <v>803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ht="15.2" spans="1:10">
      <c r="A2402" s="58" t="s">
        <v>3104</v>
      </c>
      <c r="B2402" s="59">
        <v>1152.96</v>
      </c>
      <c r="C2402" s="59">
        <v>1899</v>
      </c>
      <c r="D2402" s="59" t="s">
        <v>803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ht="15.2" spans="1:10">
      <c r="A2403" s="58" t="s">
        <v>3105</v>
      </c>
      <c r="B2403" s="59">
        <v>1600.45</v>
      </c>
      <c r="C2403" s="59">
        <v>2499</v>
      </c>
      <c r="D2403" s="59" t="s">
        <v>803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</v>
      </c>
      <c r="J2403" s="60">
        <f t="shared" si="114"/>
        <v>7497</v>
      </c>
    </row>
    <row r="2404" ht="15.2" spans="1:10">
      <c r="A2404" s="58" t="s">
        <v>3106</v>
      </c>
      <c r="B2404" s="59">
        <v>1576.34</v>
      </c>
      <c r="C2404" s="59">
        <v>2399</v>
      </c>
      <c r="D2404" s="59" t="s">
        <v>803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ht="15.2" spans="1:10">
      <c r="A2405" s="58" t="s">
        <v>3107</v>
      </c>
      <c r="B2405" s="59">
        <v>1773.46</v>
      </c>
      <c r="C2405" s="59">
        <v>2699</v>
      </c>
      <c r="D2405" s="59" t="s">
        <v>803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ht="15.2" spans="1:10">
      <c r="A2406" s="58" t="s">
        <v>3108</v>
      </c>
      <c r="B2406" s="59">
        <v>461</v>
      </c>
      <c r="C2406" s="59">
        <v>1093</v>
      </c>
      <c r="D2406" s="59" t="s">
        <v>801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1530.2</v>
      </c>
    </row>
    <row r="2407" ht="15.2" spans="1:10">
      <c r="A2407" s="58" t="s">
        <v>3109</v>
      </c>
      <c r="B2407" s="59">
        <v>1182.09</v>
      </c>
      <c r="C2407" s="59">
        <v>1799</v>
      </c>
      <c r="D2407" s="59" t="s">
        <v>803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1182.09</v>
      </c>
      <c r="J2407" s="60">
        <f t="shared" si="114"/>
        <v>1799</v>
      </c>
    </row>
    <row r="2408" ht="15.2" spans="1:10">
      <c r="A2408" s="58" t="s">
        <v>3110</v>
      </c>
      <c r="B2408" s="59">
        <v>1177.98</v>
      </c>
      <c r="C2408" s="59">
        <v>1999</v>
      </c>
      <c r="D2408" s="59" t="s">
        <v>803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ht="15.2" spans="1:10">
      <c r="A2409" s="58" t="s">
        <v>3111</v>
      </c>
      <c r="B2409" s="59">
        <v>940.46</v>
      </c>
      <c r="C2409" s="59">
        <v>1549</v>
      </c>
      <c r="D2409" s="59" t="s">
        <v>803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ht="15.2" spans="1:10">
      <c r="A2410" s="58" t="s">
        <v>3112</v>
      </c>
      <c r="B2410" s="59">
        <v>616</v>
      </c>
      <c r="C2410" s="59">
        <v>1256</v>
      </c>
      <c r="D2410" s="59" t="s">
        <v>801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ht="15.2" spans="1:10">
      <c r="A2411" s="58" t="s">
        <v>3113</v>
      </c>
      <c r="B2411" s="59">
        <v>525</v>
      </c>
      <c r="C2411" s="59">
        <v>799</v>
      </c>
      <c r="D2411" s="59" t="s">
        <v>803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ht="15.2" spans="1:10">
      <c r="A2412" s="58" t="s">
        <v>3114</v>
      </c>
      <c r="B2412" s="59">
        <v>1510.63</v>
      </c>
      <c r="C2412" s="59">
        <v>2299</v>
      </c>
      <c r="D2412" s="59" t="s">
        <v>803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ht="15.2" spans="1:10">
      <c r="A2413" s="58" t="s">
        <v>3115</v>
      </c>
      <c r="B2413" s="59">
        <v>769</v>
      </c>
      <c r="C2413" s="59">
        <v>1800</v>
      </c>
      <c r="D2413" s="59" t="s">
        <v>801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ht="15.2" spans="1:10">
      <c r="A2414" s="58" t="s">
        <v>3116</v>
      </c>
      <c r="B2414" s="59">
        <v>1313.5</v>
      </c>
      <c r="C2414" s="59">
        <v>1999</v>
      </c>
      <c r="D2414" s="59" t="s">
        <v>803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ht="15.2" spans="1:10">
      <c r="A2415" s="58" t="s">
        <v>3117</v>
      </c>
      <c r="B2415" s="59">
        <v>1313.5</v>
      </c>
      <c r="C2415" s="59">
        <v>1999</v>
      </c>
      <c r="D2415" s="59" t="s">
        <v>803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ht="15.2" spans="1:10">
      <c r="A2416" s="58" t="s">
        <v>3118</v>
      </c>
      <c r="B2416" s="59">
        <v>1274.39</v>
      </c>
      <c r="C2416" s="59">
        <v>2099</v>
      </c>
      <c r="D2416" s="59" t="s">
        <v>803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</v>
      </c>
      <c r="J2416" s="60">
        <f t="shared" si="114"/>
        <v>2099</v>
      </c>
    </row>
    <row r="2417" ht="15.2" spans="1:10">
      <c r="A2417" s="58" t="s">
        <v>3119</v>
      </c>
      <c r="B2417" s="59">
        <v>1274.39</v>
      </c>
      <c r="C2417" s="59">
        <v>2099</v>
      </c>
      <c r="D2417" s="59" t="s">
        <v>803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</v>
      </c>
      <c r="J2417" s="60">
        <f t="shared" si="114"/>
        <v>2099</v>
      </c>
    </row>
    <row r="2418" ht="15.2" spans="1:10">
      <c r="A2418" s="58" t="s">
        <v>3120</v>
      </c>
      <c r="B2418" s="59">
        <v>1274.39</v>
      </c>
      <c r="C2418" s="59">
        <v>2099</v>
      </c>
      <c r="D2418" s="59" t="s">
        <v>803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ht="15.2" spans="1:10">
      <c r="A2419" s="58" t="s">
        <v>3121</v>
      </c>
      <c r="B2419" s="59">
        <v>1313.5</v>
      </c>
      <c r="C2419" s="59">
        <v>1999</v>
      </c>
      <c r="D2419" s="59" t="s">
        <v>803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ht="15.2" spans="1:10">
      <c r="A2420" s="58" t="s">
        <v>3122</v>
      </c>
      <c r="B2420" s="59">
        <v>1236.91</v>
      </c>
      <c r="C2420" s="59">
        <v>2099</v>
      </c>
      <c r="D2420" s="59" t="s">
        <v>803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</v>
      </c>
      <c r="J2420" s="60">
        <f t="shared" si="114"/>
        <v>2099</v>
      </c>
    </row>
    <row r="2421" ht="15.2" spans="1:10">
      <c r="A2421" s="58" t="s">
        <v>3123</v>
      </c>
      <c r="B2421" s="59">
        <v>265</v>
      </c>
      <c r="C2421" s="59">
        <v>575</v>
      </c>
      <c r="D2421" s="59" t="s">
        <v>801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ht="15.2" spans="1:10">
      <c r="A2422" s="58" t="s">
        <v>3124</v>
      </c>
      <c r="B2422" s="59">
        <v>5892.27</v>
      </c>
      <c r="C2422" s="59">
        <v>9999</v>
      </c>
      <c r="D2422" s="59" t="s">
        <v>803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ht="15.2" spans="1:10">
      <c r="A2423" s="58" t="s">
        <v>3125</v>
      </c>
      <c r="B2423" s="59">
        <v>646</v>
      </c>
      <c r="C2423" s="59">
        <v>1358</v>
      </c>
      <c r="D2423" s="59" t="s">
        <v>801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</v>
      </c>
      <c r="J2423" s="60">
        <f t="shared" si="114"/>
        <v>135.8</v>
      </c>
    </row>
    <row r="2424" ht="15.2" spans="1:10">
      <c r="A2424" s="58" t="s">
        <v>3126</v>
      </c>
      <c r="B2424" s="59">
        <v>1354.77</v>
      </c>
      <c r="C2424" s="59">
        <v>2299</v>
      </c>
      <c r="D2424" s="59" t="s">
        <v>803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ht="15.2" spans="1:10">
      <c r="A2425" s="58" t="s">
        <v>3127</v>
      </c>
      <c r="B2425" s="59">
        <v>1931.96</v>
      </c>
      <c r="C2425" s="59">
        <v>2999</v>
      </c>
      <c r="D2425" s="59" t="s">
        <v>803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ht="15.2" spans="1:10">
      <c r="A2426" s="58" t="s">
        <v>3128</v>
      </c>
      <c r="B2426" s="59">
        <v>562</v>
      </c>
      <c r="C2426" s="59">
        <v>1299</v>
      </c>
      <c r="D2426" s="59" t="s">
        <v>801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ht="15.2" spans="1:10">
      <c r="A2427" s="58" t="s">
        <v>3129</v>
      </c>
      <c r="B2427" s="59">
        <v>1213.68</v>
      </c>
      <c r="C2427" s="59">
        <v>1999</v>
      </c>
      <c r="D2427" s="59" t="s">
        <v>803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ht="15.2" spans="1:10">
      <c r="A2428" s="58" t="s">
        <v>3130</v>
      </c>
      <c r="B2428" s="59">
        <v>1395.82</v>
      </c>
      <c r="C2428" s="59">
        <v>2299</v>
      </c>
      <c r="D2428" s="59" t="s">
        <v>803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ht="15.2" spans="1:10">
      <c r="A2429" s="58" t="s">
        <v>101</v>
      </c>
      <c r="B2429" s="59">
        <v>403</v>
      </c>
      <c r="C2429" s="59">
        <v>919</v>
      </c>
      <c r="D2429" s="59" t="s">
        <v>801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3868.8</v>
      </c>
      <c r="J2429" s="60">
        <f t="shared" si="114"/>
        <v>8822.4</v>
      </c>
    </row>
    <row r="2430" ht="15.2" spans="1:10">
      <c r="A2430" s="58" t="s">
        <v>3131</v>
      </c>
      <c r="B2430" s="59">
        <v>970.78</v>
      </c>
      <c r="C2430" s="59">
        <v>1499</v>
      </c>
      <c r="D2430" s="59" t="s">
        <v>803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ht="15.2" spans="1:10">
      <c r="A2431" s="58" t="s">
        <v>3132</v>
      </c>
      <c r="B2431" s="59">
        <v>1003</v>
      </c>
      <c r="C2431" s="59">
        <v>2355</v>
      </c>
      <c r="D2431" s="59" t="s">
        <v>801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</v>
      </c>
      <c r="J2431" s="60">
        <f t="shared" si="114"/>
        <v>235.5</v>
      </c>
    </row>
    <row r="2432" ht="15.2" spans="1:10">
      <c r="A2432" s="58" t="s">
        <v>3133</v>
      </c>
      <c r="B2432" s="59">
        <v>1092.25</v>
      </c>
      <c r="C2432" s="59">
        <v>1799</v>
      </c>
      <c r="D2432" s="59" t="s">
        <v>803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ht="15.2" spans="1:10">
      <c r="A2433" s="58" t="s">
        <v>3134</v>
      </c>
      <c r="B2433" s="59">
        <v>1313.5</v>
      </c>
      <c r="C2433" s="59">
        <v>1999</v>
      </c>
      <c r="D2433" s="59" t="s">
        <v>803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ht="15.2" spans="1:10">
      <c r="A2434" s="58" t="s">
        <v>3135</v>
      </c>
      <c r="B2434" s="59">
        <v>517.45</v>
      </c>
      <c r="C2434" s="59">
        <v>799</v>
      </c>
      <c r="D2434" s="59" t="s">
        <v>803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</v>
      </c>
      <c r="J2434" s="60">
        <f t="shared" ref="J2434:J2497" si="117">C2434*H2434</f>
        <v>799</v>
      </c>
    </row>
    <row r="2435" ht="15.2" spans="1:10">
      <c r="A2435" s="58" t="s">
        <v>3136</v>
      </c>
      <c r="B2435" s="59">
        <v>646.97</v>
      </c>
      <c r="C2435" s="59">
        <v>999</v>
      </c>
      <c r="D2435" s="59" t="s">
        <v>803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ht="15.2" spans="1:10">
      <c r="A2436" s="58" t="s">
        <v>3137</v>
      </c>
      <c r="B2436" s="59">
        <v>1510.63</v>
      </c>
      <c r="C2436" s="59">
        <v>2299</v>
      </c>
      <c r="D2436" s="59" t="s">
        <v>803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ht="15.2" spans="1:10">
      <c r="A2437" s="58" t="s">
        <v>3138</v>
      </c>
      <c r="B2437" s="59">
        <v>171.9</v>
      </c>
      <c r="C2437" s="59">
        <v>461</v>
      </c>
      <c r="D2437" s="59" t="s">
        <v>801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</v>
      </c>
      <c r="J2437" s="60">
        <f t="shared" si="117"/>
        <v>184.4</v>
      </c>
    </row>
    <row r="2438" ht="15.2" spans="1:10">
      <c r="A2438" s="58" t="s">
        <v>3139</v>
      </c>
      <c r="B2438" s="59">
        <v>1773.46</v>
      </c>
      <c r="C2438" s="59">
        <v>2699</v>
      </c>
      <c r="D2438" s="59" t="s">
        <v>803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ht="15.2" spans="1:10">
      <c r="A2439" s="58" t="s">
        <v>3140</v>
      </c>
      <c r="B2439" s="59">
        <v>599</v>
      </c>
      <c r="C2439" s="59">
        <v>1258</v>
      </c>
      <c r="D2439" s="59" t="s">
        <v>801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ht="15.2" spans="1:10">
      <c r="A2440" s="58" t="s">
        <v>3141</v>
      </c>
      <c r="B2440" s="59">
        <v>3279</v>
      </c>
      <c r="C2440" s="59">
        <v>7809</v>
      </c>
      <c r="D2440" s="59" t="s">
        <v>801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ht="15.2" spans="1:10">
      <c r="A2441" s="58" t="s">
        <v>3142</v>
      </c>
      <c r="B2441" s="59">
        <v>589</v>
      </c>
      <c r="C2441" s="59">
        <v>1315</v>
      </c>
      <c r="D2441" s="59" t="s">
        <v>801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2532.7</v>
      </c>
      <c r="J2441" s="60">
        <f t="shared" si="117"/>
        <v>5654.5</v>
      </c>
    </row>
    <row r="2442" ht="15.2" spans="1:10">
      <c r="A2442" s="58" t="s">
        <v>3143</v>
      </c>
      <c r="B2442" s="59">
        <v>1354.77</v>
      </c>
      <c r="C2442" s="59">
        <v>2299</v>
      </c>
      <c r="D2442" s="59" t="s">
        <v>803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ht="15.2" spans="1:10">
      <c r="A2443" s="58" t="s">
        <v>3144</v>
      </c>
      <c r="B2443" s="59">
        <v>1576.34</v>
      </c>
      <c r="C2443" s="59">
        <v>2399</v>
      </c>
      <c r="D2443" s="59" t="s">
        <v>803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4729.02</v>
      </c>
      <c r="J2443" s="60">
        <f t="shared" si="117"/>
        <v>7197</v>
      </c>
    </row>
    <row r="2444" ht="15.2" spans="1:10">
      <c r="A2444" s="58" t="s">
        <v>3145</v>
      </c>
      <c r="B2444" s="59">
        <v>1942.25</v>
      </c>
      <c r="C2444" s="59">
        <v>3199</v>
      </c>
      <c r="D2444" s="59" t="s">
        <v>803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ht="15.2" spans="1:10">
      <c r="A2445" s="58" t="s">
        <v>3146</v>
      </c>
      <c r="B2445" s="59">
        <v>1456.54</v>
      </c>
      <c r="C2445" s="59">
        <v>2399</v>
      </c>
      <c r="D2445" s="59" t="s">
        <v>803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ht="15.2" spans="1:10">
      <c r="A2446" s="58" t="s">
        <v>3147</v>
      </c>
      <c r="B2446" s="59">
        <v>479</v>
      </c>
      <c r="C2446" s="59">
        <v>799</v>
      </c>
      <c r="D2446" s="59" t="s">
        <v>801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ht="15.2" spans="1:10">
      <c r="A2447" s="58" t="s">
        <v>3148</v>
      </c>
      <c r="B2447" s="59">
        <v>452.69</v>
      </c>
      <c r="C2447" s="59">
        <v>699</v>
      </c>
      <c r="D2447" s="59" t="s">
        <v>803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ht="15.2" spans="1:10">
      <c r="A2448" s="58" t="s">
        <v>3149</v>
      </c>
      <c r="B2448" s="59">
        <v>1247.8</v>
      </c>
      <c r="C2448" s="59">
        <v>1899</v>
      </c>
      <c r="D2448" s="59" t="s">
        <v>803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ht="15.2" spans="1:10">
      <c r="A2449" s="58" t="s">
        <v>3150</v>
      </c>
      <c r="B2449" s="59">
        <v>1295.84</v>
      </c>
      <c r="C2449" s="59">
        <v>2199</v>
      </c>
      <c r="D2449" s="59" t="s">
        <v>803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1295.84</v>
      </c>
      <c r="J2449" s="60">
        <f t="shared" si="117"/>
        <v>2199</v>
      </c>
    </row>
    <row r="2450" ht="15.2" spans="1:10">
      <c r="A2450" s="58" t="s">
        <v>3151</v>
      </c>
      <c r="B2450" s="59">
        <v>295.02</v>
      </c>
      <c r="C2450" s="59">
        <v>449</v>
      </c>
      <c r="D2450" s="59" t="s">
        <v>803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ht="15.2" spans="1:10">
      <c r="A2451" s="58" t="s">
        <v>3152</v>
      </c>
      <c r="B2451" s="59">
        <v>906.02</v>
      </c>
      <c r="C2451" s="59">
        <v>1399</v>
      </c>
      <c r="D2451" s="59" t="s">
        <v>803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ht="15.2" spans="1:10">
      <c r="A2452" s="58" t="s">
        <v>3153</v>
      </c>
      <c r="B2452" s="59">
        <v>402.5</v>
      </c>
      <c r="C2452" s="59">
        <v>1208</v>
      </c>
      <c r="D2452" s="59" t="s">
        <v>801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ht="15.2" spans="1:10">
      <c r="A2453" s="58" t="s">
        <v>3154</v>
      </c>
      <c r="B2453" s="59">
        <v>570.86</v>
      </c>
      <c r="C2453" s="59">
        <v>1913</v>
      </c>
      <c r="D2453" s="59" t="s">
        <v>801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ht="15.2" spans="1:10">
      <c r="A2454" s="58" t="s">
        <v>3155</v>
      </c>
      <c r="B2454" s="59">
        <v>1707.76</v>
      </c>
      <c r="C2454" s="59">
        <v>2599</v>
      </c>
      <c r="D2454" s="59" t="s">
        <v>803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ht="15.2" spans="1:10">
      <c r="A2455" s="58" t="s">
        <v>3156</v>
      </c>
      <c r="B2455" s="59">
        <v>375</v>
      </c>
      <c r="C2455" s="59">
        <v>999</v>
      </c>
      <c r="D2455" s="59" t="s">
        <v>801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ht="15.2" spans="1:10">
      <c r="A2456" s="58" t="s">
        <v>359</v>
      </c>
      <c r="B2456" s="59">
        <v>499</v>
      </c>
      <c r="C2456" s="59">
        <v>1117</v>
      </c>
      <c r="D2456" s="59" t="s">
        <v>801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ht="15.2" spans="1:10">
      <c r="A2457" s="58" t="s">
        <v>3157</v>
      </c>
      <c r="B2457" s="59">
        <v>273</v>
      </c>
      <c r="C2457" s="59">
        <v>650</v>
      </c>
      <c r="D2457" s="59" t="s">
        <v>801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ht="15.2" spans="1:10">
      <c r="A2458" s="58" t="s">
        <v>3158</v>
      </c>
      <c r="B2458" s="59">
        <v>1773.46</v>
      </c>
      <c r="C2458" s="59">
        <v>2699</v>
      </c>
      <c r="D2458" s="59" t="s">
        <v>803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ht="15.2" spans="1:10">
      <c r="A2459" s="58" t="s">
        <v>3159</v>
      </c>
      <c r="B2459" s="59">
        <v>940.46</v>
      </c>
      <c r="C2459" s="59">
        <v>1549</v>
      </c>
      <c r="D2459" s="59" t="s">
        <v>803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ht="15.2" spans="1:10">
      <c r="A2460" s="58" t="s">
        <v>3160</v>
      </c>
      <c r="B2460" s="59">
        <v>1092.25</v>
      </c>
      <c r="C2460" s="59">
        <v>1799</v>
      </c>
      <c r="D2460" s="59" t="s">
        <v>803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ht="15.2" spans="1:10">
      <c r="A2461" s="58" t="s">
        <v>30</v>
      </c>
      <c r="B2461" s="59">
        <v>332.5</v>
      </c>
      <c r="C2461" s="59">
        <v>998</v>
      </c>
      <c r="D2461" s="59" t="s">
        <v>801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ht="15.2" spans="1:10">
      <c r="A2462" s="58" t="s">
        <v>3161</v>
      </c>
      <c r="B2462" s="59">
        <v>1213.68</v>
      </c>
      <c r="C2462" s="59">
        <v>1999</v>
      </c>
      <c r="D2462" s="59" t="s">
        <v>803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ht="15.2" spans="1:10">
      <c r="A2463" s="58" t="s">
        <v>3162</v>
      </c>
      <c r="B2463" s="59">
        <v>487</v>
      </c>
      <c r="C2463" s="59">
        <v>1141</v>
      </c>
      <c r="D2463" s="59" t="s">
        <v>801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ht="15.2" spans="1:10">
      <c r="A2464" s="58" t="s">
        <v>3163</v>
      </c>
      <c r="B2464" s="59">
        <v>179</v>
      </c>
      <c r="C2464" s="59">
        <v>261</v>
      </c>
      <c r="D2464" s="59" t="s">
        <v>801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26.85</v>
      </c>
      <c r="J2464" s="60">
        <f t="shared" si="117"/>
        <v>39.15</v>
      </c>
    </row>
    <row r="2465" ht="15.2" spans="1:10">
      <c r="A2465" s="58" t="s">
        <v>3164</v>
      </c>
      <c r="B2465" s="59">
        <v>452.69</v>
      </c>
      <c r="C2465" s="59">
        <v>699</v>
      </c>
      <c r="D2465" s="59" t="s">
        <v>803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ht="15.2" spans="1:10">
      <c r="A2466" s="58" t="s">
        <v>3165</v>
      </c>
      <c r="B2466" s="59">
        <v>594</v>
      </c>
      <c r="C2466" s="59">
        <v>1393</v>
      </c>
      <c r="D2466" s="59" t="s">
        <v>801</v>
      </c>
      <c r="E2466" s="59">
        <v>1.15</v>
      </c>
      <c r="F2466" s="59">
        <v>1.15</v>
      </c>
      <c r="G2466" s="59">
        <v>0</v>
      </c>
      <c r="H2466" s="60">
        <f t="shared" si="118"/>
        <v>1.15</v>
      </c>
      <c r="I2466" s="60">
        <f t="shared" si="116"/>
        <v>683.1</v>
      </c>
      <c r="J2466" s="60">
        <f t="shared" si="117"/>
        <v>1601.95</v>
      </c>
    </row>
    <row r="2467" ht="15.2" spans="1:10">
      <c r="A2467" s="58" t="s">
        <v>3166</v>
      </c>
      <c r="B2467" s="59">
        <v>1119.05</v>
      </c>
      <c r="C2467" s="59">
        <v>1899</v>
      </c>
      <c r="D2467" s="59" t="s">
        <v>803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ht="15.2" spans="1:10">
      <c r="A2468" s="58" t="s">
        <v>3167</v>
      </c>
      <c r="B2468" s="59">
        <v>1152.96</v>
      </c>
      <c r="C2468" s="59">
        <v>1899</v>
      </c>
      <c r="D2468" s="59" t="s">
        <v>803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ht="15.2" spans="1:10">
      <c r="A2469" s="58" t="s">
        <v>3168</v>
      </c>
      <c r="B2469" s="59">
        <v>863</v>
      </c>
      <c r="C2469" s="59">
        <v>2025</v>
      </c>
      <c r="D2469" s="59" t="s">
        <v>801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ht="15.2" spans="1:10">
      <c r="A2470" s="58" t="s">
        <v>3169</v>
      </c>
      <c r="B2470" s="59">
        <v>1331</v>
      </c>
      <c r="C2470" s="59">
        <v>3171</v>
      </c>
      <c r="D2470" s="59" t="s">
        <v>801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</v>
      </c>
    </row>
    <row r="2471" ht="15.2" spans="1:10">
      <c r="A2471" s="58" t="s">
        <v>3170</v>
      </c>
      <c r="B2471" s="59">
        <v>1274.39</v>
      </c>
      <c r="C2471" s="59">
        <v>2099</v>
      </c>
      <c r="D2471" s="59" t="s">
        <v>803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</v>
      </c>
      <c r="J2471" s="60">
        <f t="shared" si="117"/>
        <v>2099</v>
      </c>
    </row>
    <row r="2472" ht="15.2" spans="1:10">
      <c r="A2472" s="58" t="s">
        <v>3171</v>
      </c>
      <c r="B2472" s="59">
        <v>1177.98</v>
      </c>
      <c r="C2472" s="59">
        <v>1999</v>
      </c>
      <c r="D2472" s="59" t="s">
        <v>803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ht="15.2" spans="1:10">
      <c r="A2473" s="58" t="s">
        <v>3172</v>
      </c>
      <c r="B2473" s="59">
        <v>1517.25</v>
      </c>
      <c r="C2473" s="59">
        <v>2499</v>
      </c>
      <c r="D2473" s="59" t="s">
        <v>803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ht="15.2" spans="1:10">
      <c r="A2474" s="58" t="s">
        <v>3173</v>
      </c>
      <c r="B2474" s="59">
        <v>384</v>
      </c>
      <c r="C2474" s="59">
        <v>966</v>
      </c>
      <c r="D2474" s="59" t="s">
        <v>801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460.8</v>
      </c>
      <c r="J2474" s="60">
        <f t="shared" si="117"/>
        <v>1159.2</v>
      </c>
    </row>
    <row r="2475" ht="15.2" spans="1:10">
      <c r="A2475" s="58" t="s">
        <v>3174</v>
      </c>
      <c r="B2475" s="59">
        <v>525</v>
      </c>
      <c r="C2475" s="59">
        <v>799</v>
      </c>
      <c r="D2475" s="59" t="s">
        <v>803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ht="15.2" spans="1:10">
      <c r="A2476" s="58" t="s">
        <v>3175</v>
      </c>
      <c r="B2476" s="59">
        <v>1247.8</v>
      </c>
      <c r="C2476" s="59">
        <v>1899</v>
      </c>
      <c r="D2476" s="59" t="s">
        <v>803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ht="15.2" spans="1:10">
      <c r="A2477" s="58" t="s">
        <v>3176</v>
      </c>
      <c r="B2477" s="59">
        <v>1444.92</v>
      </c>
      <c r="C2477" s="59">
        <v>2199</v>
      </c>
      <c r="D2477" s="59" t="s">
        <v>803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ht="15.2" spans="1:10">
      <c r="A2478" s="58" t="s">
        <v>303</v>
      </c>
      <c r="B2478" s="59">
        <v>923</v>
      </c>
      <c r="C2478" s="59">
        <v>2182</v>
      </c>
      <c r="D2478" s="59" t="s">
        <v>801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1107.6</v>
      </c>
      <c r="J2478" s="60">
        <f t="shared" si="117"/>
        <v>2618.4</v>
      </c>
    </row>
    <row r="2479" ht="15.2" spans="1:10">
      <c r="A2479" s="58" t="s">
        <v>3177</v>
      </c>
      <c r="B2479" s="59">
        <v>656.42</v>
      </c>
      <c r="C2479" s="59">
        <v>999</v>
      </c>
      <c r="D2479" s="59" t="s">
        <v>803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ht="15.2" spans="1:10">
      <c r="A2480" s="58" t="s">
        <v>3178</v>
      </c>
      <c r="B2480" s="59">
        <v>1699.39</v>
      </c>
      <c r="C2480" s="59">
        <v>2799</v>
      </c>
      <c r="D2480" s="59" t="s">
        <v>803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ht="15.2" spans="1:10">
      <c r="A2481" s="58" t="s">
        <v>3179</v>
      </c>
      <c r="B2481" s="59">
        <v>1313.5</v>
      </c>
      <c r="C2481" s="59">
        <v>1999</v>
      </c>
      <c r="D2481" s="59" t="s">
        <v>803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ht="15.2" spans="1:10">
      <c r="A2482" s="58" t="s">
        <v>3180</v>
      </c>
      <c r="B2482" s="59">
        <v>410</v>
      </c>
      <c r="C2482" s="59">
        <v>861</v>
      </c>
      <c r="D2482" s="59" t="s">
        <v>801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ht="15.2" spans="1:10">
      <c r="A2483" s="58" t="s">
        <v>3181</v>
      </c>
      <c r="B2483" s="59">
        <v>620</v>
      </c>
      <c r="C2483" s="59">
        <v>1496</v>
      </c>
      <c r="D2483" s="59" t="s">
        <v>801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ht="15.2" spans="1:10">
      <c r="A2484" s="58" t="s">
        <v>3182</v>
      </c>
      <c r="B2484" s="59">
        <v>1942.25</v>
      </c>
      <c r="C2484" s="59">
        <v>3199</v>
      </c>
      <c r="D2484" s="59" t="s">
        <v>803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ht="15.2" spans="1:10">
      <c r="A2485" s="58" t="s">
        <v>3183</v>
      </c>
      <c r="B2485" s="59">
        <v>970.78</v>
      </c>
      <c r="C2485" s="59">
        <v>1499</v>
      </c>
      <c r="D2485" s="59" t="s">
        <v>803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ht="15.2" spans="1:10">
      <c r="A2486" s="58" t="s">
        <v>3184</v>
      </c>
      <c r="B2486" s="59">
        <v>1416.6</v>
      </c>
      <c r="C2486" s="59">
        <v>2199</v>
      </c>
      <c r="D2486" s="59" t="s">
        <v>803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ht="15.2" spans="1:10">
      <c r="A2487" s="58" t="s">
        <v>3185</v>
      </c>
      <c r="B2487" s="59">
        <v>656.42</v>
      </c>
      <c r="C2487" s="59">
        <v>999</v>
      </c>
      <c r="D2487" s="59" t="s">
        <v>803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ht="15.2" spans="1:10">
      <c r="A2488" s="58" t="s">
        <v>3186</v>
      </c>
      <c r="B2488" s="59">
        <v>1177.98</v>
      </c>
      <c r="C2488" s="59">
        <v>1999</v>
      </c>
      <c r="D2488" s="59" t="s">
        <v>803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ht="15.2" spans="1:10">
      <c r="A2489" s="58" t="s">
        <v>3187</v>
      </c>
      <c r="B2489" s="59">
        <v>1444.92</v>
      </c>
      <c r="C2489" s="59">
        <v>2199</v>
      </c>
      <c r="D2489" s="59" t="s">
        <v>803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ht="15.2" spans="1:10">
      <c r="A2490" s="58" t="s">
        <v>3188</v>
      </c>
      <c r="B2490" s="59">
        <v>1295.84</v>
      </c>
      <c r="C2490" s="59">
        <v>2199</v>
      </c>
      <c r="D2490" s="59" t="s">
        <v>803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ht="15.2" spans="1:10">
      <c r="A2491" s="58" t="s">
        <v>3189</v>
      </c>
      <c r="B2491" s="59">
        <v>354</v>
      </c>
      <c r="C2491" s="59">
        <v>782</v>
      </c>
      <c r="D2491" s="59" t="s">
        <v>801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ht="15.2" spans="1:10">
      <c r="A2492" s="58" t="s">
        <v>3190</v>
      </c>
      <c r="B2492" s="59">
        <v>289</v>
      </c>
      <c r="C2492" s="59">
        <v>687</v>
      </c>
      <c r="D2492" s="59" t="s">
        <v>801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</v>
      </c>
      <c r="J2492" s="60">
        <f t="shared" si="117"/>
        <v>68.7</v>
      </c>
    </row>
    <row r="2493" ht="15.2" spans="1:10">
      <c r="A2493" s="58" t="s">
        <v>3191</v>
      </c>
      <c r="B2493" s="59">
        <v>1092.25</v>
      </c>
      <c r="C2493" s="59">
        <v>1799</v>
      </c>
      <c r="D2493" s="59" t="s">
        <v>803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ht="15.2" spans="1:10">
      <c r="A2494" s="58" t="s">
        <v>3192</v>
      </c>
      <c r="B2494" s="59">
        <v>1247.8</v>
      </c>
      <c r="C2494" s="59">
        <v>1899</v>
      </c>
      <c r="D2494" s="59" t="s">
        <v>803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ht="15.2" spans="1:10">
      <c r="A2495" s="58" t="s">
        <v>3193</v>
      </c>
      <c r="B2495" s="59">
        <v>325</v>
      </c>
      <c r="C2495" s="59">
        <v>682</v>
      </c>
      <c r="D2495" s="59" t="s">
        <v>801</v>
      </c>
      <c r="E2495" s="59">
        <v>0.55</v>
      </c>
      <c r="F2495" s="59">
        <v>0.55</v>
      </c>
      <c r="G2495" s="59">
        <v>0</v>
      </c>
      <c r="H2495" s="60">
        <f t="shared" si="118"/>
        <v>0.55</v>
      </c>
      <c r="I2495" s="60">
        <f t="shared" si="116"/>
        <v>178.75</v>
      </c>
      <c r="J2495" s="60">
        <f t="shared" si="117"/>
        <v>375.1</v>
      </c>
    </row>
    <row r="2496" ht="15.2" spans="1:10">
      <c r="A2496" s="58" t="s">
        <v>22</v>
      </c>
      <c r="B2496" s="59">
        <v>316</v>
      </c>
      <c r="C2496" s="59">
        <v>830</v>
      </c>
      <c r="D2496" s="59" t="s">
        <v>801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ht="15.2" spans="1:10">
      <c r="A2497" s="58" t="s">
        <v>3194</v>
      </c>
      <c r="B2497" s="59">
        <v>1178</v>
      </c>
      <c r="C2497" s="59">
        <v>2959</v>
      </c>
      <c r="D2497" s="59" t="s">
        <v>801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ht="15.2" spans="1:10">
      <c r="A2498" s="58" t="s">
        <v>3195</v>
      </c>
      <c r="B2498" s="59">
        <v>495</v>
      </c>
      <c r="C2498" s="59">
        <v>1110</v>
      </c>
      <c r="D2498" s="59" t="s">
        <v>801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ht="15.2" spans="1:10">
      <c r="A2499" s="58" t="s">
        <v>3196</v>
      </c>
      <c r="B2499" s="59">
        <v>1576.34</v>
      </c>
      <c r="C2499" s="59">
        <v>2399</v>
      </c>
      <c r="D2499" s="59" t="s">
        <v>803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ht="15.2" spans="1:10">
      <c r="A2500" s="58" t="s">
        <v>3197</v>
      </c>
      <c r="B2500" s="59">
        <v>564</v>
      </c>
      <c r="C2500" s="59">
        <v>1431</v>
      </c>
      <c r="D2500" s="59" t="s">
        <v>801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</v>
      </c>
      <c r="J2500" s="60">
        <f t="shared" si="120"/>
        <v>4579.2</v>
      </c>
    </row>
    <row r="2501" ht="15.2" spans="1:10">
      <c r="A2501" s="58" t="s">
        <v>3198</v>
      </c>
      <c r="B2501" s="59">
        <v>608</v>
      </c>
      <c r="C2501" s="59">
        <v>1271</v>
      </c>
      <c r="D2501" s="59" t="s">
        <v>801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425.6</v>
      </c>
      <c r="J2501" s="60">
        <f t="shared" si="120"/>
        <v>889.7</v>
      </c>
    </row>
    <row r="2502" ht="15.2" spans="1:10">
      <c r="A2502" s="58" t="s">
        <v>3199</v>
      </c>
      <c r="B2502" s="59">
        <v>0</v>
      </c>
      <c r="C2502" s="59">
        <v>0</v>
      </c>
      <c r="D2502" s="59" t="s">
        <v>815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ht="15.2" spans="1:10">
      <c r="A2503" s="58" t="s">
        <v>3200</v>
      </c>
      <c r="B2503" s="59">
        <v>499</v>
      </c>
      <c r="C2503" s="59">
        <v>1048</v>
      </c>
      <c r="D2503" s="59" t="s">
        <v>801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</v>
      </c>
      <c r="J2503" s="60">
        <f t="shared" si="120"/>
        <v>1362.4</v>
      </c>
    </row>
    <row r="2504" ht="15.2" spans="1:10">
      <c r="A2504" s="58" t="s">
        <v>356</v>
      </c>
      <c r="B2504" s="59">
        <v>410</v>
      </c>
      <c r="C2504" s="59">
        <v>966</v>
      </c>
      <c r="D2504" s="59" t="s">
        <v>801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6375.6</v>
      </c>
    </row>
    <row r="2505" ht="15.2" spans="1:10">
      <c r="A2505" s="58" t="s">
        <v>3201</v>
      </c>
      <c r="B2505" s="59">
        <v>1119.05</v>
      </c>
      <c r="C2505" s="59">
        <v>1899</v>
      </c>
      <c r="D2505" s="59" t="s">
        <v>803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ht="15.2" spans="1:10">
      <c r="A2506" s="58" t="s">
        <v>3202</v>
      </c>
      <c r="B2506" s="59">
        <v>1576.34</v>
      </c>
      <c r="C2506" s="59">
        <v>2399</v>
      </c>
      <c r="D2506" s="59" t="s">
        <v>803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ht="15.2" spans="1:10">
      <c r="A2507" s="58" t="s">
        <v>3203</v>
      </c>
      <c r="B2507" s="59">
        <v>1119.05</v>
      </c>
      <c r="C2507" s="59">
        <v>1899</v>
      </c>
      <c r="D2507" s="59" t="s">
        <v>803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ht="15.2" spans="1:10">
      <c r="A2508" s="58" t="s">
        <v>3204</v>
      </c>
      <c r="B2508" s="59">
        <v>3338.68</v>
      </c>
      <c r="C2508" s="59">
        <v>5499</v>
      </c>
      <c r="D2508" s="59" t="s">
        <v>803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ht="15.2" spans="1:10">
      <c r="A2509" s="58" t="s">
        <v>3205</v>
      </c>
      <c r="B2509" s="59">
        <v>1456.54</v>
      </c>
      <c r="C2509" s="59">
        <v>2399</v>
      </c>
      <c r="D2509" s="59" t="s">
        <v>803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ht="15.2" spans="1:10">
      <c r="A2510" s="58" t="s">
        <v>3206</v>
      </c>
      <c r="B2510" s="59">
        <v>1577.96</v>
      </c>
      <c r="C2510" s="59">
        <v>2599</v>
      </c>
      <c r="D2510" s="59" t="s">
        <v>803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ht="15.2" spans="1:10">
      <c r="A2511" s="58" t="s">
        <v>3207</v>
      </c>
      <c r="B2511" s="59">
        <v>1481.02</v>
      </c>
      <c r="C2511" s="59">
        <v>2299</v>
      </c>
      <c r="D2511" s="59" t="s">
        <v>803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ht="15.2" spans="1:10">
      <c r="A2512" s="58" t="s">
        <v>3208</v>
      </c>
      <c r="B2512" s="59">
        <v>1379.21</v>
      </c>
      <c r="C2512" s="59">
        <v>2099</v>
      </c>
      <c r="D2512" s="59" t="s">
        <v>803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ht="15.2" spans="1:10">
      <c r="A2513" s="58" t="s">
        <v>3209</v>
      </c>
      <c r="B2513" s="59">
        <v>1760.11</v>
      </c>
      <c r="C2513" s="59">
        <v>2899</v>
      </c>
      <c r="D2513" s="59" t="s">
        <v>803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ht="15.2" spans="1:10">
      <c r="A2514" s="58" t="s">
        <v>143</v>
      </c>
      <c r="B2514" s="59">
        <v>699</v>
      </c>
      <c r="C2514" s="59">
        <v>1468</v>
      </c>
      <c r="D2514" s="59" t="s">
        <v>801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ht="15.2" spans="1:10">
      <c r="A2515" s="58" t="s">
        <v>3210</v>
      </c>
      <c r="B2515" s="59">
        <v>243</v>
      </c>
      <c r="C2515" s="59">
        <v>543</v>
      </c>
      <c r="D2515" s="59" t="s">
        <v>801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ht="15.2" spans="1:10">
      <c r="A2516" s="58" t="s">
        <v>3211</v>
      </c>
      <c r="B2516" s="59">
        <v>325</v>
      </c>
      <c r="C2516" s="59">
        <v>720</v>
      </c>
      <c r="D2516" s="59" t="s">
        <v>801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ht="15.2" spans="1:10">
      <c r="A2517" s="58" t="s">
        <v>3212</v>
      </c>
      <c r="B2517" s="59">
        <v>372</v>
      </c>
      <c r="C2517" s="59">
        <v>880</v>
      </c>
      <c r="D2517" s="59" t="s">
        <v>801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ht="15.2" spans="1:10">
      <c r="A2518" s="58" t="s">
        <v>3213</v>
      </c>
      <c r="B2518" s="59">
        <v>4249.39</v>
      </c>
      <c r="C2518" s="59">
        <v>6999</v>
      </c>
      <c r="D2518" s="59" t="s">
        <v>803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</v>
      </c>
      <c r="J2518" s="60">
        <f t="shared" si="120"/>
        <v>6999</v>
      </c>
    </row>
    <row r="2519" ht="15.2" spans="1:10">
      <c r="A2519" s="58" t="s">
        <v>3214</v>
      </c>
      <c r="B2519" s="59">
        <v>940.46</v>
      </c>
      <c r="C2519" s="59">
        <v>1549</v>
      </c>
      <c r="D2519" s="59" t="s">
        <v>803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ht="15.2" spans="1:10">
      <c r="A2520" s="58" t="s">
        <v>3215</v>
      </c>
      <c r="B2520" s="59">
        <v>1942.25</v>
      </c>
      <c r="C2520" s="59">
        <v>3199</v>
      </c>
      <c r="D2520" s="59" t="s">
        <v>803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ht="15.2" spans="1:10">
      <c r="A2521" s="58" t="s">
        <v>3216</v>
      </c>
      <c r="B2521" s="59">
        <v>294</v>
      </c>
      <c r="C2521" s="59">
        <v>720</v>
      </c>
      <c r="D2521" s="59" t="s">
        <v>801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</v>
      </c>
      <c r="J2521" s="60">
        <f t="shared" si="120"/>
        <v>576</v>
      </c>
    </row>
    <row r="2522" ht="15.2" spans="1:10">
      <c r="A2522" s="58" t="s">
        <v>3217</v>
      </c>
      <c r="B2522" s="59">
        <v>364</v>
      </c>
      <c r="C2522" s="59">
        <v>919</v>
      </c>
      <c r="D2522" s="59" t="s">
        <v>801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1055.6</v>
      </c>
      <c r="J2522" s="60">
        <f t="shared" si="120"/>
        <v>2665.1</v>
      </c>
    </row>
    <row r="2523" ht="15.2" spans="1:10">
      <c r="A2523" s="58" t="s">
        <v>3218</v>
      </c>
      <c r="B2523" s="59">
        <v>1444.92</v>
      </c>
      <c r="C2523" s="59">
        <v>2199</v>
      </c>
      <c r="D2523" s="59" t="s">
        <v>803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ht="15.2" spans="1:10">
      <c r="A2524" s="58" t="s">
        <v>3219</v>
      </c>
      <c r="B2524" s="59">
        <v>722.13</v>
      </c>
      <c r="C2524" s="59">
        <v>1099</v>
      </c>
      <c r="D2524" s="59" t="s">
        <v>803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ht="15.2" spans="1:10">
      <c r="A2525" s="58" t="s">
        <v>3220</v>
      </c>
      <c r="B2525" s="59">
        <v>1092.25</v>
      </c>
      <c r="C2525" s="59">
        <v>1799</v>
      </c>
      <c r="D2525" s="59" t="s">
        <v>803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ht="15.2" spans="1:10">
      <c r="A2526" s="58" t="s">
        <v>3221</v>
      </c>
      <c r="B2526" s="59">
        <v>1638.68</v>
      </c>
      <c r="C2526" s="59">
        <v>2699</v>
      </c>
      <c r="D2526" s="59" t="s">
        <v>803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ht="15.2" spans="1:10">
      <c r="A2527" s="58" t="s">
        <v>3222</v>
      </c>
      <c r="B2527" s="59">
        <v>1444.92</v>
      </c>
      <c r="C2527" s="59">
        <v>2199</v>
      </c>
      <c r="D2527" s="59" t="s">
        <v>803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ht="15.2" spans="1:10">
      <c r="A2528" s="58" t="s">
        <v>3223</v>
      </c>
      <c r="B2528" s="59">
        <v>319</v>
      </c>
      <c r="C2528" s="59">
        <v>692</v>
      </c>
      <c r="D2528" s="59" t="s">
        <v>801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ht="15.2" spans="1:10">
      <c r="A2529" s="58" t="s">
        <v>3224</v>
      </c>
      <c r="B2529" s="59">
        <v>582.21</v>
      </c>
      <c r="C2529" s="59">
        <v>899</v>
      </c>
      <c r="D2529" s="59" t="s">
        <v>803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ht="15.2" spans="1:10">
      <c r="A2530" s="58" t="s">
        <v>3225</v>
      </c>
      <c r="B2530" s="59">
        <v>1577.96</v>
      </c>
      <c r="C2530" s="59">
        <v>2599</v>
      </c>
      <c r="D2530" s="59" t="s">
        <v>803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ht="15.2" spans="1:10">
      <c r="A2531" s="58" t="s">
        <v>3226</v>
      </c>
      <c r="B2531" s="59">
        <v>1313.5</v>
      </c>
      <c r="C2531" s="59">
        <v>1999</v>
      </c>
      <c r="D2531" s="59" t="s">
        <v>803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ht="15.2" spans="1:10">
      <c r="A2532" s="58" t="s">
        <v>3227</v>
      </c>
      <c r="B2532" s="59">
        <v>487</v>
      </c>
      <c r="C2532" s="59">
        <v>1057</v>
      </c>
      <c r="D2532" s="59" t="s">
        <v>801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ht="15.2" spans="1:10">
      <c r="A2533" s="58" t="s">
        <v>3228</v>
      </c>
      <c r="B2533" s="59">
        <v>1059.47</v>
      </c>
      <c r="C2533" s="59">
        <v>1999</v>
      </c>
      <c r="D2533" s="59" t="s">
        <v>803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ht="15.2" spans="1:10">
      <c r="A2534" s="58" t="s">
        <v>3229</v>
      </c>
      <c r="B2534" s="59">
        <v>769</v>
      </c>
      <c r="C2534" s="59">
        <v>1831</v>
      </c>
      <c r="D2534" s="59" t="s">
        <v>801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</v>
      </c>
    </row>
    <row r="2535" ht="15.2" spans="1:10">
      <c r="A2535" s="58" t="s">
        <v>3230</v>
      </c>
      <c r="B2535" s="59">
        <v>325</v>
      </c>
      <c r="C2535" s="59">
        <v>720</v>
      </c>
      <c r="D2535" s="59" t="s">
        <v>801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ht="15.2" spans="1:10">
      <c r="A2536" s="58" t="s">
        <v>3231</v>
      </c>
      <c r="B2536" s="59">
        <v>1274.4</v>
      </c>
      <c r="C2536" s="59">
        <v>2099</v>
      </c>
      <c r="D2536" s="59" t="s">
        <v>803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</v>
      </c>
      <c r="J2536" s="60">
        <f t="shared" si="120"/>
        <v>4198</v>
      </c>
    </row>
    <row r="2537" ht="15.2" spans="1:10">
      <c r="A2537" s="58" t="s">
        <v>3232</v>
      </c>
      <c r="B2537" s="59">
        <v>538</v>
      </c>
      <c r="C2537" s="59">
        <v>1263</v>
      </c>
      <c r="D2537" s="59" t="s">
        <v>801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</v>
      </c>
      <c r="J2537" s="60">
        <f t="shared" si="120"/>
        <v>1010.4</v>
      </c>
    </row>
    <row r="2538" ht="15.2" spans="1:10">
      <c r="A2538" s="58" t="s">
        <v>3233</v>
      </c>
      <c r="B2538" s="59">
        <v>582.21</v>
      </c>
      <c r="C2538" s="59">
        <v>899</v>
      </c>
      <c r="D2538" s="59" t="s">
        <v>803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ht="15.2" spans="1:10">
      <c r="A2539" s="58" t="s">
        <v>3234</v>
      </c>
      <c r="B2539" s="59">
        <v>1545.44</v>
      </c>
      <c r="C2539" s="59">
        <v>2399</v>
      </c>
      <c r="D2539" s="59" t="s">
        <v>803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ht="15.2" spans="1:10">
      <c r="A2540" s="58" t="s">
        <v>3235</v>
      </c>
      <c r="B2540" s="59">
        <v>1247.8</v>
      </c>
      <c r="C2540" s="59">
        <v>1899</v>
      </c>
      <c r="D2540" s="59" t="s">
        <v>803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ht="15.2" spans="1:10">
      <c r="A2541" s="58" t="s">
        <v>3236</v>
      </c>
      <c r="B2541" s="59">
        <v>2124.39</v>
      </c>
      <c r="C2541" s="59">
        <v>3499</v>
      </c>
      <c r="D2541" s="59" t="s">
        <v>803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ht="15.2" spans="1:10">
      <c r="A2542" s="58" t="s">
        <v>3237</v>
      </c>
      <c r="B2542" s="59">
        <v>2002.96</v>
      </c>
      <c r="C2542" s="59">
        <v>3299</v>
      </c>
      <c r="D2542" s="59" t="s">
        <v>803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ht="15.2" spans="1:10">
      <c r="A2543" s="58" t="s">
        <v>3238</v>
      </c>
      <c r="B2543" s="59">
        <v>525</v>
      </c>
      <c r="C2543" s="59">
        <v>799</v>
      </c>
      <c r="D2543" s="59" t="s">
        <v>803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ht="15.2" spans="1:10">
      <c r="A2544" s="58" t="s">
        <v>3239</v>
      </c>
      <c r="B2544" s="59">
        <v>1177.98</v>
      </c>
      <c r="C2544" s="59">
        <v>1999</v>
      </c>
      <c r="D2544" s="59" t="s">
        <v>803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ht="15.2" spans="1:10">
      <c r="A2545" s="58" t="s">
        <v>3240</v>
      </c>
      <c r="B2545" s="59">
        <v>369</v>
      </c>
      <c r="C2545" s="59">
        <v>826</v>
      </c>
      <c r="D2545" s="59" t="s">
        <v>801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9251.2</v>
      </c>
    </row>
    <row r="2546" ht="15.2" spans="1:10">
      <c r="A2546" s="58" t="s">
        <v>3241</v>
      </c>
      <c r="B2546" s="59">
        <v>1379.21</v>
      </c>
      <c r="C2546" s="59">
        <v>2099</v>
      </c>
      <c r="D2546" s="59" t="s">
        <v>803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ht="15.2" spans="1:10">
      <c r="A2547" s="58" t="s">
        <v>3242</v>
      </c>
      <c r="B2547" s="59">
        <v>5892.27</v>
      </c>
      <c r="C2547" s="59">
        <v>9999</v>
      </c>
      <c r="D2547" s="59" t="s">
        <v>803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ht="15.2" spans="1:10">
      <c r="A2548" s="58" t="s">
        <v>3243</v>
      </c>
      <c r="B2548" s="59">
        <v>499</v>
      </c>
      <c r="C2548" s="59">
        <v>1048</v>
      </c>
      <c r="D2548" s="59" t="s">
        <v>801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4790.4</v>
      </c>
      <c r="J2548" s="60">
        <f t="shared" si="120"/>
        <v>10060.8</v>
      </c>
    </row>
    <row r="2549" ht="15.2" spans="1:10">
      <c r="A2549" s="58" t="s">
        <v>3244</v>
      </c>
      <c r="B2549" s="59">
        <v>289</v>
      </c>
      <c r="C2549" s="59">
        <v>687</v>
      </c>
      <c r="D2549" s="59" t="s">
        <v>801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ht="15.2" spans="1:10">
      <c r="A2550" s="58" t="s">
        <v>3245</v>
      </c>
      <c r="B2550" s="59">
        <v>555</v>
      </c>
      <c r="C2550" s="59">
        <v>1241</v>
      </c>
      <c r="D2550" s="59" t="s">
        <v>801</v>
      </c>
      <c r="E2550" s="59">
        <v>9.2</v>
      </c>
      <c r="F2550" s="59">
        <v>9.2</v>
      </c>
      <c r="G2550" s="59">
        <v>0</v>
      </c>
      <c r="H2550" s="60">
        <f t="shared" si="121"/>
        <v>9.2</v>
      </c>
      <c r="I2550" s="60">
        <f t="shared" si="119"/>
        <v>5106</v>
      </c>
      <c r="J2550" s="60">
        <f t="shared" si="120"/>
        <v>11417.2</v>
      </c>
    </row>
    <row r="2551" ht="15.2" spans="1:10">
      <c r="A2551" s="58" t="s">
        <v>3246</v>
      </c>
      <c r="B2551" s="59">
        <v>264</v>
      </c>
      <c r="C2551" s="59">
        <v>590</v>
      </c>
      <c r="D2551" s="59" t="s">
        <v>801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ht="15.2" spans="1:10">
      <c r="A2552" s="58" t="s">
        <v>3247</v>
      </c>
      <c r="B2552" s="59">
        <v>1642.05</v>
      </c>
      <c r="C2552" s="59">
        <v>2499</v>
      </c>
      <c r="D2552" s="59" t="s">
        <v>803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ht="15.2" spans="1:10">
      <c r="A2553" s="58" t="s">
        <v>3248</v>
      </c>
      <c r="B2553" s="59">
        <v>2124.39</v>
      </c>
      <c r="C2553" s="59">
        <v>3499</v>
      </c>
      <c r="D2553" s="59" t="s">
        <v>803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ht="15.2" spans="1:10">
      <c r="A2554" s="58" t="s">
        <v>3249</v>
      </c>
      <c r="B2554" s="59">
        <v>1050.67</v>
      </c>
      <c r="C2554" s="59">
        <v>1599</v>
      </c>
      <c r="D2554" s="59" t="s">
        <v>803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ht="15.2" spans="1:10">
      <c r="A2555" s="58" t="s">
        <v>3250</v>
      </c>
      <c r="B2555" s="59">
        <v>380</v>
      </c>
      <c r="C2555" s="59">
        <v>873</v>
      </c>
      <c r="D2555" s="59" t="s">
        <v>801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1658.7</v>
      </c>
    </row>
    <row r="2556" ht="15.2" spans="1:10">
      <c r="A2556" s="58" t="s">
        <v>3251</v>
      </c>
      <c r="B2556" s="59">
        <v>2002.96</v>
      </c>
      <c r="C2556" s="59">
        <v>3299</v>
      </c>
      <c r="D2556" s="59" t="s">
        <v>803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ht="15.2" spans="1:10">
      <c r="A2557" s="58" t="s">
        <v>3252</v>
      </c>
      <c r="B2557" s="59">
        <v>549</v>
      </c>
      <c r="C2557" s="59">
        <v>1153</v>
      </c>
      <c r="D2557" s="59" t="s">
        <v>801</v>
      </c>
      <c r="E2557" s="59">
        <v>8.45</v>
      </c>
      <c r="F2557" s="59">
        <v>8.45</v>
      </c>
      <c r="G2557" s="59">
        <v>0</v>
      </c>
      <c r="H2557" s="60">
        <f t="shared" si="121"/>
        <v>8.45</v>
      </c>
      <c r="I2557" s="60">
        <f t="shared" si="119"/>
        <v>4639.05</v>
      </c>
      <c r="J2557" s="60">
        <f t="shared" si="120"/>
        <v>9742.85</v>
      </c>
    </row>
    <row r="2558" ht="15.2" spans="1:10">
      <c r="A2558" s="58" t="s">
        <v>3253</v>
      </c>
      <c r="B2558" s="59">
        <v>1247.8</v>
      </c>
      <c r="C2558" s="59">
        <v>1899</v>
      </c>
      <c r="D2558" s="59" t="s">
        <v>803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ht="15.2" spans="1:10">
      <c r="A2559" s="58" t="s">
        <v>3254</v>
      </c>
      <c r="B2559" s="59">
        <v>3338.68</v>
      </c>
      <c r="C2559" s="59">
        <v>5499</v>
      </c>
      <c r="D2559" s="59" t="s">
        <v>803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ht="15.2" spans="1:10">
      <c r="A2560" s="58" t="s">
        <v>3255</v>
      </c>
      <c r="B2560" s="59">
        <v>525</v>
      </c>
      <c r="C2560" s="59">
        <v>1172</v>
      </c>
      <c r="D2560" s="59" t="s">
        <v>801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ht="15.2" spans="1:10">
      <c r="A2561" s="58" t="s">
        <v>3256</v>
      </c>
      <c r="B2561" s="59">
        <v>377</v>
      </c>
      <c r="C2561" s="59">
        <v>876</v>
      </c>
      <c r="D2561" s="59" t="s">
        <v>801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</v>
      </c>
      <c r="J2561" s="60">
        <f t="shared" si="120"/>
        <v>87.6</v>
      </c>
    </row>
    <row r="2562" ht="15.2" spans="1:10">
      <c r="A2562" s="58" t="s">
        <v>3257</v>
      </c>
      <c r="B2562" s="59">
        <v>1099</v>
      </c>
      <c r="C2562" s="59">
        <v>2472</v>
      </c>
      <c r="D2562" s="59" t="s">
        <v>801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</v>
      </c>
    </row>
    <row r="2563" ht="15.2" spans="1:10">
      <c r="A2563" s="58" t="s">
        <v>3258</v>
      </c>
      <c r="B2563" s="59">
        <v>819</v>
      </c>
      <c r="C2563" s="59">
        <v>1910</v>
      </c>
      <c r="D2563" s="59" t="s">
        <v>801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ht="15.2" spans="1:10">
      <c r="A2564" s="58" t="s">
        <v>3259</v>
      </c>
      <c r="B2564" s="59">
        <v>532</v>
      </c>
      <c r="C2564" s="59">
        <v>1165</v>
      </c>
      <c r="D2564" s="59" t="s">
        <v>801</v>
      </c>
      <c r="E2564" s="59">
        <v>1.1</v>
      </c>
      <c r="F2564" s="59">
        <v>1.1</v>
      </c>
      <c r="G2564" s="59">
        <v>0</v>
      </c>
      <c r="H2564" s="60">
        <f t="shared" si="121"/>
        <v>1.1</v>
      </c>
      <c r="I2564" s="60">
        <f t="shared" si="122"/>
        <v>585.2</v>
      </c>
      <c r="J2564" s="60">
        <f t="shared" si="123"/>
        <v>1281.5</v>
      </c>
    </row>
    <row r="2565" ht="15.2" spans="1:10">
      <c r="A2565" s="58" t="s">
        <v>3260</v>
      </c>
      <c r="B2565" s="59">
        <v>906.02</v>
      </c>
      <c r="C2565" s="59">
        <v>1399</v>
      </c>
      <c r="D2565" s="59" t="s">
        <v>803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ht="15.2" spans="1:10">
      <c r="A2566" s="58" t="s">
        <v>3261</v>
      </c>
      <c r="B2566" s="59">
        <v>517.45</v>
      </c>
      <c r="C2566" s="59">
        <v>799</v>
      </c>
      <c r="D2566" s="59" t="s">
        <v>803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ht="15.2" spans="1:10">
      <c r="A2567" s="58" t="s">
        <v>3262</v>
      </c>
      <c r="B2567" s="59">
        <v>5463.68</v>
      </c>
      <c r="C2567" s="59">
        <v>8999</v>
      </c>
      <c r="D2567" s="59" t="s">
        <v>803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ht="15.2" spans="1:10">
      <c r="A2568" s="58" t="s">
        <v>3263</v>
      </c>
      <c r="B2568" s="59">
        <v>525</v>
      </c>
      <c r="C2568" s="59">
        <v>799</v>
      </c>
      <c r="D2568" s="59" t="s">
        <v>803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ht="15.2" spans="1:10">
      <c r="A2569" s="58" t="s">
        <v>3264</v>
      </c>
      <c r="B2569" s="59">
        <v>317</v>
      </c>
      <c r="C2569" s="59">
        <v>754</v>
      </c>
      <c r="D2569" s="59" t="s">
        <v>801</v>
      </c>
      <c r="E2569" s="59">
        <v>2.2</v>
      </c>
      <c r="F2569" s="59">
        <v>2.2</v>
      </c>
      <c r="G2569" s="59">
        <v>0</v>
      </c>
      <c r="H2569" s="60">
        <f t="shared" si="121"/>
        <v>2.2</v>
      </c>
      <c r="I2569" s="60">
        <f t="shared" si="122"/>
        <v>697.4</v>
      </c>
      <c r="J2569" s="60">
        <f t="shared" si="123"/>
        <v>1658.8</v>
      </c>
    </row>
    <row r="2570" ht="15.2" spans="1:10">
      <c r="A2570" s="58" t="s">
        <v>3265</v>
      </c>
      <c r="B2570" s="59">
        <v>973</v>
      </c>
      <c r="C2570" s="59">
        <v>2184</v>
      </c>
      <c r="D2570" s="59" t="s">
        <v>801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ht="15.2" spans="1:10">
      <c r="A2571" s="58" t="s">
        <v>3266</v>
      </c>
      <c r="B2571" s="59">
        <v>1092.25</v>
      </c>
      <c r="C2571" s="59">
        <v>1799</v>
      </c>
      <c r="D2571" s="59" t="s">
        <v>803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ht="15.2" spans="1:10">
      <c r="A2572" s="58" t="s">
        <v>3267</v>
      </c>
      <c r="B2572" s="59">
        <v>579</v>
      </c>
      <c r="C2572" s="59">
        <v>1362</v>
      </c>
      <c r="D2572" s="59" t="s">
        <v>801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</v>
      </c>
    </row>
    <row r="2573" ht="15.2" spans="1:10">
      <c r="A2573" s="58" t="s">
        <v>3268</v>
      </c>
      <c r="B2573" s="59">
        <v>1577.97</v>
      </c>
      <c r="C2573" s="59">
        <v>2499</v>
      </c>
      <c r="D2573" s="59" t="s">
        <v>803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ht="15.2" spans="1:10">
      <c r="A2574" s="58" t="s">
        <v>3269</v>
      </c>
      <c r="B2574" s="59">
        <v>1152.96</v>
      </c>
      <c r="C2574" s="59">
        <v>1899</v>
      </c>
      <c r="D2574" s="59" t="s">
        <v>803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ht="15.2" spans="1:10">
      <c r="A2575" s="58" t="s">
        <v>3270</v>
      </c>
      <c r="B2575" s="59">
        <v>461</v>
      </c>
      <c r="C2575" s="59">
        <v>1165</v>
      </c>
      <c r="D2575" s="59" t="s">
        <v>801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ht="15.2" spans="1:10">
      <c r="A2576" s="58" t="s">
        <v>3271</v>
      </c>
      <c r="B2576" s="59">
        <v>564</v>
      </c>
      <c r="C2576" s="59">
        <v>1431</v>
      </c>
      <c r="D2576" s="59" t="s">
        <v>801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ht="15.2" spans="1:10">
      <c r="A2577" s="58" t="s">
        <v>3272</v>
      </c>
      <c r="B2577" s="59">
        <v>1152.97</v>
      </c>
      <c r="C2577" s="59">
        <v>1899</v>
      </c>
      <c r="D2577" s="59" t="s">
        <v>803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ht="15.2" spans="1:10">
      <c r="A2578" s="58" t="s">
        <v>3273</v>
      </c>
      <c r="B2578" s="59">
        <v>1577.96</v>
      </c>
      <c r="C2578" s="59">
        <v>2599</v>
      </c>
      <c r="D2578" s="59" t="s">
        <v>803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ht="15.2" spans="1:10">
      <c r="A2579" s="58" t="s">
        <v>3274</v>
      </c>
      <c r="B2579" s="59">
        <v>1354.77</v>
      </c>
      <c r="C2579" s="59">
        <v>2299</v>
      </c>
      <c r="D2579" s="59" t="s">
        <v>803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ht="15.2" spans="1:10">
      <c r="A2580" s="58" t="s">
        <v>3275</v>
      </c>
      <c r="B2580" s="59">
        <v>1213.68</v>
      </c>
      <c r="C2580" s="59">
        <v>1999</v>
      </c>
      <c r="D2580" s="59" t="s">
        <v>803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ht="15.2" spans="1:10">
      <c r="A2581" s="58" t="s">
        <v>3276</v>
      </c>
      <c r="B2581" s="59">
        <v>1444.92</v>
      </c>
      <c r="C2581" s="59">
        <v>2199</v>
      </c>
      <c r="D2581" s="59" t="s">
        <v>803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ht="15.2" spans="1:10">
      <c r="A2582" s="58" t="s">
        <v>3277</v>
      </c>
      <c r="B2582" s="59">
        <v>450</v>
      </c>
      <c r="C2582" s="59">
        <v>945</v>
      </c>
      <c r="D2582" s="59" t="s">
        <v>801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ht="15.2" spans="1:10">
      <c r="A2583" s="58" t="s">
        <v>3278</v>
      </c>
      <c r="B2583" s="59">
        <v>521</v>
      </c>
      <c r="C2583" s="59">
        <v>1311</v>
      </c>
      <c r="D2583" s="59" t="s">
        <v>801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156.3</v>
      </c>
      <c r="J2583" s="60">
        <f t="shared" si="123"/>
        <v>393.3</v>
      </c>
    </row>
    <row r="2584" ht="15.2" spans="1:10">
      <c r="A2584" s="58" t="s">
        <v>3279</v>
      </c>
      <c r="B2584" s="59">
        <v>513</v>
      </c>
      <c r="C2584" s="59">
        <v>1299</v>
      </c>
      <c r="D2584" s="59" t="s">
        <v>801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ht="15.2" spans="1:10">
      <c r="A2585" s="58" t="s">
        <v>3280</v>
      </c>
      <c r="B2585" s="59">
        <v>1213.68</v>
      </c>
      <c r="C2585" s="59">
        <v>1999</v>
      </c>
      <c r="D2585" s="59" t="s">
        <v>803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ht="15.2" spans="1:10">
      <c r="A2586" s="58" t="s">
        <v>3281</v>
      </c>
      <c r="B2586" s="59">
        <v>316</v>
      </c>
      <c r="C2586" s="59">
        <v>830</v>
      </c>
      <c r="D2586" s="59" t="s">
        <v>801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ht="15.2" spans="1:10">
      <c r="A2587" s="58" t="s">
        <v>3282</v>
      </c>
      <c r="B2587" s="59">
        <v>270</v>
      </c>
      <c r="C2587" s="59">
        <v>615</v>
      </c>
      <c r="D2587" s="59" t="s">
        <v>801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ht="15.2" spans="1:10">
      <c r="A2588" s="58" t="s">
        <v>3283</v>
      </c>
      <c r="B2588" s="59">
        <v>1199</v>
      </c>
      <c r="C2588" s="59">
        <v>3148</v>
      </c>
      <c r="D2588" s="59" t="s">
        <v>801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ht="15.2" spans="1:10">
      <c r="A2589" s="58" t="s">
        <v>3284</v>
      </c>
      <c r="B2589" s="59">
        <v>483</v>
      </c>
      <c r="C2589" s="59">
        <v>1149</v>
      </c>
      <c r="D2589" s="59" t="s">
        <v>801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ht="15.2" spans="1:10">
      <c r="A2590" s="58" t="s">
        <v>3285</v>
      </c>
      <c r="B2590" s="59">
        <v>665</v>
      </c>
      <c r="C2590" s="59">
        <v>1616</v>
      </c>
      <c r="D2590" s="59" t="s">
        <v>801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</v>
      </c>
    </row>
    <row r="2591" ht="15.2" spans="1:10">
      <c r="A2591" s="58" t="s">
        <v>3286</v>
      </c>
      <c r="B2591" s="59">
        <v>1092.25</v>
      </c>
      <c r="C2591" s="59">
        <v>1799</v>
      </c>
      <c r="D2591" s="59" t="s">
        <v>803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ht="15.2" spans="1:10">
      <c r="A2592" s="58" t="s">
        <v>3287</v>
      </c>
      <c r="B2592" s="59">
        <v>582.21</v>
      </c>
      <c r="C2592" s="59">
        <v>899</v>
      </c>
      <c r="D2592" s="59" t="s">
        <v>803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ht="15.2" spans="1:10">
      <c r="A2593" s="58" t="s">
        <v>3288</v>
      </c>
      <c r="B2593" s="59">
        <v>1313.5</v>
      </c>
      <c r="C2593" s="59">
        <v>1999</v>
      </c>
      <c r="D2593" s="59" t="s">
        <v>803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ht="15.2" spans="1:10">
      <c r="A2594" s="58" t="s">
        <v>3289</v>
      </c>
      <c r="B2594" s="59">
        <v>1576.34</v>
      </c>
      <c r="C2594" s="59">
        <v>2399</v>
      </c>
      <c r="D2594" s="59" t="s">
        <v>803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ht="15.2" spans="1:10">
      <c r="A2595" s="58" t="s">
        <v>3290</v>
      </c>
      <c r="B2595" s="59">
        <v>440</v>
      </c>
      <c r="C2595" s="59">
        <v>1032</v>
      </c>
      <c r="D2595" s="59" t="s">
        <v>801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1238.4</v>
      </c>
    </row>
    <row r="2596" ht="15.2" spans="1:10">
      <c r="A2596" s="58" t="s">
        <v>3291</v>
      </c>
      <c r="B2596" s="59">
        <v>1274.39</v>
      </c>
      <c r="C2596" s="59">
        <v>2099</v>
      </c>
      <c r="D2596" s="59" t="s">
        <v>803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ht="15.2" spans="1:10">
      <c r="A2597" s="58" t="s">
        <v>3292</v>
      </c>
      <c r="B2597" s="59">
        <v>273</v>
      </c>
      <c r="C2597" s="59">
        <v>561</v>
      </c>
      <c r="D2597" s="59" t="s">
        <v>801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81.9</v>
      </c>
      <c r="J2597" s="60">
        <f t="shared" si="123"/>
        <v>168.3</v>
      </c>
    </row>
    <row r="2598" ht="15.2" spans="1:10">
      <c r="A2598" s="58" t="s">
        <v>3293</v>
      </c>
      <c r="B2598" s="59">
        <v>507</v>
      </c>
      <c r="C2598" s="59">
        <v>1189</v>
      </c>
      <c r="D2598" s="59" t="s">
        <v>801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ht="15.2" spans="1:10">
      <c r="A2599" s="58" t="s">
        <v>3294</v>
      </c>
      <c r="B2599" s="59">
        <v>1236.91</v>
      </c>
      <c r="C2599" s="59">
        <v>2099</v>
      </c>
      <c r="D2599" s="59" t="s">
        <v>803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</v>
      </c>
      <c r="J2599" s="60">
        <f t="shared" si="123"/>
        <v>4198</v>
      </c>
    </row>
    <row r="2600" ht="15.2" spans="1:10">
      <c r="A2600" s="58" t="s">
        <v>3295</v>
      </c>
      <c r="B2600" s="59">
        <v>269</v>
      </c>
      <c r="C2600" s="59">
        <v>580</v>
      </c>
      <c r="D2600" s="59" t="s">
        <v>801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ht="15.2" spans="1:10">
      <c r="A2601" s="58" t="s">
        <v>3296</v>
      </c>
      <c r="B2601" s="59">
        <v>1105.44</v>
      </c>
      <c r="C2601" s="59">
        <v>1699</v>
      </c>
      <c r="D2601" s="59" t="s">
        <v>803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ht="15.2" spans="1:10">
      <c r="A2602" s="58" t="s">
        <v>173</v>
      </c>
      <c r="B2602" s="59">
        <v>313.74</v>
      </c>
      <c r="C2602" s="59">
        <v>750</v>
      </c>
      <c r="D2602" s="59" t="s">
        <v>801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</v>
      </c>
      <c r="J2602" s="60">
        <f t="shared" si="123"/>
        <v>19200</v>
      </c>
    </row>
    <row r="2603" ht="15.2" spans="1:10">
      <c r="A2603" s="58" t="s">
        <v>3297</v>
      </c>
      <c r="B2603" s="59">
        <v>1213.68</v>
      </c>
      <c r="C2603" s="59">
        <v>1999</v>
      </c>
      <c r="D2603" s="59" t="s">
        <v>803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ht="15.2" spans="1:10">
      <c r="A2604" s="58" t="s">
        <v>3298</v>
      </c>
      <c r="B2604" s="59">
        <v>4124.41</v>
      </c>
      <c r="C2604" s="59">
        <v>6999</v>
      </c>
      <c r="D2604" s="59" t="s">
        <v>803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ht="15.2" spans="1:10">
      <c r="A2605" s="58" t="s">
        <v>3299</v>
      </c>
      <c r="B2605" s="59">
        <v>1313.5</v>
      </c>
      <c r="C2605" s="59">
        <v>1999</v>
      </c>
      <c r="D2605" s="59" t="s">
        <v>803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ht="15.2" spans="1:10">
      <c r="A2606" s="58" t="s">
        <v>3300</v>
      </c>
      <c r="B2606" s="59">
        <v>1576.34</v>
      </c>
      <c r="C2606" s="59">
        <v>2399</v>
      </c>
      <c r="D2606" s="59" t="s">
        <v>803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ht="15.2" spans="1:10">
      <c r="A2607" s="58" t="s">
        <v>3301</v>
      </c>
      <c r="B2607" s="59">
        <v>1354.77</v>
      </c>
      <c r="C2607" s="59">
        <v>2299</v>
      </c>
      <c r="D2607" s="59" t="s">
        <v>803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ht="15.2" spans="1:10">
      <c r="A2608" s="58" t="s">
        <v>3302</v>
      </c>
      <c r="B2608" s="59">
        <v>0</v>
      </c>
      <c r="C2608" s="59">
        <v>0</v>
      </c>
      <c r="D2608" s="59" t="s">
        <v>815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ht="15.2" spans="1:10">
      <c r="A2609" s="58" t="s">
        <v>3303</v>
      </c>
      <c r="B2609" s="59">
        <v>520.09</v>
      </c>
      <c r="C2609" s="59">
        <v>1125</v>
      </c>
      <c r="D2609" s="59" t="s">
        <v>801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</v>
      </c>
      <c r="J2609" s="60">
        <f t="shared" si="123"/>
        <v>10800</v>
      </c>
    </row>
    <row r="2610" ht="15.2" spans="1:10">
      <c r="A2610" s="58" t="s">
        <v>3304</v>
      </c>
      <c r="B2610" s="59">
        <v>1313.5</v>
      </c>
      <c r="C2610" s="59">
        <v>1999</v>
      </c>
      <c r="D2610" s="59" t="s">
        <v>803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ht="15.2" spans="1:10">
      <c r="A2611" s="58" t="s">
        <v>3305</v>
      </c>
      <c r="B2611" s="59">
        <v>593</v>
      </c>
      <c r="C2611" s="59">
        <v>1439</v>
      </c>
      <c r="D2611" s="59" t="s">
        <v>801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</v>
      </c>
    </row>
    <row r="2612" ht="15.2" spans="1:10">
      <c r="A2612" s="58" t="s">
        <v>711</v>
      </c>
      <c r="B2612" s="59">
        <v>629</v>
      </c>
      <c r="C2612" s="59">
        <v>1560</v>
      </c>
      <c r="D2612" s="59" t="s">
        <v>801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</v>
      </c>
      <c r="J2612" s="60">
        <f t="shared" si="123"/>
        <v>9984</v>
      </c>
    </row>
    <row r="2613" ht="15.2" spans="1:10">
      <c r="A2613" s="58" t="s">
        <v>3306</v>
      </c>
      <c r="B2613" s="59">
        <v>1904.87</v>
      </c>
      <c r="C2613" s="59">
        <v>2899</v>
      </c>
      <c r="D2613" s="59" t="s">
        <v>803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ht="15.2" spans="1:10">
      <c r="A2614" s="58" t="s">
        <v>3307</v>
      </c>
      <c r="B2614" s="59">
        <v>409</v>
      </c>
      <c r="C2614" s="59">
        <v>859</v>
      </c>
      <c r="D2614" s="59" t="s">
        <v>801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122.7</v>
      </c>
      <c r="J2614" s="60">
        <f t="shared" si="123"/>
        <v>257.7</v>
      </c>
    </row>
    <row r="2615" ht="15.2" spans="1:10">
      <c r="A2615" s="58" t="s">
        <v>3308</v>
      </c>
      <c r="B2615" s="59">
        <v>1395.82</v>
      </c>
      <c r="C2615" s="59">
        <v>2299</v>
      </c>
      <c r="D2615" s="59" t="s">
        <v>803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ht="15.2" spans="1:10">
      <c r="A2616" s="58" t="s">
        <v>3309</v>
      </c>
      <c r="B2616" s="59">
        <v>449</v>
      </c>
      <c r="C2616" s="59">
        <v>943</v>
      </c>
      <c r="D2616" s="59" t="s">
        <v>801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ht="15.2" spans="1:10">
      <c r="A2617" s="58" t="s">
        <v>3310</v>
      </c>
      <c r="B2617" s="59">
        <v>283</v>
      </c>
      <c r="C2617" s="59">
        <v>665</v>
      </c>
      <c r="D2617" s="59" t="s">
        <v>801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ht="15.2" spans="1:10">
      <c r="A2618" s="58" t="s">
        <v>3311</v>
      </c>
      <c r="B2618" s="59">
        <v>1295.84</v>
      </c>
      <c r="C2618" s="59">
        <v>2199</v>
      </c>
      <c r="D2618" s="59" t="s">
        <v>803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1295.84</v>
      </c>
      <c r="J2618" s="60">
        <f t="shared" si="123"/>
        <v>2199</v>
      </c>
    </row>
    <row r="2619" ht="15.2" spans="1:10">
      <c r="A2619" s="58" t="s">
        <v>3312</v>
      </c>
      <c r="B2619" s="59">
        <v>224</v>
      </c>
      <c r="C2619" s="59">
        <v>460</v>
      </c>
      <c r="D2619" s="59" t="s">
        <v>801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ht="15.2" spans="1:10">
      <c r="A2620" s="58" t="s">
        <v>3313</v>
      </c>
      <c r="B2620" s="59">
        <v>1517.25</v>
      </c>
      <c r="C2620" s="59">
        <v>2499</v>
      </c>
      <c r="D2620" s="59" t="s">
        <v>803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ht="15.2" spans="1:10">
      <c r="A2621" s="58" t="s">
        <v>3314</v>
      </c>
      <c r="B2621" s="59">
        <v>984.96</v>
      </c>
      <c r="C2621" s="59">
        <v>1499</v>
      </c>
      <c r="D2621" s="59" t="s">
        <v>803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ht="15.2" spans="1:10">
      <c r="A2622" s="58" t="s">
        <v>3315</v>
      </c>
      <c r="B2622" s="59">
        <v>1213.68</v>
      </c>
      <c r="C2622" s="59">
        <v>1999</v>
      </c>
      <c r="D2622" s="59" t="s">
        <v>803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ht="15.2" spans="1:10">
      <c r="A2623" s="58" t="s">
        <v>3316</v>
      </c>
      <c r="B2623" s="59">
        <v>1576.34</v>
      </c>
      <c r="C2623" s="59">
        <v>2399</v>
      </c>
      <c r="D2623" s="59" t="s">
        <v>803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ht="15.2" spans="1:10">
      <c r="A2624" s="58" t="s">
        <v>3317</v>
      </c>
      <c r="B2624" s="59">
        <v>1274.39</v>
      </c>
      <c r="C2624" s="59">
        <v>2099</v>
      </c>
      <c r="D2624" s="59" t="s">
        <v>803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</v>
      </c>
      <c r="J2624" s="60">
        <f t="shared" si="123"/>
        <v>2099</v>
      </c>
    </row>
    <row r="2625" ht="15.2" spans="1:10">
      <c r="A2625" s="58" t="s">
        <v>3318</v>
      </c>
      <c r="B2625" s="59">
        <v>281</v>
      </c>
      <c r="C2625" s="59">
        <v>635</v>
      </c>
      <c r="D2625" s="59" t="s">
        <v>801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ht="15.2" spans="1:10">
      <c r="A2626" s="58" t="s">
        <v>3319</v>
      </c>
      <c r="B2626" s="59">
        <v>1444.92</v>
      </c>
      <c r="C2626" s="59">
        <v>2199</v>
      </c>
      <c r="D2626" s="59" t="s">
        <v>803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ht="15.2" spans="1:10">
      <c r="A2627" s="58" t="s">
        <v>3320</v>
      </c>
      <c r="B2627" s="59">
        <v>327</v>
      </c>
      <c r="C2627" s="59">
        <v>815</v>
      </c>
      <c r="D2627" s="59" t="s">
        <v>801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ht="15.2" spans="1:10">
      <c r="A2628" s="58" t="s">
        <v>3321</v>
      </c>
      <c r="B2628" s="59">
        <v>1092.25</v>
      </c>
      <c r="C2628" s="59">
        <v>1799</v>
      </c>
      <c r="D2628" s="59" t="s">
        <v>803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ht="15.2" spans="1:10">
      <c r="A2629" s="58" t="s">
        <v>3322</v>
      </c>
      <c r="B2629" s="59">
        <v>1247.8</v>
      </c>
      <c r="C2629" s="59">
        <v>1899</v>
      </c>
      <c r="D2629" s="59" t="s">
        <v>803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ht="15.2" spans="1:10">
      <c r="A2630" s="58" t="s">
        <v>3323</v>
      </c>
      <c r="B2630" s="59">
        <v>1116.38</v>
      </c>
      <c r="C2630" s="59">
        <v>1699</v>
      </c>
      <c r="D2630" s="59" t="s">
        <v>803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</v>
      </c>
      <c r="J2630" s="60">
        <f t="shared" si="126"/>
        <v>1699</v>
      </c>
    </row>
    <row r="2631" ht="15.2" spans="1:10">
      <c r="A2631" s="58" t="s">
        <v>32</v>
      </c>
      <c r="B2631" s="59">
        <v>401</v>
      </c>
      <c r="C2631" s="59">
        <v>913</v>
      </c>
      <c r="D2631" s="59" t="s">
        <v>801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8764.8</v>
      </c>
    </row>
    <row r="2632" ht="15.2" spans="1:10">
      <c r="A2632" s="58" t="s">
        <v>3324</v>
      </c>
      <c r="B2632" s="59">
        <v>1354.77</v>
      </c>
      <c r="C2632" s="59">
        <v>2299</v>
      </c>
      <c r="D2632" s="59" t="s">
        <v>803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ht="15.2" spans="1:10">
      <c r="A2633" s="58" t="s">
        <v>3325</v>
      </c>
      <c r="B2633" s="59">
        <v>722.13</v>
      </c>
      <c r="C2633" s="59">
        <v>1099</v>
      </c>
      <c r="D2633" s="59" t="s">
        <v>803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ht="15.2" spans="1:10">
      <c r="A2634" s="58" t="s">
        <v>3326</v>
      </c>
      <c r="B2634" s="59">
        <v>3279</v>
      </c>
      <c r="C2634" s="59">
        <v>8399</v>
      </c>
      <c r="D2634" s="59" t="s">
        <v>801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ht="15.2" spans="1:10">
      <c r="A2635" s="58" t="s">
        <v>3327</v>
      </c>
      <c r="B2635" s="59">
        <v>1577.96</v>
      </c>
      <c r="C2635" s="59">
        <v>2599</v>
      </c>
      <c r="D2635" s="59" t="s">
        <v>803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ht="15.2" spans="1:10">
      <c r="A2636" s="58" t="s">
        <v>707</v>
      </c>
      <c r="B2636" s="59">
        <v>521</v>
      </c>
      <c r="C2636" s="59">
        <v>1141</v>
      </c>
      <c r="D2636" s="59" t="s">
        <v>801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4063.8</v>
      </c>
      <c r="J2636" s="60">
        <f t="shared" si="126"/>
        <v>8899.8</v>
      </c>
    </row>
    <row r="2637" ht="15.2" spans="1:10">
      <c r="A2637" s="58" t="s">
        <v>3328</v>
      </c>
      <c r="B2637" s="59">
        <v>487</v>
      </c>
      <c r="C2637" s="59">
        <v>1064</v>
      </c>
      <c r="D2637" s="59" t="s">
        <v>801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ht="15.2" spans="1:10">
      <c r="A2638" s="58" t="s">
        <v>3329</v>
      </c>
      <c r="B2638" s="59">
        <v>316</v>
      </c>
      <c r="C2638" s="59">
        <v>830</v>
      </c>
      <c r="D2638" s="59" t="s">
        <v>801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ht="15.2" spans="1:10">
      <c r="A2639" s="58" t="s">
        <v>3330</v>
      </c>
      <c r="B2639" s="59">
        <v>1354.77</v>
      </c>
      <c r="C2639" s="59">
        <v>2299</v>
      </c>
      <c r="D2639" s="59" t="s">
        <v>803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ht="15.2" spans="1:10">
      <c r="A2640" s="58" t="s">
        <v>3331</v>
      </c>
      <c r="B2640" s="59">
        <v>409</v>
      </c>
      <c r="C2640" s="59">
        <v>1032</v>
      </c>
      <c r="D2640" s="59" t="s">
        <v>801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ht="15.2" spans="1:10">
      <c r="A2641" s="58" t="s">
        <v>3332</v>
      </c>
      <c r="B2641" s="59">
        <v>284</v>
      </c>
      <c r="C2641" s="59">
        <v>612</v>
      </c>
      <c r="D2641" s="59" t="s">
        <v>801</v>
      </c>
      <c r="E2641" s="59">
        <v>0.55</v>
      </c>
      <c r="F2641" s="59">
        <v>0.55</v>
      </c>
      <c r="G2641" s="59">
        <v>0</v>
      </c>
      <c r="H2641" s="60">
        <f t="shared" si="124"/>
        <v>0.55</v>
      </c>
      <c r="I2641" s="60">
        <f t="shared" si="125"/>
        <v>156.2</v>
      </c>
      <c r="J2641" s="60">
        <f t="shared" si="126"/>
        <v>336.6</v>
      </c>
    </row>
    <row r="2642" ht="15.2" spans="1:10">
      <c r="A2642" s="58" t="s">
        <v>3333</v>
      </c>
      <c r="B2642" s="59">
        <v>1354.77</v>
      </c>
      <c r="C2642" s="59">
        <v>2299</v>
      </c>
      <c r="D2642" s="59" t="s">
        <v>803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ht="15.2" spans="1:10">
      <c r="A2643" s="58" t="s">
        <v>3334</v>
      </c>
      <c r="B2643" s="59">
        <v>1649.41</v>
      </c>
      <c r="C2643" s="59">
        <v>2799</v>
      </c>
      <c r="D2643" s="59" t="s">
        <v>803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ht="15.2" spans="1:10">
      <c r="A2644" s="58" t="s">
        <v>3335</v>
      </c>
      <c r="B2644" s="59">
        <v>1395.82</v>
      </c>
      <c r="C2644" s="59">
        <v>2299</v>
      </c>
      <c r="D2644" s="59" t="s">
        <v>803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ht="15.2" spans="1:10">
      <c r="A2645" s="58" t="s">
        <v>3336</v>
      </c>
      <c r="B2645" s="59">
        <v>319</v>
      </c>
      <c r="C2645" s="59">
        <v>713</v>
      </c>
      <c r="D2645" s="59" t="s">
        <v>801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ht="15.2" spans="1:10">
      <c r="A2646" s="58" t="s">
        <v>3337</v>
      </c>
      <c r="B2646" s="59">
        <v>2063.68</v>
      </c>
      <c r="C2646" s="59">
        <v>3399</v>
      </c>
      <c r="D2646" s="59" t="s">
        <v>803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ht="15.2" spans="1:10">
      <c r="A2647" s="58" t="s">
        <v>3338</v>
      </c>
      <c r="B2647" s="59">
        <v>1517.25</v>
      </c>
      <c r="C2647" s="59">
        <v>2499</v>
      </c>
      <c r="D2647" s="59" t="s">
        <v>803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ht="15.2" spans="1:10">
      <c r="A2648" s="58" t="s">
        <v>3339</v>
      </c>
      <c r="B2648" s="59">
        <v>4249.39</v>
      </c>
      <c r="C2648" s="59">
        <v>6999</v>
      </c>
      <c r="D2648" s="59" t="s">
        <v>803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</v>
      </c>
      <c r="J2648" s="60">
        <f t="shared" si="126"/>
        <v>6999</v>
      </c>
    </row>
    <row r="2649" ht="15.2" spans="1:10">
      <c r="A2649" s="58" t="s">
        <v>3340</v>
      </c>
      <c r="B2649" s="59">
        <v>1274.39</v>
      </c>
      <c r="C2649" s="59">
        <v>2099</v>
      </c>
      <c r="D2649" s="59" t="s">
        <v>803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ht="15.2" spans="1:10">
      <c r="A2650" s="58" t="s">
        <v>3341</v>
      </c>
      <c r="B2650" s="59">
        <v>1576.34</v>
      </c>
      <c r="C2650" s="59">
        <v>2399</v>
      </c>
      <c r="D2650" s="59" t="s">
        <v>803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ht="15.2" spans="1:10">
      <c r="A2651" s="58" t="s">
        <v>3342</v>
      </c>
      <c r="B2651" s="59">
        <v>1182.09</v>
      </c>
      <c r="C2651" s="59">
        <v>1799</v>
      </c>
      <c r="D2651" s="59" t="s">
        <v>803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1182.09</v>
      </c>
      <c r="J2651" s="60">
        <f t="shared" si="126"/>
        <v>1799</v>
      </c>
    </row>
    <row r="2652" ht="15.2" spans="1:10">
      <c r="A2652" s="58" t="s">
        <v>3343</v>
      </c>
      <c r="B2652" s="59">
        <v>984.96</v>
      </c>
      <c r="C2652" s="59">
        <v>1499</v>
      </c>
      <c r="D2652" s="59" t="s">
        <v>803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ht="15.2" spans="1:10">
      <c r="A2653" s="58" t="s">
        <v>3344</v>
      </c>
      <c r="B2653" s="59">
        <v>656.42</v>
      </c>
      <c r="C2653" s="59">
        <v>999</v>
      </c>
      <c r="D2653" s="59" t="s">
        <v>803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ht="15.2" spans="1:10">
      <c r="A2654" s="58" t="s">
        <v>3345</v>
      </c>
      <c r="B2654" s="59">
        <v>1444.92</v>
      </c>
      <c r="C2654" s="59">
        <v>2199</v>
      </c>
      <c r="D2654" s="59" t="s">
        <v>803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ht="15.2" spans="1:10">
      <c r="A2655" s="58" t="s">
        <v>3346</v>
      </c>
      <c r="B2655" s="59">
        <v>1510.63</v>
      </c>
      <c r="C2655" s="59">
        <v>2299</v>
      </c>
      <c r="D2655" s="59" t="s">
        <v>803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ht="15.2" spans="1:10">
      <c r="A2656" s="58" t="s">
        <v>3347</v>
      </c>
      <c r="B2656" s="59">
        <v>378</v>
      </c>
      <c r="C2656" s="59">
        <v>899</v>
      </c>
      <c r="D2656" s="59" t="s">
        <v>801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ht="15.2" spans="1:10">
      <c r="A2657" s="58" t="s">
        <v>3348</v>
      </c>
      <c r="B2657" s="59">
        <v>436</v>
      </c>
      <c r="C2657" s="59">
        <v>1099</v>
      </c>
      <c r="D2657" s="59" t="s">
        <v>801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ht="15.2" spans="1:10">
      <c r="A2658" s="58" t="s">
        <v>3349</v>
      </c>
      <c r="B2658" s="59">
        <v>1354.77</v>
      </c>
      <c r="C2658" s="59">
        <v>2299</v>
      </c>
      <c r="D2658" s="59" t="s">
        <v>803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ht="15.2" spans="1:10">
      <c r="A2659" s="58" t="s">
        <v>237</v>
      </c>
      <c r="B2659" s="59">
        <v>521</v>
      </c>
      <c r="C2659" s="59">
        <v>1308</v>
      </c>
      <c r="D2659" s="59" t="s">
        <v>801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ht="15.2" spans="1:10">
      <c r="A2660" s="58" t="s">
        <v>3350</v>
      </c>
      <c r="B2660" s="59">
        <v>1707.76</v>
      </c>
      <c r="C2660" s="59">
        <v>2599</v>
      </c>
      <c r="D2660" s="59" t="s">
        <v>803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ht="15.2" spans="1:10">
      <c r="A2661" s="58" t="s">
        <v>3351</v>
      </c>
      <c r="B2661" s="59">
        <v>1760.11</v>
      </c>
      <c r="C2661" s="59">
        <v>2899</v>
      </c>
      <c r="D2661" s="59" t="s">
        <v>803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ht="15.2" spans="1:10">
      <c r="A2662" s="58" t="s">
        <v>3352</v>
      </c>
      <c r="B2662" s="59">
        <v>1638.68</v>
      </c>
      <c r="C2662" s="59">
        <v>2699</v>
      </c>
      <c r="D2662" s="59" t="s">
        <v>803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ht="15.2" spans="1:10">
      <c r="A2663" s="58" t="s">
        <v>3353</v>
      </c>
      <c r="B2663" s="59">
        <v>2063.68</v>
      </c>
      <c r="C2663" s="59">
        <v>3399</v>
      </c>
      <c r="D2663" s="59" t="s">
        <v>803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ht="15.2" spans="1:10">
      <c r="A2664" s="58" t="s">
        <v>3354</v>
      </c>
      <c r="B2664" s="59">
        <v>549</v>
      </c>
      <c r="C2664" s="59">
        <v>1153</v>
      </c>
      <c r="D2664" s="59" t="s">
        <v>801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ht="15.2" spans="1:10">
      <c r="A2665" s="58" t="s">
        <v>3355</v>
      </c>
      <c r="B2665" s="59">
        <v>1040.38</v>
      </c>
      <c r="C2665" s="59">
        <v>1599</v>
      </c>
      <c r="D2665" s="59" t="s">
        <v>803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ht="15.2" spans="1:10">
      <c r="A2666" s="58" t="s">
        <v>3356</v>
      </c>
      <c r="B2666" s="59">
        <v>1274.39</v>
      </c>
      <c r="C2666" s="59">
        <v>2099</v>
      </c>
      <c r="D2666" s="59" t="s">
        <v>803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</v>
      </c>
      <c r="J2666" s="60">
        <f t="shared" si="126"/>
        <v>2099</v>
      </c>
    </row>
    <row r="2667" ht="15.2" spans="1:10">
      <c r="A2667" s="58" t="s">
        <v>3357</v>
      </c>
      <c r="B2667" s="59">
        <v>1152.96</v>
      </c>
      <c r="C2667" s="59">
        <v>1899</v>
      </c>
      <c r="D2667" s="59" t="s">
        <v>803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ht="15.2" spans="1:10">
      <c r="A2668" s="58" t="s">
        <v>3358</v>
      </c>
      <c r="B2668" s="59">
        <v>299</v>
      </c>
      <c r="C2668" s="59">
        <v>660</v>
      </c>
      <c r="D2668" s="59" t="s">
        <v>801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ht="15.2" spans="1:10">
      <c r="A2669" s="58" t="s">
        <v>3359</v>
      </c>
      <c r="B2669" s="59">
        <v>349</v>
      </c>
      <c r="C2669" s="59">
        <v>826</v>
      </c>
      <c r="D2669" s="59" t="s">
        <v>801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247.8</v>
      </c>
    </row>
    <row r="2670" ht="15.2" spans="1:10">
      <c r="A2670" s="58" t="s">
        <v>3360</v>
      </c>
      <c r="B2670" s="59">
        <v>1354.77</v>
      </c>
      <c r="C2670" s="59">
        <v>2299</v>
      </c>
      <c r="D2670" s="59" t="s">
        <v>803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ht="15.2" spans="1:10">
      <c r="A2671" s="58" t="s">
        <v>3361</v>
      </c>
      <c r="B2671" s="59">
        <v>869</v>
      </c>
      <c r="C2671" s="59">
        <v>1964</v>
      </c>
      <c r="D2671" s="59" t="s">
        <v>801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ht="15.2" spans="1:10">
      <c r="A2672" s="58" t="s">
        <v>3362</v>
      </c>
      <c r="B2672" s="59">
        <v>1119.05</v>
      </c>
      <c r="C2672" s="59">
        <v>1899</v>
      </c>
      <c r="D2672" s="59" t="s">
        <v>803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ht="15.2" spans="1:10">
      <c r="A2673" s="58" t="s">
        <v>3363</v>
      </c>
      <c r="B2673" s="59">
        <v>2063.68</v>
      </c>
      <c r="C2673" s="59">
        <v>3399</v>
      </c>
      <c r="D2673" s="59" t="s">
        <v>803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ht="15.2" spans="1:10">
      <c r="A2674" s="58" t="s">
        <v>3364</v>
      </c>
      <c r="B2674" s="59">
        <v>1247.8</v>
      </c>
      <c r="C2674" s="59">
        <v>1899</v>
      </c>
      <c r="D2674" s="59" t="s">
        <v>803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ht="15.2" spans="1:10">
      <c r="A2675" s="58" t="s">
        <v>3365</v>
      </c>
      <c r="B2675" s="59">
        <v>1178</v>
      </c>
      <c r="C2675" s="59">
        <v>2805</v>
      </c>
      <c r="D2675" s="59" t="s">
        <v>801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ht="15.2" spans="1:10">
      <c r="A2676" s="58" t="s">
        <v>35</v>
      </c>
      <c r="B2676" s="59">
        <v>499</v>
      </c>
      <c r="C2676" s="59">
        <v>1048</v>
      </c>
      <c r="D2676" s="59" t="s">
        <v>801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ht="15.2" spans="1:10">
      <c r="A2677" s="58" t="s">
        <v>3366</v>
      </c>
      <c r="B2677" s="59">
        <v>548</v>
      </c>
      <c r="C2677" s="59">
        <v>1362</v>
      </c>
      <c r="D2677" s="59" t="s">
        <v>801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</v>
      </c>
    </row>
    <row r="2678" ht="15.2" spans="1:10">
      <c r="A2678" s="58" t="s">
        <v>3367</v>
      </c>
      <c r="B2678" s="59">
        <v>252</v>
      </c>
      <c r="C2678" s="59">
        <v>588</v>
      </c>
      <c r="D2678" s="59" t="s">
        <v>801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ht="15.2" spans="1:10">
      <c r="A2679" s="58" t="s">
        <v>3368</v>
      </c>
      <c r="B2679" s="59">
        <v>901.24</v>
      </c>
      <c r="C2679" s="59">
        <v>1399</v>
      </c>
      <c r="D2679" s="59" t="s">
        <v>803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ht="15.2" spans="1:10">
      <c r="A2680" s="58" t="s">
        <v>3369</v>
      </c>
      <c r="B2680" s="59">
        <v>1263.59</v>
      </c>
      <c r="C2680" s="59">
        <v>1999</v>
      </c>
      <c r="D2680" s="59" t="s">
        <v>803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ht="15.2" spans="1:10">
      <c r="A2681" s="58" t="s">
        <v>3370</v>
      </c>
      <c r="B2681" s="59">
        <v>1576.34</v>
      </c>
      <c r="C2681" s="59">
        <v>2399</v>
      </c>
      <c r="D2681" s="59" t="s">
        <v>803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ht="15.2" spans="1:10">
      <c r="A2682" s="58" t="s">
        <v>3371</v>
      </c>
      <c r="B2682" s="59">
        <v>396.8</v>
      </c>
      <c r="C2682" s="59">
        <v>1042</v>
      </c>
      <c r="D2682" s="59" t="s">
        <v>801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ht="15.2" spans="1:10">
      <c r="A2683" s="58" t="s">
        <v>3372</v>
      </c>
      <c r="B2683" s="59">
        <v>1182.09</v>
      </c>
      <c r="C2683" s="59">
        <v>1799</v>
      </c>
      <c r="D2683" s="59" t="s">
        <v>803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ht="15.2" spans="1:10">
      <c r="A2684" s="58" t="s">
        <v>3373</v>
      </c>
      <c r="B2684" s="59">
        <v>1295.84</v>
      </c>
      <c r="C2684" s="59">
        <v>2199</v>
      </c>
      <c r="D2684" s="59" t="s">
        <v>803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2591.68</v>
      </c>
      <c r="J2684" s="60">
        <f t="shared" si="126"/>
        <v>4398</v>
      </c>
    </row>
    <row r="2685" ht="15.2" spans="1:10">
      <c r="A2685" s="58" t="s">
        <v>3374</v>
      </c>
      <c r="B2685" s="59">
        <v>499</v>
      </c>
      <c r="C2685" s="59">
        <v>1117</v>
      </c>
      <c r="D2685" s="59" t="s">
        <v>801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ht="15.2" spans="1:10">
      <c r="A2686" s="58" t="s">
        <v>3375</v>
      </c>
      <c r="B2686" s="59">
        <v>1760.11</v>
      </c>
      <c r="C2686" s="59">
        <v>2899</v>
      </c>
      <c r="D2686" s="59" t="s">
        <v>803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ht="15.2" spans="1:10">
      <c r="A2687" s="58" t="s">
        <v>3376</v>
      </c>
      <c r="B2687" s="59">
        <v>1274.39</v>
      </c>
      <c r="C2687" s="59">
        <v>2099</v>
      </c>
      <c r="D2687" s="59" t="s">
        <v>803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</v>
      </c>
      <c r="J2687" s="60">
        <f t="shared" si="126"/>
        <v>2099</v>
      </c>
    </row>
    <row r="2688" ht="15.2" spans="1:10">
      <c r="A2688" s="58" t="s">
        <v>3377</v>
      </c>
      <c r="B2688" s="59">
        <v>699</v>
      </c>
      <c r="C2688" s="59">
        <v>1468</v>
      </c>
      <c r="D2688" s="59" t="s">
        <v>801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ht="15.2" spans="1:10">
      <c r="A2689" s="58" t="s">
        <v>3378</v>
      </c>
      <c r="B2689" s="59">
        <v>1444.92</v>
      </c>
      <c r="C2689" s="59">
        <v>2199</v>
      </c>
      <c r="D2689" s="59" t="s">
        <v>803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ht="15.2" spans="1:10">
      <c r="A2690" s="58" t="s">
        <v>3379</v>
      </c>
      <c r="B2690" s="59">
        <v>656.42</v>
      </c>
      <c r="C2690" s="59">
        <v>999</v>
      </c>
      <c r="D2690" s="59" t="s">
        <v>803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ht="15.2" spans="1:10">
      <c r="A2691" s="58" t="s">
        <v>3380</v>
      </c>
      <c r="B2691" s="59">
        <v>970.78</v>
      </c>
      <c r="C2691" s="59">
        <v>1499</v>
      </c>
      <c r="D2691" s="59" t="s">
        <v>803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ht="15.2" spans="1:10">
      <c r="A2692" s="58" t="s">
        <v>3381</v>
      </c>
      <c r="B2692" s="59">
        <v>1274.39</v>
      </c>
      <c r="C2692" s="59">
        <v>2099</v>
      </c>
      <c r="D2692" s="59" t="s">
        <v>803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ht="15.2" spans="1:10">
      <c r="A2693" s="58" t="s">
        <v>3382</v>
      </c>
      <c r="B2693" s="59">
        <v>295.02</v>
      </c>
      <c r="C2693" s="59">
        <v>449</v>
      </c>
      <c r="D2693" s="59" t="s">
        <v>803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ht="15.2" spans="1:10">
      <c r="A2694" s="58" t="s">
        <v>3383</v>
      </c>
      <c r="B2694" s="59">
        <v>1295.84</v>
      </c>
      <c r="C2694" s="59">
        <v>2199</v>
      </c>
      <c r="D2694" s="59" t="s">
        <v>803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ht="15.2" spans="1:10">
      <c r="A2695" s="58" t="s">
        <v>369</v>
      </c>
      <c r="B2695" s="59">
        <v>456</v>
      </c>
      <c r="C2695" s="59">
        <v>1016</v>
      </c>
      <c r="D2695" s="59" t="s">
        <v>801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</v>
      </c>
    </row>
    <row r="2696" ht="15.2" spans="1:10">
      <c r="A2696" s="58" t="s">
        <v>3384</v>
      </c>
      <c r="B2696" s="59">
        <v>2185.11</v>
      </c>
      <c r="C2696" s="59">
        <v>3599</v>
      </c>
      <c r="D2696" s="59" t="s">
        <v>803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ht="15.2" spans="1:10">
      <c r="A2697" s="58" t="s">
        <v>3385</v>
      </c>
      <c r="B2697" s="59">
        <v>970.78</v>
      </c>
      <c r="C2697" s="59">
        <v>1499</v>
      </c>
      <c r="D2697" s="59" t="s">
        <v>803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ht="15.2" spans="1:10">
      <c r="A2698" s="58" t="s">
        <v>3386</v>
      </c>
      <c r="B2698" s="59">
        <v>3035.11</v>
      </c>
      <c r="C2698" s="59">
        <v>4999</v>
      </c>
      <c r="D2698" s="59" t="s">
        <v>803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ht="15.2" spans="1:10">
      <c r="A2699" s="58" t="s">
        <v>3387</v>
      </c>
      <c r="B2699" s="59">
        <v>229.32</v>
      </c>
      <c r="C2699" s="59">
        <v>349</v>
      </c>
      <c r="D2699" s="59" t="s">
        <v>803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ht="15.2" spans="1:10">
      <c r="A2700" s="58" t="s">
        <v>3388</v>
      </c>
      <c r="B2700" s="59">
        <v>402.5</v>
      </c>
      <c r="C2700" s="59">
        <v>1208</v>
      </c>
      <c r="D2700" s="59" t="s">
        <v>801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ht="15.2" spans="1:10">
      <c r="A2701" s="58" t="s">
        <v>3389</v>
      </c>
      <c r="B2701" s="59">
        <v>1313.5</v>
      </c>
      <c r="C2701" s="59">
        <v>1999</v>
      </c>
      <c r="D2701" s="59" t="s">
        <v>803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ht="15.2" spans="1:10">
      <c r="A2702" s="58" t="s">
        <v>3390</v>
      </c>
      <c r="B2702" s="59">
        <v>580</v>
      </c>
      <c r="C2702" s="59">
        <v>1371</v>
      </c>
      <c r="D2702" s="59" t="s">
        <v>801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ht="15.2" spans="1:10">
      <c r="A2703" s="58" t="s">
        <v>3391</v>
      </c>
      <c r="B2703" s="59">
        <v>1760.11</v>
      </c>
      <c r="C2703" s="59">
        <v>2899</v>
      </c>
      <c r="D2703" s="59" t="s">
        <v>803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ht="15.2" spans="1:10">
      <c r="A2704" s="58" t="s">
        <v>3392</v>
      </c>
      <c r="B2704" s="59">
        <v>119</v>
      </c>
      <c r="C2704" s="59">
        <v>175</v>
      </c>
      <c r="D2704" s="59" t="s">
        <v>803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ht="15.2" spans="1:10">
      <c r="A2705" s="58" t="s">
        <v>3393</v>
      </c>
      <c r="B2705" s="59">
        <v>384</v>
      </c>
      <c r="C2705" s="59">
        <v>903</v>
      </c>
      <c r="D2705" s="59" t="s">
        <v>801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</v>
      </c>
      <c r="J2705" s="60">
        <f t="shared" si="129"/>
        <v>180.6</v>
      </c>
    </row>
    <row r="2706" ht="15.2" spans="1:10">
      <c r="A2706" s="58" t="s">
        <v>3394</v>
      </c>
      <c r="B2706" s="59">
        <v>1274.39</v>
      </c>
      <c r="C2706" s="59">
        <v>2099</v>
      </c>
      <c r="D2706" s="59" t="s">
        <v>803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</v>
      </c>
      <c r="J2706" s="60">
        <f t="shared" si="129"/>
        <v>2099</v>
      </c>
    </row>
    <row r="2707" ht="15.2" spans="1:10">
      <c r="A2707" s="58" t="s">
        <v>3395</v>
      </c>
      <c r="B2707" s="59">
        <v>1213.68</v>
      </c>
      <c r="C2707" s="59">
        <v>1999</v>
      </c>
      <c r="D2707" s="59" t="s">
        <v>803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ht="15.2" spans="1:10">
      <c r="A2708" s="58" t="s">
        <v>3396</v>
      </c>
      <c r="B2708" s="59">
        <v>1247.8</v>
      </c>
      <c r="C2708" s="59">
        <v>1899</v>
      </c>
      <c r="D2708" s="59" t="s">
        <v>803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ht="15.2" spans="1:10">
      <c r="A2709" s="58" t="s">
        <v>3397</v>
      </c>
      <c r="B2709" s="59">
        <v>1379.21</v>
      </c>
      <c r="C2709" s="59">
        <v>2099</v>
      </c>
      <c r="D2709" s="59" t="s">
        <v>803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ht="15.2" spans="1:10">
      <c r="A2710" s="58" t="s">
        <v>3398</v>
      </c>
      <c r="B2710" s="59">
        <v>1609.86</v>
      </c>
      <c r="C2710" s="59">
        <v>2499</v>
      </c>
      <c r="D2710" s="59" t="s">
        <v>803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ht="15.2" spans="1:10">
      <c r="A2711" s="58" t="s">
        <v>3399</v>
      </c>
      <c r="B2711" s="59">
        <v>4124.41</v>
      </c>
      <c r="C2711" s="59">
        <v>6999</v>
      </c>
      <c r="D2711" s="59" t="s">
        <v>803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ht="15.2" spans="1:10">
      <c r="A2712" s="58" t="s">
        <v>3400</v>
      </c>
      <c r="B2712" s="59">
        <v>1177.98</v>
      </c>
      <c r="C2712" s="59">
        <v>1999</v>
      </c>
      <c r="D2712" s="59" t="s">
        <v>803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ht="15.2" spans="1:10">
      <c r="A2713" s="58" t="s">
        <v>3401</v>
      </c>
      <c r="B2713" s="59">
        <v>394</v>
      </c>
      <c r="C2713" s="59">
        <v>918</v>
      </c>
      <c r="D2713" s="59" t="s">
        <v>801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</v>
      </c>
      <c r="J2713" s="60">
        <f t="shared" si="129"/>
        <v>183.6</v>
      </c>
    </row>
    <row r="2714" ht="15.2" spans="1:10">
      <c r="A2714" s="58" t="s">
        <v>3402</v>
      </c>
      <c r="B2714" s="59">
        <v>1456.54</v>
      </c>
      <c r="C2714" s="59">
        <v>2399</v>
      </c>
      <c r="D2714" s="59" t="s">
        <v>803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ht="15.2" spans="1:10">
      <c r="A2715" s="58" t="s">
        <v>3403</v>
      </c>
      <c r="B2715" s="59">
        <v>238</v>
      </c>
      <c r="C2715" s="59">
        <v>489</v>
      </c>
      <c r="D2715" s="59" t="s">
        <v>801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2616.15</v>
      </c>
    </row>
    <row r="2716" ht="15.2" spans="1:10">
      <c r="A2716" s="58" t="s">
        <v>3404</v>
      </c>
      <c r="B2716" s="59">
        <v>2002.96</v>
      </c>
      <c r="C2716" s="59">
        <v>3299</v>
      </c>
      <c r="D2716" s="59" t="s">
        <v>803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ht="15.2" spans="1:10">
      <c r="A2717" s="58" t="s">
        <v>3405</v>
      </c>
      <c r="B2717" s="59">
        <v>1456.54</v>
      </c>
      <c r="C2717" s="59">
        <v>2399</v>
      </c>
      <c r="D2717" s="59" t="s">
        <v>803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ht="15.2" spans="1:10">
      <c r="A2718" s="58" t="s">
        <v>3406</v>
      </c>
      <c r="B2718" s="59">
        <v>323</v>
      </c>
      <c r="C2718" s="59">
        <v>680</v>
      </c>
      <c r="D2718" s="59" t="s">
        <v>801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</v>
      </c>
      <c r="J2718" s="60">
        <f t="shared" si="129"/>
        <v>68</v>
      </c>
    </row>
    <row r="2719" ht="15.2" spans="1:10">
      <c r="A2719" s="58" t="s">
        <v>3407</v>
      </c>
      <c r="B2719" s="59">
        <v>592.7</v>
      </c>
      <c r="C2719" s="59">
        <v>1125</v>
      </c>
      <c r="D2719" s="59" t="s">
        <v>801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</v>
      </c>
      <c r="J2719" s="60">
        <f t="shared" si="129"/>
        <v>10687.5</v>
      </c>
    </row>
    <row r="2720" ht="15.2" spans="1:10">
      <c r="A2720" s="58" t="s">
        <v>3408</v>
      </c>
      <c r="B2720" s="59">
        <v>1213.68</v>
      </c>
      <c r="C2720" s="59">
        <v>1999</v>
      </c>
      <c r="D2720" s="59" t="s">
        <v>803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ht="15.2" spans="1:10">
      <c r="A2721" s="58" t="s">
        <v>3409</v>
      </c>
      <c r="B2721" s="59">
        <v>1395.82</v>
      </c>
      <c r="C2721" s="59">
        <v>2299</v>
      </c>
      <c r="D2721" s="59" t="s">
        <v>803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ht="15.2" spans="1:10">
      <c r="A2722" s="58" t="s">
        <v>3410</v>
      </c>
      <c r="B2722" s="59">
        <v>970.78</v>
      </c>
      <c r="C2722" s="59">
        <v>1499</v>
      </c>
      <c r="D2722" s="59" t="s">
        <v>803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ht="15.2" spans="1:10">
      <c r="A2723" s="58" t="s">
        <v>3411</v>
      </c>
      <c r="B2723" s="59">
        <v>1820.82</v>
      </c>
      <c r="C2723" s="59">
        <v>2999</v>
      </c>
      <c r="D2723" s="59" t="s">
        <v>803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ht="15.2" spans="1:10">
      <c r="A2724" s="58" t="s">
        <v>3412</v>
      </c>
      <c r="B2724" s="59">
        <v>1576.34</v>
      </c>
      <c r="C2724" s="59">
        <v>2399</v>
      </c>
      <c r="D2724" s="59" t="s">
        <v>803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ht="15.2" spans="1:10">
      <c r="A2725" s="58" t="s">
        <v>3413</v>
      </c>
      <c r="B2725" s="59">
        <v>830</v>
      </c>
      <c r="C2725" s="59">
        <v>2118</v>
      </c>
      <c r="D2725" s="59" t="s">
        <v>801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ht="15.2" spans="1:10">
      <c r="A2726" s="58" t="s">
        <v>3414</v>
      </c>
      <c r="B2726" s="59">
        <v>819</v>
      </c>
      <c r="C2726" s="59">
        <v>2049</v>
      </c>
      <c r="D2726" s="59" t="s">
        <v>801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ht="15.2" spans="1:10">
      <c r="A2727" s="58" t="s">
        <v>3415</v>
      </c>
      <c r="B2727" s="59">
        <v>1395.82</v>
      </c>
      <c r="C2727" s="59">
        <v>2299</v>
      </c>
      <c r="D2727" s="59" t="s">
        <v>803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ht="15.2" spans="1:10">
      <c r="A2728" s="58" t="s">
        <v>3416</v>
      </c>
      <c r="B2728" s="59">
        <v>1699.39</v>
      </c>
      <c r="C2728" s="59">
        <v>2799</v>
      </c>
      <c r="D2728" s="59" t="s">
        <v>803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ht="15.2" spans="1:10">
      <c r="A2729" s="58" t="s">
        <v>3417</v>
      </c>
      <c r="B2729" s="59">
        <v>1354.77</v>
      </c>
      <c r="C2729" s="59">
        <v>2299</v>
      </c>
      <c r="D2729" s="59" t="s">
        <v>803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ht="15.2" spans="1:10">
      <c r="A2730" s="58" t="s">
        <v>3418</v>
      </c>
      <c r="B2730" s="59">
        <v>449</v>
      </c>
      <c r="C2730" s="59">
        <v>999</v>
      </c>
      <c r="D2730" s="59" t="s">
        <v>801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ht="15.2" spans="1:10">
      <c r="A2731" s="58" t="s">
        <v>3419</v>
      </c>
      <c r="B2731" s="59">
        <v>1274.39</v>
      </c>
      <c r="C2731" s="59">
        <v>2099</v>
      </c>
      <c r="D2731" s="59" t="s">
        <v>803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</v>
      </c>
      <c r="J2731" s="60">
        <f t="shared" si="129"/>
        <v>2099</v>
      </c>
    </row>
    <row r="2732" ht="15.2" spans="1:10">
      <c r="A2732" s="58" t="s">
        <v>3420</v>
      </c>
      <c r="B2732" s="59">
        <v>241</v>
      </c>
      <c r="C2732" s="59">
        <v>559</v>
      </c>
      <c r="D2732" s="59" t="s">
        <v>801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</v>
      </c>
    </row>
    <row r="2733" ht="15.2" spans="1:10">
      <c r="A2733" s="58" t="s">
        <v>3421</v>
      </c>
      <c r="B2733" s="59">
        <v>656.42</v>
      </c>
      <c r="C2733" s="59">
        <v>999</v>
      </c>
      <c r="D2733" s="59" t="s">
        <v>803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ht="15.2" spans="1:10">
      <c r="A2734" s="58" t="s">
        <v>3422</v>
      </c>
      <c r="B2734" s="59">
        <v>625</v>
      </c>
      <c r="C2734" s="59">
        <v>1479</v>
      </c>
      <c r="D2734" s="59" t="s">
        <v>801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2514.3</v>
      </c>
    </row>
    <row r="2735" ht="15.2" spans="1:10">
      <c r="A2735" s="58" t="s">
        <v>3423</v>
      </c>
      <c r="B2735" s="59">
        <v>1274.39</v>
      </c>
      <c r="C2735" s="59">
        <v>2099</v>
      </c>
      <c r="D2735" s="59" t="s">
        <v>803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</v>
      </c>
      <c r="J2735" s="60">
        <f t="shared" si="129"/>
        <v>2099</v>
      </c>
    </row>
    <row r="2736" ht="15.2" spans="1:10">
      <c r="A2736" s="58" t="s">
        <v>3424</v>
      </c>
      <c r="B2736" s="59">
        <v>1481.02</v>
      </c>
      <c r="C2736" s="59">
        <v>2299</v>
      </c>
      <c r="D2736" s="59" t="s">
        <v>803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ht="15.2" spans="1:10">
      <c r="A2737" s="58" t="s">
        <v>3425</v>
      </c>
      <c r="B2737" s="59">
        <v>1456.54</v>
      </c>
      <c r="C2737" s="59">
        <v>2399</v>
      </c>
      <c r="D2737" s="59" t="s">
        <v>803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ht="15.2" spans="1:10">
      <c r="A2738" s="58" t="s">
        <v>3426</v>
      </c>
      <c r="B2738" s="59">
        <v>630</v>
      </c>
      <c r="C2738" s="59">
        <v>1394</v>
      </c>
      <c r="D2738" s="59" t="s">
        <v>801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ht="15.2" spans="1:10">
      <c r="A2739" s="58" t="s">
        <v>3427</v>
      </c>
      <c r="B2739" s="59">
        <v>841.26</v>
      </c>
      <c r="C2739" s="59">
        <v>1299</v>
      </c>
      <c r="D2739" s="59" t="s">
        <v>803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ht="15.2" spans="1:10">
      <c r="A2740" s="58" t="s">
        <v>3428</v>
      </c>
      <c r="B2740" s="59">
        <v>1213.68</v>
      </c>
      <c r="C2740" s="59">
        <v>1999</v>
      </c>
      <c r="D2740" s="59" t="s">
        <v>803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ht="15.2" spans="1:10">
      <c r="A2741" s="58" t="s">
        <v>3429</v>
      </c>
      <c r="B2741" s="59">
        <v>1576.34</v>
      </c>
      <c r="C2741" s="59">
        <v>2399</v>
      </c>
      <c r="D2741" s="59" t="s">
        <v>803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ht="15.2" spans="1:10">
      <c r="A2742" s="58" t="s">
        <v>3430</v>
      </c>
      <c r="B2742" s="59">
        <v>229</v>
      </c>
      <c r="C2742" s="59">
        <v>498</v>
      </c>
      <c r="D2742" s="59" t="s">
        <v>801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ht="15.2" spans="1:10">
      <c r="A2743" s="58" t="s">
        <v>3431</v>
      </c>
      <c r="B2743" s="59">
        <v>1395.82</v>
      </c>
      <c r="C2743" s="59">
        <v>2299</v>
      </c>
      <c r="D2743" s="59" t="s">
        <v>803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ht="15.2" spans="1:10">
      <c r="A2744" s="58" t="s">
        <v>3432</v>
      </c>
      <c r="B2744" s="59">
        <v>426</v>
      </c>
      <c r="C2744" s="59">
        <v>927</v>
      </c>
      <c r="D2744" s="59" t="s">
        <v>801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ht="15.2" spans="1:10">
      <c r="A2745" s="58" t="s">
        <v>147</v>
      </c>
      <c r="B2745" s="59">
        <v>525</v>
      </c>
      <c r="C2745" s="59">
        <v>1141</v>
      </c>
      <c r="D2745" s="59" t="s">
        <v>801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</v>
      </c>
    </row>
    <row r="2746" ht="15.2" spans="1:10">
      <c r="A2746" s="58" t="s">
        <v>3433</v>
      </c>
      <c r="B2746" s="59">
        <v>436</v>
      </c>
      <c r="C2746" s="59">
        <v>1032</v>
      </c>
      <c r="D2746" s="59" t="s">
        <v>801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ht="15.2" spans="1:10">
      <c r="A2747" s="58" t="s">
        <v>3434</v>
      </c>
      <c r="B2747" s="59">
        <v>1456.54</v>
      </c>
      <c r="C2747" s="59">
        <v>2399</v>
      </c>
      <c r="D2747" s="59" t="s">
        <v>803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ht="15.2" spans="1:10">
      <c r="A2748" s="58" t="s">
        <v>3435</v>
      </c>
      <c r="B2748" s="59">
        <v>409</v>
      </c>
      <c r="C2748" s="59">
        <v>1008</v>
      </c>
      <c r="D2748" s="59" t="s">
        <v>801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ht="15.2" spans="1:10">
      <c r="A2749" s="58" t="s">
        <v>3436</v>
      </c>
      <c r="B2749" s="59">
        <v>299</v>
      </c>
      <c r="C2749" s="59">
        <v>660</v>
      </c>
      <c r="D2749" s="59" t="s">
        <v>801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ht="15.2" spans="1:10">
      <c r="A2750" s="58" t="s">
        <v>3437</v>
      </c>
      <c r="B2750" s="59">
        <v>2185.11</v>
      </c>
      <c r="C2750" s="59">
        <v>3599</v>
      </c>
      <c r="D2750" s="59" t="s">
        <v>803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ht="15.2" spans="1:10">
      <c r="A2751" s="58" t="s">
        <v>3438</v>
      </c>
      <c r="B2751" s="59">
        <v>1379.21</v>
      </c>
      <c r="C2751" s="59">
        <v>2099</v>
      </c>
      <c r="D2751" s="59" t="s">
        <v>803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ht="15.2" spans="1:10">
      <c r="A2752" s="58" t="s">
        <v>3439</v>
      </c>
      <c r="B2752" s="59">
        <v>283</v>
      </c>
      <c r="C2752" s="59">
        <v>614</v>
      </c>
      <c r="D2752" s="59" t="s">
        <v>801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ht="15.2" spans="1:10">
      <c r="A2753" s="58" t="s">
        <v>3440</v>
      </c>
      <c r="B2753" s="59">
        <v>1456.54</v>
      </c>
      <c r="C2753" s="59">
        <v>2399</v>
      </c>
      <c r="D2753" s="59" t="s">
        <v>803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ht="15.2" spans="1:10">
      <c r="A2754" s="58" t="s">
        <v>3441</v>
      </c>
      <c r="B2754" s="59">
        <v>4124.41</v>
      </c>
      <c r="C2754" s="59">
        <v>6999</v>
      </c>
      <c r="D2754" s="59" t="s">
        <v>803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ht="15.2" spans="1:10">
      <c r="A2755" s="58" t="s">
        <v>3442</v>
      </c>
      <c r="B2755" s="59">
        <v>1395.82</v>
      </c>
      <c r="C2755" s="59">
        <v>2299</v>
      </c>
      <c r="D2755" s="59" t="s">
        <v>803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ht="15.2" spans="1:10">
      <c r="A2756" s="58" t="s">
        <v>3443</v>
      </c>
      <c r="B2756" s="59">
        <v>399</v>
      </c>
      <c r="C2756" s="59">
        <v>892</v>
      </c>
      <c r="D2756" s="59" t="s">
        <v>801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ht="15.2" spans="1:10">
      <c r="A2757" s="58" t="s">
        <v>3444</v>
      </c>
      <c r="B2757" s="59">
        <v>1287.76</v>
      </c>
      <c r="C2757" s="59">
        <v>1999</v>
      </c>
      <c r="D2757" s="59" t="s">
        <v>803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ht="15.2" spans="1:10">
      <c r="A2758" s="58" t="s">
        <v>3445</v>
      </c>
      <c r="B2758" s="59">
        <v>1354.77</v>
      </c>
      <c r="C2758" s="59">
        <v>2299</v>
      </c>
      <c r="D2758" s="59" t="s">
        <v>803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ht="15.2" spans="1:10">
      <c r="A2759" s="58" t="s">
        <v>3446</v>
      </c>
      <c r="B2759" s="59">
        <v>656.42</v>
      </c>
      <c r="C2759" s="59">
        <v>999</v>
      </c>
      <c r="D2759" s="59" t="s">
        <v>803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ht="15.2" spans="1:10">
      <c r="A2760" s="58" t="s">
        <v>3447</v>
      </c>
      <c r="B2760" s="59">
        <v>1331</v>
      </c>
      <c r="C2760" s="59">
        <v>3439</v>
      </c>
      <c r="D2760" s="59" t="s">
        <v>801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</v>
      </c>
      <c r="J2760" s="60">
        <f t="shared" si="132"/>
        <v>4642.65</v>
      </c>
    </row>
    <row r="2761" ht="15.2" spans="1:10">
      <c r="A2761" s="58" t="s">
        <v>3448</v>
      </c>
      <c r="B2761" s="59">
        <v>564</v>
      </c>
      <c r="C2761" s="59">
        <v>1431</v>
      </c>
      <c r="D2761" s="59" t="s">
        <v>801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</v>
      </c>
      <c r="J2761" s="60">
        <f t="shared" si="132"/>
        <v>4221.45</v>
      </c>
    </row>
    <row r="2762" ht="15.2" spans="1:10">
      <c r="A2762" s="58" t="s">
        <v>3449</v>
      </c>
      <c r="B2762" s="59">
        <v>1050.67</v>
      </c>
      <c r="C2762" s="59">
        <v>1599</v>
      </c>
      <c r="D2762" s="59" t="s">
        <v>803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ht="15.2" spans="1:10">
      <c r="A2763" s="58" t="s">
        <v>3450</v>
      </c>
      <c r="B2763" s="59">
        <v>410.5</v>
      </c>
      <c r="C2763" s="59">
        <v>1025</v>
      </c>
      <c r="D2763" s="59" t="s">
        <v>801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</v>
      </c>
      <c r="J2763" s="60">
        <f t="shared" si="132"/>
        <v>410</v>
      </c>
    </row>
    <row r="2764" ht="15.2" spans="1:10">
      <c r="A2764" s="58" t="s">
        <v>3451</v>
      </c>
      <c r="B2764" s="59">
        <v>524</v>
      </c>
      <c r="C2764" s="59">
        <v>1299</v>
      </c>
      <c r="D2764" s="59" t="s">
        <v>801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</v>
      </c>
      <c r="J2764" s="60">
        <f t="shared" si="132"/>
        <v>8313.6</v>
      </c>
    </row>
    <row r="2765" ht="15.2" spans="1:10">
      <c r="A2765" s="58" t="s">
        <v>3452</v>
      </c>
      <c r="B2765" s="59">
        <v>2002.96</v>
      </c>
      <c r="C2765" s="59">
        <v>3299</v>
      </c>
      <c r="D2765" s="59" t="s">
        <v>803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ht="15.2" spans="1:10">
      <c r="A2766" s="58" t="s">
        <v>3453</v>
      </c>
      <c r="B2766" s="59">
        <v>1760.11</v>
      </c>
      <c r="C2766" s="59">
        <v>2899</v>
      </c>
      <c r="D2766" s="59" t="s">
        <v>803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ht="15.2" spans="1:10">
      <c r="A2767" s="58" t="s">
        <v>3454</v>
      </c>
      <c r="B2767" s="59">
        <v>1060.13</v>
      </c>
      <c r="C2767" s="59">
        <v>1799</v>
      </c>
      <c r="D2767" s="59" t="s">
        <v>803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</v>
      </c>
      <c r="J2767" s="60">
        <f t="shared" si="132"/>
        <v>1799</v>
      </c>
    </row>
    <row r="2768" ht="15.2" spans="1:10">
      <c r="A2768" s="58" t="s">
        <v>3455</v>
      </c>
      <c r="B2768" s="59">
        <v>787.84</v>
      </c>
      <c r="C2768" s="59">
        <v>1199</v>
      </c>
      <c r="D2768" s="59" t="s">
        <v>803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ht="15.2" spans="1:10">
      <c r="A2769" s="58" t="s">
        <v>3456</v>
      </c>
      <c r="B2769" s="59">
        <v>970.78</v>
      </c>
      <c r="C2769" s="59">
        <v>1499</v>
      </c>
      <c r="D2769" s="59" t="s">
        <v>803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ht="15.2" spans="1:10">
      <c r="A2770" s="58" t="s">
        <v>3457</v>
      </c>
      <c r="B2770" s="59">
        <v>366</v>
      </c>
      <c r="C2770" s="59">
        <v>855</v>
      </c>
      <c r="D2770" s="59" t="s">
        <v>801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</v>
      </c>
      <c r="J2770" s="60">
        <f t="shared" si="132"/>
        <v>384.75</v>
      </c>
    </row>
    <row r="2771" ht="15.2" spans="1:10">
      <c r="A2771" s="58" t="s">
        <v>3458</v>
      </c>
      <c r="B2771" s="59">
        <v>2102</v>
      </c>
      <c r="C2771" s="59">
        <v>3199</v>
      </c>
      <c r="D2771" s="59" t="s">
        <v>803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ht="15.2" spans="1:10">
      <c r="A2772" s="58" t="s">
        <v>3459</v>
      </c>
      <c r="B2772" s="59">
        <v>2610.11</v>
      </c>
      <c r="C2772" s="59">
        <v>4299</v>
      </c>
      <c r="D2772" s="59" t="s">
        <v>803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ht="15.2" spans="1:10">
      <c r="A2773" s="58" t="s">
        <v>3460</v>
      </c>
      <c r="B2773" s="59">
        <v>1674.28</v>
      </c>
      <c r="C2773" s="59">
        <v>2599</v>
      </c>
      <c r="D2773" s="59" t="s">
        <v>803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ht="15.2" spans="1:10">
      <c r="A2774" s="58" t="s">
        <v>3461</v>
      </c>
      <c r="B2774" s="59">
        <v>616</v>
      </c>
      <c r="C2774" s="59">
        <v>1371</v>
      </c>
      <c r="D2774" s="59" t="s">
        <v>801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ht="15.2" spans="1:10">
      <c r="A2775" s="58" t="s">
        <v>3462</v>
      </c>
      <c r="B2775" s="59">
        <v>345</v>
      </c>
      <c r="C2775" s="59">
        <v>745</v>
      </c>
      <c r="D2775" s="59" t="s">
        <v>801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ht="15.2" spans="1:10">
      <c r="A2776" s="58" t="s">
        <v>3463</v>
      </c>
      <c r="B2776" s="59">
        <v>1456.54</v>
      </c>
      <c r="C2776" s="59">
        <v>2399</v>
      </c>
      <c r="D2776" s="59" t="s">
        <v>803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ht="15.2" spans="1:10">
      <c r="A2777" s="58" t="s">
        <v>3464</v>
      </c>
      <c r="B2777" s="59">
        <v>1444.92</v>
      </c>
      <c r="C2777" s="59">
        <v>2199</v>
      </c>
      <c r="D2777" s="59" t="s">
        <v>803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ht="15.2" spans="1:10">
      <c r="A2778" s="58" t="s">
        <v>3465</v>
      </c>
      <c r="B2778" s="59">
        <v>1152.96</v>
      </c>
      <c r="C2778" s="59">
        <v>1899</v>
      </c>
      <c r="D2778" s="59" t="s">
        <v>803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ht="15.2" spans="1:10">
      <c r="A2779" s="58" t="s">
        <v>3466</v>
      </c>
      <c r="B2779" s="59">
        <v>1274.4</v>
      </c>
      <c r="C2779" s="59">
        <v>2099</v>
      </c>
      <c r="D2779" s="59" t="s">
        <v>803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ht="15.2" spans="1:10">
      <c r="A2780" s="58" t="s">
        <v>3467</v>
      </c>
      <c r="B2780" s="59">
        <v>329</v>
      </c>
      <c r="C2780" s="59">
        <v>710</v>
      </c>
      <c r="D2780" s="59" t="s">
        <v>801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ht="15.2" spans="1:10">
      <c r="A2781" s="58" t="s">
        <v>3468</v>
      </c>
      <c r="B2781" s="59">
        <v>1092.25</v>
      </c>
      <c r="C2781" s="59">
        <v>1799</v>
      </c>
      <c r="D2781" s="59" t="s">
        <v>803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ht="15.2" spans="1:10">
      <c r="A2782" s="58" t="s">
        <v>3469</v>
      </c>
      <c r="B2782" s="59">
        <v>499</v>
      </c>
      <c r="C2782" s="59">
        <v>1048</v>
      </c>
      <c r="D2782" s="59" t="s">
        <v>801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ht="15.2" spans="1:10">
      <c r="A2783" s="58" t="s">
        <v>3470</v>
      </c>
      <c r="B2783" s="59">
        <v>1213.68</v>
      </c>
      <c r="C2783" s="59">
        <v>1999</v>
      </c>
      <c r="D2783" s="59" t="s">
        <v>803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ht="15.2" spans="1:10">
      <c r="A2784" s="58" t="s">
        <v>3471</v>
      </c>
      <c r="B2784" s="59">
        <v>1395.82</v>
      </c>
      <c r="C2784" s="59">
        <v>2299</v>
      </c>
      <c r="D2784" s="59" t="s">
        <v>803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ht="15.2" spans="1:10">
      <c r="A2785" s="58" t="s">
        <v>3472</v>
      </c>
      <c r="B2785" s="59">
        <v>906.02</v>
      </c>
      <c r="C2785" s="59">
        <v>1399</v>
      </c>
      <c r="D2785" s="59" t="s">
        <v>803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ht="15.2" spans="1:10">
      <c r="A2786" s="58" t="s">
        <v>83</v>
      </c>
      <c r="B2786" s="59">
        <v>1499</v>
      </c>
      <c r="C2786" s="59">
        <v>4251</v>
      </c>
      <c r="D2786" s="59" t="s">
        <v>801</v>
      </c>
      <c r="E2786" s="59">
        <v>1.1</v>
      </c>
      <c r="F2786" s="59">
        <v>1.1</v>
      </c>
      <c r="G2786" s="59">
        <v>0</v>
      </c>
      <c r="H2786" s="60">
        <f t="shared" si="133"/>
        <v>1.1</v>
      </c>
      <c r="I2786" s="60">
        <f t="shared" si="131"/>
        <v>1648.9</v>
      </c>
      <c r="J2786" s="60">
        <f t="shared" si="132"/>
        <v>4676.1</v>
      </c>
    </row>
    <row r="2787" ht="15.2" spans="1:10">
      <c r="A2787" s="58" t="s">
        <v>3473</v>
      </c>
      <c r="B2787" s="59">
        <v>1395.82</v>
      </c>
      <c r="C2787" s="59">
        <v>2299</v>
      </c>
      <c r="D2787" s="59" t="s">
        <v>803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ht="15.2" spans="1:10">
      <c r="A2788" s="58" t="s">
        <v>701</v>
      </c>
      <c r="B2788" s="59">
        <v>784</v>
      </c>
      <c r="C2788" s="59">
        <v>1999</v>
      </c>
      <c r="D2788" s="59" t="s">
        <v>801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</v>
      </c>
      <c r="J2788" s="60">
        <f t="shared" si="132"/>
        <v>5397.3</v>
      </c>
    </row>
    <row r="2789" ht="15.2" spans="1:10">
      <c r="A2789" s="58" t="s">
        <v>3474</v>
      </c>
      <c r="B2789" s="59">
        <v>1576.34</v>
      </c>
      <c r="C2789" s="59">
        <v>2399</v>
      </c>
      <c r="D2789" s="59" t="s">
        <v>803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ht="15.2" spans="1:10">
      <c r="A2790" s="58" t="s">
        <v>3475</v>
      </c>
      <c r="B2790" s="59">
        <v>1839.16</v>
      </c>
      <c r="C2790" s="59">
        <v>2799</v>
      </c>
      <c r="D2790" s="59" t="s">
        <v>803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ht="15.2" spans="1:10">
      <c r="A2791" s="58" t="s">
        <v>3476</v>
      </c>
      <c r="B2791" s="59">
        <v>614</v>
      </c>
      <c r="C2791" s="59">
        <v>1396</v>
      </c>
      <c r="D2791" s="59" t="s">
        <v>801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</v>
      </c>
      <c r="J2791" s="60">
        <f t="shared" si="132"/>
        <v>279.2</v>
      </c>
    </row>
    <row r="2792" ht="15.2" spans="1:10">
      <c r="A2792" s="58" t="s">
        <v>3477</v>
      </c>
      <c r="B2792" s="59">
        <v>906.02</v>
      </c>
      <c r="C2792" s="59">
        <v>1399</v>
      </c>
      <c r="D2792" s="59" t="s">
        <v>803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ht="15.2" spans="1:10">
      <c r="A2793" s="58" t="s">
        <v>3478</v>
      </c>
      <c r="B2793" s="59">
        <v>5463.68</v>
      </c>
      <c r="C2793" s="59">
        <v>8999</v>
      </c>
      <c r="D2793" s="59" t="s">
        <v>803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ht="15.2" spans="1:10">
      <c r="A2794" s="58" t="s">
        <v>3479</v>
      </c>
      <c r="B2794" s="59">
        <v>559.3</v>
      </c>
      <c r="C2794" s="59">
        <v>1678</v>
      </c>
      <c r="D2794" s="59" t="s">
        <v>801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6543.81</v>
      </c>
      <c r="J2794" s="60">
        <f t="shared" si="132"/>
        <v>19632.6</v>
      </c>
    </row>
    <row r="2795" ht="15.2" spans="1:10">
      <c r="A2795" s="58" t="s">
        <v>3480</v>
      </c>
      <c r="B2795" s="59">
        <v>599</v>
      </c>
      <c r="C2795" s="59">
        <v>1338</v>
      </c>
      <c r="D2795" s="59" t="s">
        <v>801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ht="15.2" spans="1:10">
      <c r="A2796" s="58" t="s">
        <v>3481</v>
      </c>
      <c r="B2796" s="59">
        <v>1213.68</v>
      </c>
      <c r="C2796" s="59">
        <v>1999</v>
      </c>
      <c r="D2796" s="59" t="s">
        <v>803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ht="15.2" spans="1:10">
      <c r="A2797" s="58" t="s">
        <v>3482</v>
      </c>
      <c r="B2797" s="59">
        <v>476</v>
      </c>
      <c r="C2797" s="59">
        <v>1086</v>
      </c>
      <c r="D2797" s="59" t="s">
        <v>801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ht="15.2" spans="1:10">
      <c r="A2798" s="58" t="s">
        <v>3483</v>
      </c>
      <c r="B2798" s="59">
        <v>1274.39</v>
      </c>
      <c r="C2798" s="59">
        <v>2099</v>
      </c>
      <c r="D2798" s="59" t="s">
        <v>803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</v>
      </c>
      <c r="J2798" s="60">
        <f t="shared" si="132"/>
        <v>4198</v>
      </c>
    </row>
    <row r="2799" ht="15.2" spans="1:10">
      <c r="A2799" s="58" t="s">
        <v>3484</v>
      </c>
      <c r="B2799" s="59">
        <v>1177.98</v>
      </c>
      <c r="C2799" s="59">
        <v>1999</v>
      </c>
      <c r="D2799" s="59" t="s">
        <v>803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ht="15.2" spans="1:10">
      <c r="A2800" s="58" t="s">
        <v>3485</v>
      </c>
      <c r="B2800" s="59">
        <v>1738.7</v>
      </c>
      <c r="C2800" s="59">
        <v>2699</v>
      </c>
      <c r="D2800" s="59" t="s">
        <v>803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ht="15.2" spans="1:10">
      <c r="A2801" s="58" t="s">
        <v>264</v>
      </c>
      <c r="B2801" s="59">
        <v>338</v>
      </c>
      <c r="C2801" s="59">
        <v>785</v>
      </c>
      <c r="D2801" s="59" t="s">
        <v>801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2737.8</v>
      </c>
      <c r="J2801" s="60">
        <f t="shared" si="132"/>
        <v>6358.5</v>
      </c>
    </row>
    <row r="2802" ht="15.2" spans="1:10">
      <c r="A2802" s="58" t="s">
        <v>3486</v>
      </c>
      <c r="B2802" s="59">
        <v>748</v>
      </c>
      <c r="C2802" s="59">
        <v>1773</v>
      </c>
      <c r="D2802" s="59" t="s">
        <v>801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ht="15.2" spans="1:10">
      <c r="A2803" s="58" t="s">
        <v>3487</v>
      </c>
      <c r="B2803" s="59">
        <v>371.6</v>
      </c>
      <c r="C2803" s="59">
        <v>1154</v>
      </c>
      <c r="D2803" s="59" t="s">
        <v>801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ht="15.2" spans="1:10">
      <c r="A2804" s="58" t="s">
        <v>3488</v>
      </c>
      <c r="B2804" s="59">
        <v>1773.46</v>
      </c>
      <c r="C2804" s="59">
        <v>2699</v>
      </c>
      <c r="D2804" s="59" t="s">
        <v>803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ht="15.2" spans="1:10">
      <c r="A2805" s="58" t="s">
        <v>3489</v>
      </c>
      <c r="B2805" s="59">
        <v>259</v>
      </c>
      <c r="C2805" s="59">
        <v>601</v>
      </c>
      <c r="D2805" s="59" t="s">
        <v>801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ht="15.2" spans="1:10">
      <c r="A2806" s="58" t="s">
        <v>3490</v>
      </c>
      <c r="B2806" s="59">
        <v>374</v>
      </c>
      <c r="C2806" s="59">
        <v>951</v>
      </c>
      <c r="D2806" s="59" t="s">
        <v>801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1331.4</v>
      </c>
    </row>
    <row r="2807" ht="15.2" spans="1:10">
      <c r="A2807" s="58" t="s">
        <v>3491</v>
      </c>
      <c r="B2807" s="59">
        <v>1456.54</v>
      </c>
      <c r="C2807" s="59">
        <v>2399</v>
      </c>
      <c r="D2807" s="59" t="s">
        <v>803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ht="15.2" spans="1:10">
      <c r="A2808" s="58" t="s">
        <v>3492</v>
      </c>
      <c r="B2808" s="59">
        <v>623</v>
      </c>
      <c r="C2808" s="59">
        <v>1387</v>
      </c>
      <c r="D2808" s="59" t="s">
        <v>801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4859.4</v>
      </c>
      <c r="J2808" s="60">
        <f t="shared" si="132"/>
        <v>10818.6</v>
      </c>
    </row>
    <row r="2809" ht="15.2" spans="1:10">
      <c r="A2809" s="58" t="s">
        <v>3493</v>
      </c>
      <c r="B2809" s="59">
        <v>1444.92</v>
      </c>
      <c r="C2809" s="59">
        <v>2199</v>
      </c>
      <c r="D2809" s="59" t="s">
        <v>803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ht="15.2" spans="1:10">
      <c r="A2810" s="58" t="s">
        <v>3494</v>
      </c>
      <c r="B2810" s="59">
        <v>1152.96</v>
      </c>
      <c r="C2810" s="59">
        <v>1899</v>
      </c>
      <c r="D2810" s="59" t="s">
        <v>803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ht="15.2" spans="1:10">
      <c r="A2811" s="58" t="s">
        <v>3495</v>
      </c>
      <c r="B2811" s="59">
        <v>970.78</v>
      </c>
      <c r="C2811" s="59">
        <v>1499</v>
      </c>
      <c r="D2811" s="59" t="s">
        <v>803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ht="15.2" spans="1:10">
      <c r="A2812" s="58" t="s">
        <v>3496</v>
      </c>
      <c r="B2812" s="59">
        <v>776.49</v>
      </c>
      <c r="C2812" s="59">
        <v>1199</v>
      </c>
      <c r="D2812" s="59" t="s">
        <v>803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ht="15.2" spans="1:10">
      <c r="A2813" s="58" t="s">
        <v>3497</v>
      </c>
      <c r="B2813" s="59">
        <v>1760.11</v>
      </c>
      <c r="C2813" s="59">
        <v>2899</v>
      </c>
      <c r="D2813" s="59" t="s">
        <v>803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ht="15.2" spans="1:10">
      <c r="A2814" s="58" t="s">
        <v>3498</v>
      </c>
      <c r="B2814" s="59">
        <v>1354.77</v>
      </c>
      <c r="C2814" s="59">
        <v>2299</v>
      </c>
      <c r="D2814" s="59" t="s">
        <v>803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ht="15.2" spans="1:10">
      <c r="A2815" s="58" t="s">
        <v>3499</v>
      </c>
      <c r="B2815" s="59">
        <v>2167.7</v>
      </c>
      <c r="C2815" s="59">
        <v>3299</v>
      </c>
      <c r="D2815" s="59" t="s">
        <v>803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ht="15.2" spans="1:10">
      <c r="A2816" s="58" t="s">
        <v>3500</v>
      </c>
      <c r="B2816" s="59">
        <v>489</v>
      </c>
      <c r="C2816" s="59">
        <v>1125</v>
      </c>
      <c r="D2816" s="59" t="s">
        <v>801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ht="15.2" spans="1:10">
      <c r="A2817" s="58" t="s">
        <v>3501</v>
      </c>
      <c r="B2817" s="59">
        <v>1182.09</v>
      </c>
      <c r="C2817" s="59">
        <v>1799</v>
      </c>
      <c r="D2817" s="59" t="s">
        <v>803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1182.09</v>
      </c>
      <c r="J2817" s="60">
        <f t="shared" si="132"/>
        <v>1799</v>
      </c>
    </row>
    <row r="2818" ht="15.2" spans="1:10">
      <c r="A2818" s="58" t="s">
        <v>3502</v>
      </c>
      <c r="B2818" s="59">
        <v>564</v>
      </c>
      <c r="C2818" s="59">
        <v>1393</v>
      </c>
      <c r="D2818" s="59" t="s">
        <v>801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ht="15.2" spans="1:10">
      <c r="A2819" s="58" t="s">
        <v>3503</v>
      </c>
      <c r="B2819" s="59">
        <v>452.69</v>
      </c>
      <c r="C2819" s="59">
        <v>699</v>
      </c>
      <c r="D2819" s="59" t="s">
        <v>803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ht="15.2" spans="1:10">
      <c r="A2820" s="58" t="s">
        <v>3504</v>
      </c>
      <c r="B2820" s="59">
        <v>1313.5</v>
      </c>
      <c r="C2820" s="59">
        <v>1999</v>
      </c>
      <c r="D2820" s="59" t="s">
        <v>803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ht="15.2" spans="1:10">
      <c r="A2821" s="58" t="s">
        <v>3505</v>
      </c>
      <c r="B2821" s="59">
        <v>1576.34</v>
      </c>
      <c r="C2821" s="59">
        <v>2399</v>
      </c>
      <c r="D2821" s="59" t="s">
        <v>803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ht="15.2" spans="1:10">
      <c r="A2822" s="58" t="s">
        <v>3506</v>
      </c>
      <c r="B2822" s="59">
        <v>385</v>
      </c>
      <c r="C2822" s="59">
        <v>809</v>
      </c>
      <c r="D2822" s="59" t="s">
        <v>801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ht="15.2" spans="1:10">
      <c r="A2823" s="58" t="s">
        <v>3507</v>
      </c>
      <c r="B2823" s="59">
        <v>8499.39</v>
      </c>
      <c r="C2823" s="59">
        <v>13999</v>
      </c>
      <c r="D2823" s="59" t="s">
        <v>803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ht="15.2" spans="1:10">
      <c r="A2824" s="58" t="s">
        <v>3508</v>
      </c>
      <c r="B2824" s="59">
        <v>1313.5</v>
      </c>
      <c r="C2824" s="59">
        <v>1999</v>
      </c>
      <c r="D2824" s="59" t="s">
        <v>803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ht="15.2" spans="1:10">
      <c r="A2825" s="58" t="s">
        <v>3509</v>
      </c>
      <c r="B2825" s="59">
        <v>555</v>
      </c>
      <c r="C2825" s="59">
        <v>1241</v>
      </c>
      <c r="D2825" s="59" t="s">
        <v>801</v>
      </c>
      <c r="E2825" s="59">
        <v>8.8</v>
      </c>
      <c r="F2825" s="59">
        <v>8.8</v>
      </c>
      <c r="G2825" s="59">
        <v>0</v>
      </c>
      <c r="H2825" s="60">
        <f t="shared" si="133"/>
        <v>8.8</v>
      </c>
      <c r="I2825" s="60">
        <f t="shared" si="134"/>
        <v>4884</v>
      </c>
      <c r="J2825" s="60">
        <f t="shared" si="135"/>
        <v>10920.8</v>
      </c>
    </row>
    <row r="2826" ht="15.2" spans="1:10">
      <c r="A2826" s="58" t="s">
        <v>3510</v>
      </c>
      <c r="B2826" s="59">
        <v>294</v>
      </c>
      <c r="C2826" s="59">
        <v>720</v>
      </c>
      <c r="D2826" s="59" t="s">
        <v>801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ht="15.2" spans="1:10">
      <c r="A2827" s="58" t="s">
        <v>3511</v>
      </c>
      <c r="B2827" s="59">
        <v>1354.77</v>
      </c>
      <c r="C2827" s="59">
        <v>2299</v>
      </c>
      <c r="D2827" s="59" t="s">
        <v>803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ht="15.2" spans="1:10">
      <c r="A2828" s="58" t="s">
        <v>3512</v>
      </c>
      <c r="B2828" s="59">
        <v>499</v>
      </c>
      <c r="C2828" s="59">
        <v>1048</v>
      </c>
      <c r="D2828" s="59" t="s">
        <v>801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ht="15.2" spans="1:10">
      <c r="A2829" s="58" t="s">
        <v>3513</v>
      </c>
      <c r="B2829" s="59">
        <v>1545.44</v>
      </c>
      <c r="C2829" s="59">
        <v>2399</v>
      </c>
      <c r="D2829" s="59" t="s">
        <v>803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ht="15.2" spans="1:10">
      <c r="A2830" s="58" t="s">
        <v>3514</v>
      </c>
      <c r="B2830" s="59">
        <v>525</v>
      </c>
      <c r="C2830" s="59">
        <v>1172</v>
      </c>
      <c r="D2830" s="59" t="s">
        <v>801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ht="15.2" spans="1:10">
      <c r="A2831" s="58" t="s">
        <v>3515</v>
      </c>
      <c r="B2831" s="59">
        <v>1576.34</v>
      </c>
      <c r="C2831" s="59">
        <v>2399</v>
      </c>
      <c r="D2831" s="59" t="s">
        <v>803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ht="15.2" spans="1:10">
      <c r="A2832" s="58" t="s">
        <v>694</v>
      </c>
      <c r="B2832" s="59">
        <v>332.5</v>
      </c>
      <c r="C2832" s="59">
        <v>998</v>
      </c>
      <c r="D2832" s="59" t="s">
        <v>801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3890.25</v>
      </c>
      <c r="J2832" s="60">
        <f t="shared" si="135"/>
        <v>11676.6</v>
      </c>
    </row>
    <row r="2833" ht="15.2" spans="1:10">
      <c r="A2833" s="58" t="s">
        <v>3516</v>
      </c>
      <c r="B2833" s="59">
        <v>646.97</v>
      </c>
      <c r="C2833" s="59">
        <v>999</v>
      </c>
      <c r="D2833" s="59" t="s">
        <v>803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ht="15.2" spans="1:10">
      <c r="A2834" s="58" t="s">
        <v>3517</v>
      </c>
      <c r="B2834" s="59">
        <v>1456.54</v>
      </c>
      <c r="C2834" s="59">
        <v>2299</v>
      </c>
      <c r="D2834" s="59" t="s">
        <v>803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ht="15.2" spans="1:10">
      <c r="A2835" s="58" t="s">
        <v>3518</v>
      </c>
      <c r="B2835" s="59">
        <v>1213.68</v>
      </c>
      <c r="C2835" s="59">
        <v>1999</v>
      </c>
      <c r="D2835" s="59" t="s">
        <v>803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ht="15.2" spans="1:10">
      <c r="A2836" s="58" t="s">
        <v>3519</v>
      </c>
      <c r="B2836" s="59">
        <v>1177.98</v>
      </c>
      <c r="C2836" s="59">
        <v>1999</v>
      </c>
      <c r="D2836" s="59" t="s">
        <v>803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ht="15.2" spans="1:10">
      <c r="A2837" s="58" t="s">
        <v>3520</v>
      </c>
      <c r="B2837" s="59">
        <v>1177.98</v>
      </c>
      <c r="C2837" s="59">
        <v>1999</v>
      </c>
      <c r="D2837" s="59" t="s">
        <v>803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ht="15.2" spans="1:10">
      <c r="A2838" s="58" t="s">
        <v>44</v>
      </c>
      <c r="B2838" s="59">
        <v>330</v>
      </c>
      <c r="C2838" s="59">
        <v>1117</v>
      </c>
      <c r="D2838" s="59" t="s">
        <v>801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7392</v>
      </c>
      <c r="J2838" s="60">
        <f t="shared" si="135"/>
        <v>25020.8</v>
      </c>
    </row>
    <row r="2839" ht="15.2" spans="1:10">
      <c r="A2839" s="58" t="s">
        <v>3521</v>
      </c>
      <c r="B2839" s="59">
        <v>1313.5</v>
      </c>
      <c r="C2839" s="59">
        <v>1999</v>
      </c>
      <c r="D2839" s="59" t="s">
        <v>803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ht="15.2" spans="1:10">
      <c r="A2840" s="58" t="s">
        <v>3522</v>
      </c>
      <c r="B2840" s="59">
        <v>1456.54</v>
      </c>
      <c r="C2840" s="59">
        <v>2399</v>
      </c>
      <c r="D2840" s="59" t="s">
        <v>803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ht="15.2" spans="1:10">
      <c r="A2841" s="58" t="s">
        <v>3523</v>
      </c>
      <c r="B2841" s="59">
        <v>1649.41</v>
      </c>
      <c r="C2841" s="59">
        <v>2799</v>
      </c>
      <c r="D2841" s="59" t="s">
        <v>803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ht="15.2" spans="1:10">
      <c r="A2842" s="58" t="s">
        <v>3524</v>
      </c>
      <c r="B2842" s="59">
        <v>2002.96</v>
      </c>
      <c r="C2842" s="59">
        <v>3299</v>
      </c>
      <c r="D2842" s="59" t="s">
        <v>803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ht="15.2" spans="1:10">
      <c r="A2843" s="58" t="s">
        <v>3525</v>
      </c>
      <c r="B2843" s="59">
        <v>333</v>
      </c>
      <c r="C2843" s="59">
        <v>790</v>
      </c>
      <c r="D2843" s="59" t="s">
        <v>801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ht="15.2" spans="1:10">
      <c r="A2844" s="58" t="s">
        <v>3526</v>
      </c>
      <c r="B2844" s="59">
        <v>436</v>
      </c>
      <c r="C2844" s="59">
        <v>1025</v>
      </c>
      <c r="D2844" s="59" t="s">
        <v>801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ht="15.2" spans="1:10">
      <c r="A2845" s="58" t="s">
        <v>3527</v>
      </c>
      <c r="B2845" s="59">
        <v>1416.6</v>
      </c>
      <c r="C2845" s="59">
        <v>2199</v>
      </c>
      <c r="D2845" s="59" t="s">
        <v>803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ht="15.2" spans="1:10">
      <c r="A2846" s="58" t="s">
        <v>3528</v>
      </c>
      <c r="B2846" s="59">
        <v>351.7</v>
      </c>
      <c r="C2846" s="59">
        <v>1165</v>
      </c>
      <c r="D2846" s="59" t="s">
        <v>801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ht="15.2" spans="1:10">
      <c r="A2847" s="58" t="s">
        <v>3529</v>
      </c>
      <c r="B2847" s="59">
        <v>1274.39</v>
      </c>
      <c r="C2847" s="59">
        <v>2099</v>
      </c>
      <c r="D2847" s="59" t="s">
        <v>803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ht="15.2" spans="1:10">
      <c r="A2848" s="58" t="s">
        <v>3530</v>
      </c>
      <c r="B2848" s="59">
        <v>1313.5</v>
      </c>
      <c r="C2848" s="59">
        <v>1999</v>
      </c>
      <c r="D2848" s="59" t="s">
        <v>803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ht="15.2" spans="1:10">
      <c r="A2849" s="58" t="s">
        <v>3531</v>
      </c>
      <c r="B2849" s="59">
        <v>282</v>
      </c>
      <c r="C2849" s="59">
        <v>705</v>
      </c>
      <c r="D2849" s="59" t="s">
        <v>801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3158.4</v>
      </c>
      <c r="J2849" s="60">
        <f t="shared" si="135"/>
        <v>7896</v>
      </c>
    </row>
    <row r="2850" ht="15.2" spans="1:10">
      <c r="A2850" s="58" t="s">
        <v>3532</v>
      </c>
      <c r="B2850" s="59">
        <v>1213.68</v>
      </c>
      <c r="C2850" s="59">
        <v>1999</v>
      </c>
      <c r="D2850" s="59" t="s">
        <v>803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ht="15.2" spans="1:10">
      <c r="A2851" s="58" t="s">
        <v>3533</v>
      </c>
      <c r="B2851" s="59">
        <v>913.24</v>
      </c>
      <c r="C2851" s="59">
        <v>1399</v>
      </c>
      <c r="D2851" s="59" t="s">
        <v>803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ht="15.2" spans="1:10">
      <c r="A2852" s="58" t="s">
        <v>3534</v>
      </c>
      <c r="B2852" s="59">
        <v>1379.21</v>
      </c>
      <c r="C2852" s="59">
        <v>2099</v>
      </c>
      <c r="D2852" s="59" t="s">
        <v>803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ht="15.2" spans="1:10">
      <c r="A2853" s="58" t="s">
        <v>3535</v>
      </c>
      <c r="B2853" s="59">
        <v>385</v>
      </c>
      <c r="C2853" s="59">
        <v>913</v>
      </c>
      <c r="D2853" s="59" t="s">
        <v>801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</v>
      </c>
    </row>
    <row r="2854" ht="15.2" spans="1:10">
      <c r="A2854" s="58" t="s">
        <v>3536</v>
      </c>
      <c r="B2854" s="59">
        <v>294</v>
      </c>
      <c r="C2854" s="59">
        <v>720</v>
      </c>
      <c r="D2854" s="59" t="s">
        <v>801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ht="15.2" spans="1:10">
      <c r="A2855" s="58" t="s">
        <v>3537</v>
      </c>
      <c r="B2855" s="59">
        <v>360</v>
      </c>
      <c r="C2855" s="59">
        <v>840</v>
      </c>
      <c r="D2855" s="59" t="s">
        <v>801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ht="15.2" spans="1:10">
      <c r="A2856" s="58" t="s">
        <v>3538</v>
      </c>
      <c r="B2856" s="59">
        <v>1287.76</v>
      </c>
      <c r="C2856" s="59">
        <v>1999</v>
      </c>
      <c r="D2856" s="59" t="s">
        <v>803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ht="15.2" spans="1:10">
      <c r="A2857" s="58" t="s">
        <v>3539</v>
      </c>
      <c r="B2857" s="59">
        <v>5302.98</v>
      </c>
      <c r="C2857" s="59">
        <v>8999</v>
      </c>
      <c r="D2857" s="59" t="s">
        <v>803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ht="15.2" spans="1:10">
      <c r="A2858" s="58" t="s">
        <v>3540</v>
      </c>
      <c r="B2858" s="59">
        <v>1050.67</v>
      </c>
      <c r="C2858" s="59">
        <v>1599</v>
      </c>
      <c r="D2858" s="59" t="s">
        <v>803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ht="15.2" spans="1:10">
      <c r="A2859" s="58" t="s">
        <v>3541</v>
      </c>
      <c r="B2859" s="59">
        <v>1904.87</v>
      </c>
      <c r="C2859" s="59">
        <v>2899</v>
      </c>
      <c r="D2859" s="59" t="s">
        <v>803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ht="15.2" spans="1:10">
      <c r="A2860" s="58" t="s">
        <v>3542</v>
      </c>
      <c r="B2860" s="59">
        <v>1213.68</v>
      </c>
      <c r="C2860" s="59">
        <v>1999</v>
      </c>
      <c r="D2860" s="59" t="s">
        <v>803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ht="15.2" spans="1:10">
      <c r="A2861" s="58" t="s">
        <v>3543</v>
      </c>
      <c r="B2861" s="59">
        <v>349</v>
      </c>
      <c r="C2861" s="59">
        <v>770</v>
      </c>
      <c r="D2861" s="59" t="s">
        <v>801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ht="15.2" spans="1:10">
      <c r="A2862" s="58" t="s">
        <v>3544</v>
      </c>
      <c r="B2862" s="59">
        <v>1247.8</v>
      </c>
      <c r="C2862" s="59">
        <v>1899</v>
      </c>
      <c r="D2862" s="59" t="s">
        <v>803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ht="15.2" spans="1:10">
      <c r="A2863" s="58" t="s">
        <v>3545</v>
      </c>
      <c r="B2863" s="59">
        <v>909.4</v>
      </c>
      <c r="C2863" s="59">
        <v>1399</v>
      </c>
      <c r="D2863" s="59" t="s">
        <v>803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ht="15.2" spans="1:10">
      <c r="A2864" s="58" t="s">
        <v>3546</v>
      </c>
      <c r="B2864" s="59">
        <v>299</v>
      </c>
      <c r="C2864" s="59">
        <v>660</v>
      </c>
      <c r="D2864" s="59" t="s">
        <v>801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ht="15.2" spans="1:10">
      <c r="A2865" s="58" t="s">
        <v>3547</v>
      </c>
      <c r="B2865" s="59">
        <v>722.13</v>
      </c>
      <c r="C2865" s="59">
        <v>1099</v>
      </c>
      <c r="D2865" s="59" t="s">
        <v>803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ht="15.2" spans="1:10">
      <c r="A2866" s="58" t="s">
        <v>3548</v>
      </c>
      <c r="B2866" s="59">
        <v>383</v>
      </c>
      <c r="C2866" s="59">
        <v>832</v>
      </c>
      <c r="D2866" s="59" t="s">
        <v>801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</v>
      </c>
      <c r="J2866" s="60">
        <f t="shared" si="135"/>
        <v>332.8</v>
      </c>
    </row>
    <row r="2867" ht="15.2" spans="1:10">
      <c r="A2867" s="58" t="s">
        <v>3549</v>
      </c>
      <c r="B2867" s="59">
        <v>234</v>
      </c>
      <c r="C2867" s="59">
        <v>555</v>
      </c>
      <c r="D2867" s="59" t="s">
        <v>801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444.6</v>
      </c>
      <c r="J2867" s="60">
        <f t="shared" si="135"/>
        <v>1054.5</v>
      </c>
    </row>
    <row r="2868" ht="15.2" spans="1:10">
      <c r="A2868" s="58" t="s">
        <v>3550</v>
      </c>
      <c r="B2868" s="59">
        <v>1092.25</v>
      </c>
      <c r="C2868" s="59">
        <v>1799</v>
      </c>
      <c r="D2868" s="59" t="s">
        <v>803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ht="15.2" spans="1:10">
      <c r="A2869" s="58" t="s">
        <v>3551</v>
      </c>
      <c r="B2869" s="59">
        <v>319</v>
      </c>
      <c r="C2869" s="59">
        <v>670</v>
      </c>
      <c r="D2869" s="59" t="s">
        <v>801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111.65</v>
      </c>
      <c r="J2869" s="60">
        <f t="shared" si="135"/>
        <v>234.5</v>
      </c>
    </row>
    <row r="2870" ht="15.2" spans="1:10">
      <c r="A2870" s="58" t="s">
        <v>3552</v>
      </c>
      <c r="B2870" s="59">
        <v>570.86</v>
      </c>
      <c r="C2870" s="59">
        <v>3147</v>
      </c>
      <c r="D2870" s="59" t="s">
        <v>801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ht="15.2" spans="1:10">
      <c r="A2871" s="58" t="s">
        <v>3553</v>
      </c>
      <c r="B2871" s="59">
        <v>0</v>
      </c>
      <c r="C2871" s="59">
        <v>0</v>
      </c>
      <c r="D2871" s="59" t="s">
        <v>815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ht="15.2" spans="1:10">
      <c r="A2872" s="58" t="s">
        <v>3554</v>
      </c>
      <c r="B2872" s="59">
        <v>1576.34</v>
      </c>
      <c r="C2872" s="59">
        <v>2399</v>
      </c>
      <c r="D2872" s="59" t="s">
        <v>803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ht="15.2" spans="1:10">
      <c r="A2873" s="58" t="s">
        <v>3555</v>
      </c>
      <c r="B2873" s="59">
        <v>4249.39</v>
      </c>
      <c r="C2873" s="59">
        <v>6999</v>
      </c>
      <c r="D2873" s="59" t="s">
        <v>803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</v>
      </c>
      <c r="J2873" s="60">
        <f t="shared" si="135"/>
        <v>6999</v>
      </c>
    </row>
    <row r="2874" ht="15.2" spans="1:10">
      <c r="A2874" s="58" t="s">
        <v>3556</v>
      </c>
      <c r="B2874" s="59">
        <v>1354.77</v>
      </c>
      <c r="C2874" s="59">
        <v>2299</v>
      </c>
      <c r="D2874" s="59" t="s">
        <v>803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ht="15.2" spans="1:10">
      <c r="A2875" s="58" t="s">
        <v>3557</v>
      </c>
      <c r="B2875" s="59">
        <v>776.5</v>
      </c>
      <c r="C2875" s="59">
        <v>1199</v>
      </c>
      <c r="D2875" s="59" t="s">
        <v>803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ht="15.2" spans="1:10">
      <c r="A2876" s="58" t="s">
        <v>3558</v>
      </c>
      <c r="B2876" s="59">
        <v>578</v>
      </c>
      <c r="C2876" s="59">
        <v>1355</v>
      </c>
      <c r="D2876" s="59" t="s">
        <v>801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ht="15.2" spans="1:10">
      <c r="A2877" s="58" t="s">
        <v>3559</v>
      </c>
      <c r="B2877" s="59">
        <v>267</v>
      </c>
      <c r="C2877" s="59">
        <v>575</v>
      </c>
      <c r="D2877" s="59" t="s">
        <v>801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ht="15.2" spans="1:10">
      <c r="A2878" s="58" t="s">
        <v>3560</v>
      </c>
      <c r="B2878" s="59">
        <v>248</v>
      </c>
      <c r="C2878" s="59">
        <v>590</v>
      </c>
      <c r="D2878" s="59" t="s">
        <v>801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ht="15.2" spans="1:10">
      <c r="A2879" s="58" t="s">
        <v>3561</v>
      </c>
      <c r="B2879" s="59">
        <v>2002.96</v>
      </c>
      <c r="C2879" s="59">
        <v>3299</v>
      </c>
      <c r="D2879" s="59" t="s">
        <v>803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ht="15.2" spans="1:10">
      <c r="A2880" s="58" t="s">
        <v>3562</v>
      </c>
      <c r="B2880" s="59">
        <v>340.8</v>
      </c>
      <c r="C2880" s="59">
        <v>785</v>
      </c>
      <c r="D2880" s="59" t="s">
        <v>801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ht="15.2" spans="1:10">
      <c r="A2881" s="58" t="s">
        <v>3563</v>
      </c>
      <c r="B2881" s="59">
        <v>615</v>
      </c>
      <c r="C2881" s="59">
        <v>1447</v>
      </c>
      <c r="D2881" s="59" t="s">
        <v>801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ht="15.2" spans="1:10">
      <c r="A2882" s="58" t="s">
        <v>3564</v>
      </c>
      <c r="B2882" s="59">
        <v>0</v>
      </c>
      <c r="C2882" s="59">
        <v>0</v>
      </c>
      <c r="D2882" s="59" t="s">
        <v>815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ht="15.2" spans="1:10">
      <c r="A2883" s="58" t="s">
        <v>3565</v>
      </c>
      <c r="B2883" s="59">
        <v>313</v>
      </c>
      <c r="C2883" s="59">
        <v>690</v>
      </c>
      <c r="D2883" s="59" t="s">
        <v>801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ht="15.2" spans="1:10">
      <c r="A2884" s="58" t="s">
        <v>3566</v>
      </c>
      <c r="B2884" s="59">
        <v>589</v>
      </c>
      <c r="C2884" s="59">
        <v>1303</v>
      </c>
      <c r="D2884" s="59" t="s">
        <v>801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412.3</v>
      </c>
      <c r="J2884" s="60">
        <f t="shared" si="138"/>
        <v>912.1</v>
      </c>
    </row>
    <row r="2885" ht="15.2" spans="1:10">
      <c r="A2885" s="58" t="s">
        <v>3567</v>
      </c>
      <c r="B2885" s="59">
        <v>1395.82</v>
      </c>
      <c r="C2885" s="59">
        <v>2299</v>
      </c>
      <c r="D2885" s="59" t="s">
        <v>803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ht="15.2" spans="1:10">
      <c r="A2886" s="58" t="s">
        <v>3568</v>
      </c>
      <c r="B2886" s="59">
        <v>285</v>
      </c>
      <c r="C2886" s="59">
        <v>695</v>
      </c>
      <c r="D2886" s="59" t="s">
        <v>801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ht="15.2" spans="1:10">
      <c r="A2887" s="58" t="s">
        <v>704</v>
      </c>
      <c r="B2887" s="59">
        <v>265</v>
      </c>
      <c r="C2887" s="59">
        <v>580</v>
      </c>
      <c r="D2887" s="59" t="s">
        <v>801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ht="15.2" spans="1:10">
      <c r="A2888" s="58" t="s">
        <v>3569</v>
      </c>
      <c r="B2888" s="59">
        <v>938.4</v>
      </c>
      <c r="C2888" s="59">
        <v>1449</v>
      </c>
      <c r="D2888" s="59" t="s">
        <v>803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ht="15.2" spans="1:10">
      <c r="A2889" s="58" t="s">
        <v>3570</v>
      </c>
      <c r="B2889" s="59">
        <v>1379.21</v>
      </c>
      <c r="C2889" s="59">
        <v>2099</v>
      </c>
      <c r="D2889" s="59" t="s">
        <v>803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ht="15.2" spans="1:10">
      <c r="A2890" s="58" t="s">
        <v>3571</v>
      </c>
      <c r="B2890" s="59">
        <v>1577.96</v>
      </c>
      <c r="C2890" s="59">
        <v>2599</v>
      </c>
      <c r="D2890" s="59" t="s">
        <v>803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ht="15.2" spans="1:10">
      <c r="A2891" s="58" t="s">
        <v>3572</v>
      </c>
      <c r="B2891" s="59">
        <v>1247.8</v>
      </c>
      <c r="C2891" s="59">
        <v>1899</v>
      </c>
      <c r="D2891" s="59" t="s">
        <v>803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ht="15.2" spans="1:10">
      <c r="A2892" s="58" t="s">
        <v>3573</v>
      </c>
      <c r="B2892" s="59">
        <v>1638.68</v>
      </c>
      <c r="C2892" s="59">
        <v>2699</v>
      </c>
      <c r="D2892" s="59" t="s">
        <v>803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ht="15.2" spans="1:10">
      <c r="A2893" s="58" t="s">
        <v>3574</v>
      </c>
      <c r="B2893" s="59">
        <v>1031.54</v>
      </c>
      <c r="C2893" s="59">
        <v>1699</v>
      </c>
      <c r="D2893" s="59" t="s">
        <v>803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ht="15.2" spans="1:10">
      <c r="A2894" s="58" t="s">
        <v>3575</v>
      </c>
      <c r="B2894" s="59">
        <v>1247.8</v>
      </c>
      <c r="C2894" s="59">
        <v>1899</v>
      </c>
      <c r="D2894" s="59" t="s">
        <v>803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ht="15.2" spans="1:10">
      <c r="A2895" s="58" t="s">
        <v>3576</v>
      </c>
      <c r="B2895" s="59">
        <v>319</v>
      </c>
      <c r="C2895" s="59">
        <v>705</v>
      </c>
      <c r="D2895" s="59" t="s">
        <v>801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ht="15.2" spans="1:10">
      <c r="A2896" s="58" t="s">
        <v>3577</v>
      </c>
      <c r="B2896" s="59">
        <v>543</v>
      </c>
      <c r="C2896" s="59">
        <v>1290</v>
      </c>
      <c r="D2896" s="59" t="s">
        <v>801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ht="15.2" spans="1:10">
      <c r="A2897" s="58" t="s">
        <v>3578</v>
      </c>
      <c r="B2897" s="59">
        <v>1379.21</v>
      </c>
      <c r="C2897" s="59">
        <v>2099</v>
      </c>
      <c r="D2897" s="59" t="s">
        <v>803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ht="15.2" spans="1:10">
      <c r="A2898" s="58" t="s">
        <v>3579</v>
      </c>
      <c r="B2898" s="59">
        <v>1295.84</v>
      </c>
      <c r="C2898" s="59">
        <v>2199</v>
      </c>
      <c r="D2898" s="59" t="s">
        <v>803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ht="15.2" spans="1:10">
      <c r="A2899" s="58" t="s">
        <v>3580</v>
      </c>
      <c r="B2899" s="59">
        <v>901.24</v>
      </c>
      <c r="C2899" s="59">
        <v>1399</v>
      </c>
      <c r="D2899" s="59" t="s">
        <v>803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ht="15.2" spans="1:10">
      <c r="A2900" s="58" t="s">
        <v>3581</v>
      </c>
      <c r="B2900" s="59">
        <v>970.78</v>
      </c>
      <c r="C2900" s="59">
        <v>1499</v>
      </c>
      <c r="D2900" s="59" t="s">
        <v>803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ht="15.2" spans="1:10">
      <c r="A2901" s="58" t="s">
        <v>3582</v>
      </c>
      <c r="B2901" s="59">
        <v>1313.5</v>
      </c>
      <c r="C2901" s="59">
        <v>1999</v>
      </c>
      <c r="D2901" s="59" t="s">
        <v>803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ht="15.2" spans="1:10">
      <c r="A2902" s="58" t="s">
        <v>3583</v>
      </c>
      <c r="B2902" s="59">
        <v>1313.5</v>
      </c>
      <c r="C2902" s="59">
        <v>1999</v>
      </c>
      <c r="D2902" s="59" t="s">
        <v>803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ht="15.2" spans="1:10">
      <c r="A2903" s="58" t="s">
        <v>3584</v>
      </c>
      <c r="B2903" s="59">
        <v>1649.41</v>
      </c>
      <c r="C2903" s="59">
        <v>2799</v>
      </c>
      <c r="D2903" s="59" t="s">
        <v>803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ht="15.2" spans="1:10">
      <c r="A2904" s="58" t="s">
        <v>3585</v>
      </c>
      <c r="B2904" s="59">
        <v>1517.25</v>
      </c>
      <c r="C2904" s="59">
        <v>2499</v>
      </c>
      <c r="D2904" s="59" t="s">
        <v>803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ht="15.2" spans="1:10">
      <c r="A2905" s="58" t="s">
        <v>3586</v>
      </c>
      <c r="B2905" s="59">
        <v>263</v>
      </c>
      <c r="C2905" s="59">
        <v>570</v>
      </c>
      <c r="D2905" s="59" t="s">
        <v>801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</v>
      </c>
      <c r="J2905" s="60">
        <f t="shared" si="138"/>
        <v>513</v>
      </c>
    </row>
    <row r="2906" ht="15.2" spans="1:10">
      <c r="A2906" s="58" t="s">
        <v>3587</v>
      </c>
      <c r="B2906" s="59">
        <v>1059.47</v>
      </c>
      <c r="C2906" s="59">
        <v>1999</v>
      </c>
      <c r="D2906" s="59" t="s">
        <v>803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ht="15.2" spans="1:10">
      <c r="A2907" s="58" t="s">
        <v>3588</v>
      </c>
      <c r="B2907" s="59">
        <v>1699.4</v>
      </c>
      <c r="C2907" s="59">
        <v>2799</v>
      </c>
      <c r="D2907" s="59" t="s">
        <v>803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ht="15.2" spans="1:10">
      <c r="A2908" s="58" t="s">
        <v>3589</v>
      </c>
      <c r="B2908" s="59">
        <v>599</v>
      </c>
      <c r="C2908" s="59">
        <v>1338</v>
      </c>
      <c r="D2908" s="59" t="s">
        <v>801</v>
      </c>
      <c r="E2908" s="59">
        <v>1.1</v>
      </c>
      <c r="F2908" s="59">
        <v>1.1</v>
      </c>
      <c r="G2908" s="59">
        <v>0</v>
      </c>
      <c r="H2908" s="60">
        <f t="shared" si="136"/>
        <v>1.1</v>
      </c>
      <c r="I2908" s="60">
        <f t="shared" si="137"/>
        <v>658.9</v>
      </c>
      <c r="J2908" s="60">
        <f t="shared" si="138"/>
        <v>1471.8</v>
      </c>
    </row>
    <row r="2909" ht="15.2" spans="1:10">
      <c r="A2909" s="58" t="s">
        <v>3590</v>
      </c>
      <c r="B2909" s="59">
        <v>711</v>
      </c>
      <c r="C2909" s="59">
        <v>1733</v>
      </c>
      <c r="D2909" s="59" t="s">
        <v>801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ht="15.2" spans="1:10">
      <c r="A2910" s="58" t="s">
        <v>3591</v>
      </c>
      <c r="B2910" s="59">
        <v>293</v>
      </c>
      <c r="C2910" s="59">
        <v>670</v>
      </c>
      <c r="D2910" s="59" t="s">
        <v>801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ht="15.2" spans="1:10">
      <c r="A2911" s="58" t="s">
        <v>3592</v>
      </c>
      <c r="B2911" s="59">
        <v>419</v>
      </c>
      <c r="C2911" s="59">
        <v>1057</v>
      </c>
      <c r="D2911" s="59" t="s">
        <v>801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ht="15.2" spans="1:10">
      <c r="A2912" s="58" t="s">
        <v>254</v>
      </c>
      <c r="B2912" s="59">
        <v>446</v>
      </c>
      <c r="C2912" s="59">
        <v>1049</v>
      </c>
      <c r="D2912" s="59" t="s">
        <v>801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ht="15.2" spans="1:10">
      <c r="A2913" s="58" t="s">
        <v>3593</v>
      </c>
      <c r="B2913" s="59">
        <v>400</v>
      </c>
      <c r="C2913" s="59">
        <v>939</v>
      </c>
      <c r="D2913" s="59" t="s">
        <v>801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ht="15.2" spans="1:10">
      <c r="A2914" s="58" t="s">
        <v>3594</v>
      </c>
      <c r="B2914" s="59">
        <v>476</v>
      </c>
      <c r="C2914" s="59">
        <v>1040</v>
      </c>
      <c r="D2914" s="59" t="s">
        <v>801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2998.8</v>
      </c>
      <c r="J2914" s="60">
        <f t="shared" si="138"/>
        <v>6552</v>
      </c>
    </row>
    <row r="2915" ht="15.2" spans="1:10">
      <c r="A2915" s="58" t="s">
        <v>3595</v>
      </c>
      <c r="B2915" s="59">
        <v>1274.39</v>
      </c>
      <c r="C2915" s="59">
        <v>2099</v>
      </c>
      <c r="D2915" s="59" t="s">
        <v>803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</v>
      </c>
      <c r="J2915" s="60">
        <f t="shared" si="138"/>
        <v>2099</v>
      </c>
    </row>
    <row r="2916" ht="15.2" spans="1:10">
      <c r="A2916" s="58" t="s">
        <v>3596</v>
      </c>
      <c r="B2916" s="59">
        <v>1213.68</v>
      </c>
      <c r="C2916" s="59">
        <v>1999</v>
      </c>
      <c r="D2916" s="59" t="s">
        <v>803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ht="15.2" spans="1:10">
      <c r="A2917" s="58" t="s">
        <v>3597</v>
      </c>
      <c r="B2917" s="59">
        <v>1274.39</v>
      </c>
      <c r="C2917" s="59">
        <v>2099</v>
      </c>
      <c r="D2917" s="59" t="s">
        <v>803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</v>
      </c>
      <c r="J2917" s="60">
        <f t="shared" si="138"/>
        <v>2099</v>
      </c>
    </row>
    <row r="2918" ht="15.2" spans="1:10">
      <c r="A2918" s="58" t="s">
        <v>3598</v>
      </c>
      <c r="B2918" s="59">
        <v>1456.54</v>
      </c>
      <c r="C2918" s="59">
        <v>2399</v>
      </c>
      <c r="D2918" s="59" t="s">
        <v>803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ht="15.2" spans="1:10">
      <c r="A2919" s="58" t="s">
        <v>3599</v>
      </c>
      <c r="B2919" s="59">
        <v>60</v>
      </c>
      <c r="C2919" s="59">
        <v>999</v>
      </c>
      <c r="D2919" s="59" t="s">
        <v>801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ht="15.2" spans="1:10">
      <c r="A2920" s="58" t="s">
        <v>3600</v>
      </c>
      <c r="B2920" s="59">
        <v>1481.02</v>
      </c>
      <c r="C2920" s="59">
        <v>2299</v>
      </c>
      <c r="D2920" s="59" t="s">
        <v>803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ht="15.2" spans="1:10">
      <c r="A2921" s="58" t="s">
        <v>3601</v>
      </c>
      <c r="B2921" s="59">
        <v>614</v>
      </c>
      <c r="C2921" s="59">
        <v>1394</v>
      </c>
      <c r="D2921" s="59" t="s">
        <v>801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</v>
      </c>
      <c r="J2921" s="60">
        <f t="shared" si="138"/>
        <v>557.6</v>
      </c>
    </row>
    <row r="2922" ht="15.2" spans="1:10">
      <c r="A2922" s="58" t="s">
        <v>3602</v>
      </c>
      <c r="B2922" s="59">
        <v>135.32</v>
      </c>
      <c r="C2922" s="59">
        <v>199</v>
      </c>
      <c r="D2922" s="59" t="s">
        <v>803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ht="15.2" spans="1:10">
      <c r="A2923" s="58" t="s">
        <v>3603</v>
      </c>
      <c r="B2923" s="59">
        <v>1444.92</v>
      </c>
      <c r="C2923" s="59">
        <v>2199</v>
      </c>
      <c r="D2923" s="59" t="s">
        <v>803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ht="15.2" spans="1:10">
      <c r="A2924" s="58" t="s">
        <v>3604</v>
      </c>
      <c r="B2924" s="59">
        <v>787.84</v>
      </c>
      <c r="C2924" s="59">
        <v>1199</v>
      </c>
      <c r="D2924" s="59" t="s">
        <v>803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ht="15.2" spans="1:10">
      <c r="A2925" s="58" t="s">
        <v>3605</v>
      </c>
      <c r="B2925" s="59">
        <v>2063.68</v>
      </c>
      <c r="C2925" s="59">
        <v>3399</v>
      </c>
      <c r="D2925" s="59" t="s">
        <v>803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2063.68</v>
      </c>
      <c r="J2925" s="60">
        <f t="shared" si="138"/>
        <v>3399</v>
      </c>
    </row>
    <row r="2926" ht="15.2" spans="1:10">
      <c r="A2926" s="58" t="s">
        <v>260</v>
      </c>
      <c r="B2926" s="59">
        <v>409</v>
      </c>
      <c r="C2926" s="59">
        <v>1032</v>
      </c>
      <c r="D2926" s="59" t="s">
        <v>801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7852.8</v>
      </c>
      <c r="J2926" s="60">
        <f t="shared" si="138"/>
        <v>19814.4</v>
      </c>
    </row>
    <row r="2927" ht="15.2" spans="1:10">
      <c r="A2927" s="58" t="s">
        <v>3606</v>
      </c>
      <c r="B2927" s="59">
        <v>1313.5</v>
      </c>
      <c r="C2927" s="59">
        <v>1999</v>
      </c>
      <c r="D2927" s="59" t="s">
        <v>803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ht="15.2" spans="1:10">
      <c r="A2928" s="58" t="s">
        <v>3607</v>
      </c>
      <c r="B2928" s="59">
        <v>630</v>
      </c>
      <c r="C2928" s="59">
        <v>1525</v>
      </c>
      <c r="D2928" s="59" t="s">
        <v>801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ht="15.2" spans="1:10">
      <c r="A2929" s="58" t="s">
        <v>3608</v>
      </c>
      <c r="B2929" s="59">
        <v>1545.44</v>
      </c>
      <c r="C2929" s="59">
        <v>2399</v>
      </c>
      <c r="D2929" s="59" t="s">
        <v>803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ht="15.2" spans="1:10">
      <c r="A2930" s="58" t="s">
        <v>3609</v>
      </c>
      <c r="B2930" s="59">
        <v>1577.96</v>
      </c>
      <c r="C2930" s="59">
        <v>2499</v>
      </c>
      <c r="D2930" s="59" t="s">
        <v>803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ht="15.2" spans="1:10">
      <c r="A2931" s="58" t="s">
        <v>3610</v>
      </c>
      <c r="B2931" s="59">
        <v>570.86</v>
      </c>
      <c r="C2931" s="59">
        <v>2623</v>
      </c>
      <c r="D2931" s="59" t="s">
        <v>801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ht="15.2" spans="1:10">
      <c r="A2932" s="58" t="s">
        <v>3611</v>
      </c>
      <c r="B2932" s="59">
        <v>1274.39</v>
      </c>
      <c r="C2932" s="59">
        <v>2099</v>
      </c>
      <c r="D2932" s="59" t="s">
        <v>803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</v>
      </c>
      <c r="J2932" s="60">
        <f t="shared" si="138"/>
        <v>2099</v>
      </c>
    </row>
    <row r="2933" ht="15.2" spans="1:10">
      <c r="A2933" s="58" t="s">
        <v>3612</v>
      </c>
      <c r="B2933" s="59">
        <v>395</v>
      </c>
      <c r="C2933" s="59">
        <v>880</v>
      </c>
      <c r="D2933" s="59" t="s">
        <v>801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ht="15.2" spans="1:10">
      <c r="A2934" s="58" t="s">
        <v>3613</v>
      </c>
      <c r="B2934" s="59">
        <v>1354.77</v>
      </c>
      <c r="C2934" s="59">
        <v>2299</v>
      </c>
      <c r="D2934" s="59" t="s">
        <v>803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ht="15.2" spans="1:10">
      <c r="A2935" s="58" t="s">
        <v>3614</v>
      </c>
      <c r="B2935" s="59">
        <v>1395.82</v>
      </c>
      <c r="C2935" s="59">
        <v>2299</v>
      </c>
      <c r="D2935" s="59" t="s">
        <v>803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ht="15.2" spans="1:10">
      <c r="A2936" s="58" t="s">
        <v>3615</v>
      </c>
      <c r="B2936" s="59">
        <v>1313.5</v>
      </c>
      <c r="C2936" s="59">
        <v>1999</v>
      </c>
      <c r="D2936" s="59" t="s">
        <v>803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ht="15.2" spans="1:10">
      <c r="A2937" s="58" t="s">
        <v>3616</v>
      </c>
      <c r="B2937" s="59">
        <v>495</v>
      </c>
      <c r="C2937" s="59">
        <v>1040</v>
      </c>
      <c r="D2937" s="59" t="s">
        <v>801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ht="15.2" spans="1:10">
      <c r="A2938" s="58" t="s">
        <v>3617</v>
      </c>
      <c r="B2938" s="59">
        <v>489.3</v>
      </c>
      <c r="C2938" s="59">
        <v>1468</v>
      </c>
      <c r="D2938" s="59" t="s">
        <v>801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</v>
      </c>
      <c r="J2938" s="60">
        <f t="shared" si="138"/>
        <v>19084</v>
      </c>
    </row>
    <row r="2939" ht="15.2" spans="1:10">
      <c r="A2939" s="58" t="s">
        <v>3618</v>
      </c>
      <c r="B2939" s="59">
        <v>293</v>
      </c>
      <c r="C2939" s="59">
        <v>598</v>
      </c>
      <c r="D2939" s="59" t="s">
        <v>801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175.8</v>
      </c>
      <c r="J2939" s="60">
        <f t="shared" si="138"/>
        <v>358.8</v>
      </c>
    </row>
    <row r="2940" ht="15.2" spans="1:10">
      <c r="A2940" s="58" t="s">
        <v>3619</v>
      </c>
      <c r="B2940" s="59">
        <v>370</v>
      </c>
      <c r="C2940" s="59">
        <v>880</v>
      </c>
      <c r="D2940" s="59" t="s">
        <v>801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ht="15.2" spans="1:10">
      <c r="A2941" s="58" t="s">
        <v>3620</v>
      </c>
      <c r="B2941" s="59">
        <v>1517.25</v>
      </c>
      <c r="C2941" s="59">
        <v>2499</v>
      </c>
      <c r="D2941" s="59" t="s">
        <v>803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ht="15.2" spans="1:10">
      <c r="A2942" s="58" t="s">
        <v>3621</v>
      </c>
      <c r="B2942" s="59">
        <v>582.21</v>
      </c>
      <c r="C2942" s="59">
        <v>899</v>
      </c>
      <c r="D2942" s="59" t="s">
        <v>803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ht="15.2" spans="1:10">
      <c r="A2943" s="58" t="s">
        <v>3622</v>
      </c>
      <c r="B2943" s="59">
        <v>910.24</v>
      </c>
      <c r="C2943" s="59">
        <v>1399</v>
      </c>
      <c r="D2943" s="59" t="s">
        <v>803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ht="15.2" spans="1:10">
      <c r="A2944" s="58" t="s">
        <v>3623</v>
      </c>
      <c r="B2944" s="59">
        <v>1354.77</v>
      </c>
      <c r="C2944" s="59">
        <v>2299</v>
      </c>
      <c r="D2944" s="59" t="s">
        <v>803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ht="15.2" spans="1:10">
      <c r="A2945" s="58" t="s">
        <v>3624</v>
      </c>
      <c r="B2945" s="59">
        <v>1177.98</v>
      </c>
      <c r="C2945" s="59">
        <v>1999</v>
      </c>
      <c r="D2945" s="59" t="s">
        <v>803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ht="15.2" spans="1:10">
      <c r="A2946" s="58" t="s">
        <v>82</v>
      </c>
      <c r="B2946" s="59">
        <v>3451</v>
      </c>
      <c r="C2946" s="59">
        <v>7722</v>
      </c>
      <c r="D2946" s="59" t="s">
        <v>801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ht="15.2" spans="1:10">
      <c r="A2947" s="58" t="s">
        <v>3625</v>
      </c>
      <c r="B2947" s="59">
        <v>1820.82</v>
      </c>
      <c r="C2947" s="59">
        <v>2999</v>
      </c>
      <c r="D2947" s="59" t="s">
        <v>803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ht="15.2" spans="1:10">
      <c r="A2948" s="58" t="s">
        <v>3626</v>
      </c>
      <c r="B2948" s="59">
        <v>517.45</v>
      </c>
      <c r="C2948" s="59">
        <v>799</v>
      </c>
      <c r="D2948" s="59" t="s">
        <v>803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ht="15.2" spans="1:10">
      <c r="A2949" s="58" t="s">
        <v>3627</v>
      </c>
      <c r="B2949" s="59">
        <v>319</v>
      </c>
      <c r="C2949" s="59">
        <v>705</v>
      </c>
      <c r="D2949" s="59" t="s">
        <v>801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</v>
      </c>
      <c r="J2949" s="60">
        <f t="shared" si="141"/>
        <v>282</v>
      </c>
    </row>
    <row r="2950" ht="15.2" spans="1:10">
      <c r="A2950" s="58" t="s">
        <v>3628</v>
      </c>
      <c r="B2950" s="59">
        <v>1274.39</v>
      </c>
      <c r="C2950" s="59">
        <v>2099</v>
      </c>
      <c r="D2950" s="59" t="s">
        <v>803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ht="15.2" spans="1:10">
      <c r="A2951" s="58" t="s">
        <v>3629</v>
      </c>
      <c r="B2951" s="59">
        <v>1456.54</v>
      </c>
      <c r="C2951" s="59">
        <v>2399</v>
      </c>
      <c r="D2951" s="59" t="s">
        <v>803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ht="15.2" spans="1:10">
      <c r="A2952" s="58" t="s">
        <v>3630</v>
      </c>
      <c r="B2952" s="59">
        <v>1395.82</v>
      </c>
      <c r="C2952" s="59">
        <v>2299</v>
      </c>
      <c r="D2952" s="59" t="s">
        <v>803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ht="15.2" spans="1:10">
      <c r="A2953" s="58" t="s">
        <v>3631</v>
      </c>
      <c r="B2953" s="59">
        <v>4249.39</v>
      </c>
      <c r="C2953" s="59">
        <v>6999</v>
      </c>
      <c r="D2953" s="59" t="s">
        <v>803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</v>
      </c>
      <c r="J2953" s="60">
        <f t="shared" si="141"/>
        <v>6999</v>
      </c>
    </row>
    <row r="2954" ht="15.2" spans="1:10">
      <c r="A2954" s="58" t="s">
        <v>3632</v>
      </c>
      <c r="B2954" s="59">
        <v>1881.54</v>
      </c>
      <c r="C2954" s="59">
        <v>3099</v>
      </c>
      <c r="D2954" s="59" t="s">
        <v>803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ht="15.2" spans="1:10">
      <c r="A2955" s="58" t="s">
        <v>3633</v>
      </c>
      <c r="B2955" s="59">
        <v>390</v>
      </c>
      <c r="C2955" s="59">
        <v>911</v>
      </c>
      <c r="D2955" s="59" t="s">
        <v>801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5101.6</v>
      </c>
    </row>
    <row r="2956" ht="15.2" spans="1:10">
      <c r="A2956" s="58" t="s">
        <v>3634</v>
      </c>
      <c r="B2956" s="59">
        <v>906.02</v>
      </c>
      <c r="C2956" s="59">
        <v>1399</v>
      </c>
      <c r="D2956" s="59" t="s">
        <v>803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ht="15.2" spans="1:10">
      <c r="A2957" s="58" t="s">
        <v>3635</v>
      </c>
      <c r="B2957" s="59">
        <v>1213.68</v>
      </c>
      <c r="C2957" s="59">
        <v>1999</v>
      </c>
      <c r="D2957" s="59" t="s">
        <v>803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ht="15.2" spans="1:10">
      <c r="A2958" s="58" t="s">
        <v>3636</v>
      </c>
      <c r="B2958" s="59">
        <v>722.13</v>
      </c>
      <c r="C2958" s="59">
        <v>1099</v>
      </c>
      <c r="D2958" s="59" t="s">
        <v>803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ht="15.2" spans="1:10">
      <c r="A2959" s="58" t="s">
        <v>3637</v>
      </c>
      <c r="B2959" s="59">
        <v>4249.39</v>
      </c>
      <c r="C2959" s="59">
        <v>6999</v>
      </c>
      <c r="D2959" s="59" t="s">
        <v>803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</v>
      </c>
      <c r="J2959" s="60">
        <f t="shared" si="141"/>
        <v>13998</v>
      </c>
    </row>
    <row r="2960" ht="15.2" spans="1:10">
      <c r="A2960" s="58" t="s">
        <v>3638</v>
      </c>
      <c r="B2960" s="59">
        <v>1213.68</v>
      </c>
      <c r="C2960" s="59">
        <v>1999</v>
      </c>
      <c r="D2960" s="59" t="s">
        <v>803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ht="15.2" spans="1:10">
      <c r="A2961" s="58" t="s">
        <v>3639</v>
      </c>
      <c r="B2961" s="59">
        <v>2005</v>
      </c>
      <c r="C2961" s="59">
        <v>4684</v>
      </c>
      <c r="D2961" s="59" t="s">
        <v>801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ht="15.2" spans="1:10">
      <c r="A2962" s="58" t="s">
        <v>3640</v>
      </c>
      <c r="B2962" s="59">
        <v>399</v>
      </c>
      <c r="C2962" s="59">
        <v>892</v>
      </c>
      <c r="D2962" s="59" t="s">
        <v>801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ht="15.2" spans="1:10">
      <c r="A2963" s="58" t="s">
        <v>3641</v>
      </c>
      <c r="B2963" s="59">
        <v>1213.68</v>
      </c>
      <c r="C2963" s="59">
        <v>1999</v>
      </c>
      <c r="D2963" s="59" t="s">
        <v>803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ht="15.2" spans="1:10">
      <c r="A2964" s="58" t="s">
        <v>3642</v>
      </c>
      <c r="B2964" s="59">
        <v>1456.54</v>
      </c>
      <c r="C2964" s="59">
        <v>2399</v>
      </c>
      <c r="D2964" s="59" t="s">
        <v>803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ht="15.2" spans="1:10">
      <c r="A2965" s="58" t="s">
        <v>3643</v>
      </c>
      <c r="B2965" s="59">
        <v>384</v>
      </c>
      <c r="C2965" s="59">
        <v>959</v>
      </c>
      <c r="D2965" s="59" t="s">
        <v>801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ht="15.2" spans="1:10">
      <c r="A2966" s="58" t="s">
        <v>3644</v>
      </c>
      <c r="B2966" s="59">
        <v>1177.98</v>
      </c>
      <c r="C2966" s="59">
        <v>1999</v>
      </c>
      <c r="D2966" s="59" t="s">
        <v>803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ht="15.2" spans="1:10">
      <c r="A2967" s="58" t="s">
        <v>39</v>
      </c>
      <c r="B2967" s="59">
        <v>564</v>
      </c>
      <c r="C2967" s="59">
        <v>1431</v>
      </c>
      <c r="D2967" s="59" t="s">
        <v>801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ht="15.2" spans="1:10">
      <c r="A2968" s="58" t="s">
        <v>3645</v>
      </c>
      <c r="B2968" s="59">
        <v>1395.82</v>
      </c>
      <c r="C2968" s="59">
        <v>2299</v>
      </c>
      <c r="D2968" s="59" t="s">
        <v>803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ht="15.2" spans="1:10">
      <c r="A2969" s="58" t="s">
        <v>3646</v>
      </c>
      <c r="B2969" s="59">
        <v>1177.98</v>
      </c>
      <c r="C2969" s="59">
        <v>1999</v>
      </c>
      <c r="D2969" s="59" t="s">
        <v>803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ht="15.2" spans="1:10">
      <c r="A2970" s="58" t="s">
        <v>3647</v>
      </c>
      <c r="B2970" s="59">
        <v>135.32</v>
      </c>
      <c r="C2970" s="59">
        <v>199</v>
      </c>
      <c r="D2970" s="59" t="s">
        <v>803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ht="15.2" spans="1:10">
      <c r="A2971" s="58" t="s">
        <v>3648</v>
      </c>
      <c r="B2971" s="59">
        <v>1206.45</v>
      </c>
      <c r="C2971" s="59">
        <v>2815</v>
      </c>
      <c r="D2971" s="59" t="s">
        <v>801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</v>
      </c>
      <c r="J2971" s="60">
        <f t="shared" si="141"/>
        <v>7319</v>
      </c>
    </row>
    <row r="2972" ht="15.2" spans="1:10">
      <c r="A2972" s="58" t="s">
        <v>3649</v>
      </c>
      <c r="B2972" s="59">
        <v>8499.39</v>
      </c>
      <c r="C2972" s="59">
        <v>13999</v>
      </c>
      <c r="D2972" s="59" t="s">
        <v>803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ht="15.2" spans="1:10">
      <c r="A2973" s="58" t="s">
        <v>3650</v>
      </c>
      <c r="B2973" s="59">
        <v>1213.68</v>
      </c>
      <c r="C2973" s="59">
        <v>1999</v>
      </c>
      <c r="D2973" s="59" t="s">
        <v>803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ht="15.2" spans="1:10">
      <c r="A2974" s="58" t="s">
        <v>3651</v>
      </c>
      <c r="B2974" s="59">
        <v>449</v>
      </c>
      <c r="C2974" s="59">
        <v>943</v>
      </c>
      <c r="D2974" s="59" t="s">
        <v>801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ht="15.2" spans="1:10">
      <c r="A2975" s="58" t="s">
        <v>3652</v>
      </c>
      <c r="B2975" s="59">
        <v>599</v>
      </c>
      <c r="C2975" s="59">
        <v>1338</v>
      </c>
      <c r="D2975" s="59" t="s">
        <v>801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ht="15.2" spans="1:10">
      <c r="A2976" s="58" t="s">
        <v>3653</v>
      </c>
      <c r="B2976" s="59">
        <v>1165.47</v>
      </c>
      <c r="C2976" s="59">
        <v>2199</v>
      </c>
      <c r="D2976" s="59" t="s">
        <v>803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ht="15.2" spans="1:10">
      <c r="A2977" s="58" t="s">
        <v>3654</v>
      </c>
      <c r="B2977" s="59">
        <v>787.84</v>
      </c>
      <c r="C2977" s="59">
        <v>1199</v>
      </c>
      <c r="D2977" s="59" t="s">
        <v>803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ht="15.2" spans="1:10">
      <c r="A2978" s="58" t="s">
        <v>3655</v>
      </c>
      <c r="B2978" s="59">
        <v>1517.25</v>
      </c>
      <c r="C2978" s="59">
        <v>2499</v>
      </c>
      <c r="D2978" s="59" t="s">
        <v>803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ht="15.2" spans="1:10">
      <c r="A2979" s="58" t="s">
        <v>3656</v>
      </c>
      <c r="B2979" s="59">
        <v>1839.16</v>
      </c>
      <c r="C2979" s="59">
        <v>2799</v>
      </c>
      <c r="D2979" s="59" t="s">
        <v>803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ht="15.2" spans="1:10">
      <c r="A2980" s="58" t="s">
        <v>3657</v>
      </c>
      <c r="B2980" s="59">
        <v>433.2</v>
      </c>
      <c r="C2980" s="59">
        <v>1308</v>
      </c>
      <c r="D2980" s="59" t="s">
        <v>801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ht="15.2" spans="1:10">
      <c r="A2981" s="58" t="s">
        <v>3658</v>
      </c>
      <c r="B2981" s="59">
        <v>368</v>
      </c>
      <c r="C2981" s="59">
        <v>873</v>
      </c>
      <c r="D2981" s="59" t="s">
        <v>801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ht="15.2" spans="1:10">
      <c r="A2982" s="58" t="s">
        <v>3659</v>
      </c>
      <c r="B2982" s="59">
        <v>1092.25</v>
      </c>
      <c r="C2982" s="59">
        <v>1799</v>
      </c>
      <c r="D2982" s="59" t="s">
        <v>803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ht="15.2" spans="1:10">
      <c r="A2983" s="58" t="s">
        <v>3660</v>
      </c>
      <c r="B2983" s="59">
        <v>582.21</v>
      </c>
      <c r="C2983" s="59">
        <v>899</v>
      </c>
      <c r="D2983" s="59" t="s">
        <v>803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ht="15.2" spans="1:10">
      <c r="A2984" s="58" t="s">
        <v>3661</v>
      </c>
      <c r="B2984" s="59">
        <v>1146.7</v>
      </c>
      <c r="C2984" s="59">
        <v>1799</v>
      </c>
      <c r="D2984" s="59" t="s">
        <v>803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ht="15.2" spans="1:10">
      <c r="A2985" s="58" t="s">
        <v>3662</v>
      </c>
      <c r="B2985" s="59">
        <v>846</v>
      </c>
      <c r="C2985" s="59">
        <v>2078</v>
      </c>
      <c r="D2985" s="59" t="s">
        <v>801</v>
      </c>
      <c r="E2985" s="59">
        <v>17.1</v>
      </c>
      <c r="F2985" s="59">
        <v>17.1</v>
      </c>
      <c r="G2985" s="59">
        <v>0</v>
      </c>
      <c r="H2985" s="60">
        <f t="shared" si="142"/>
        <v>17.1</v>
      </c>
      <c r="I2985" s="60">
        <f t="shared" si="140"/>
        <v>14466.6</v>
      </c>
      <c r="J2985" s="60">
        <f t="shared" si="141"/>
        <v>35533.8</v>
      </c>
    </row>
    <row r="2986" ht="15.2" spans="1:10">
      <c r="A2986" s="58" t="s">
        <v>3663</v>
      </c>
      <c r="B2986" s="59">
        <v>656.42</v>
      </c>
      <c r="C2986" s="59">
        <v>999</v>
      </c>
      <c r="D2986" s="59" t="s">
        <v>803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ht="15.2" spans="1:10">
      <c r="A2987" s="58" t="s">
        <v>3664</v>
      </c>
      <c r="B2987" s="59">
        <v>2651.2</v>
      </c>
      <c r="C2987" s="59">
        <v>4499</v>
      </c>
      <c r="D2987" s="59" t="s">
        <v>803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ht="15.2" spans="1:10">
      <c r="A2988" s="58" t="s">
        <v>3665</v>
      </c>
      <c r="B2988" s="59">
        <v>1274.39</v>
      </c>
      <c r="C2988" s="59">
        <v>2099</v>
      </c>
      <c r="D2988" s="59" t="s">
        <v>803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</v>
      </c>
      <c r="J2988" s="60">
        <f t="shared" si="141"/>
        <v>4198</v>
      </c>
    </row>
    <row r="2989" ht="15.2" spans="1:10">
      <c r="A2989" s="58" t="s">
        <v>3666</v>
      </c>
      <c r="B2989" s="59">
        <v>1213.68</v>
      </c>
      <c r="C2989" s="59">
        <v>1999</v>
      </c>
      <c r="D2989" s="59" t="s">
        <v>803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ht="15.2" spans="1:10">
      <c r="A2990" s="58" t="s">
        <v>3667</v>
      </c>
      <c r="B2990" s="59">
        <v>1119.05</v>
      </c>
      <c r="C2990" s="59">
        <v>1899</v>
      </c>
      <c r="D2990" s="59" t="s">
        <v>803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ht="15.2" spans="1:10">
      <c r="A2991" s="58" t="s">
        <v>3668</v>
      </c>
      <c r="B2991" s="59">
        <v>108</v>
      </c>
      <c r="C2991" s="59">
        <v>155</v>
      </c>
      <c r="D2991" s="59" t="s">
        <v>801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ht="15.2" spans="1:10">
      <c r="A2992" s="58" t="s">
        <v>3669</v>
      </c>
      <c r="B2992" s="59">
        <v>1177.98</v>
      </c>
      <c r="C2992" s="59">
        <v>1999</v>
      </c>
      <c r="D2992" s="59" t="s">
        <v>803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ht="15.2" spans="1:10">
      <c r="A2993" s="58" t="s">
        <v>3670</v>
      </c>
      <c r="B2993" s="59">
        <v>1577.97</v>
      </c>
      <c r="C2993" s="59">
        <v>2599</v>
      </c>
      <c r="D2993" s="59" t="s">
        <v>803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ht="15.2" spans="1:10">
      <c r="A2994" s="58" t="s">
        <v>3671</v>
      </c>
      <c r="B2994" s="59">
        <v>4124.41</v>
      </c>
      <c r="C2994" s="59">
        <v>6999</v>
      </c>
      <c r="D2994" s="59" t="s">
        <v>803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ht="15.2" spans="1:10">
      <c r="A2995" s="58" t="s">
        <v>3672</v>
      </c>
      <c r="B2995" s="59">
        <v>1395.82</v>
      </c>
      <c r="C2995" s="59">
        <v>2299</v>
      </c>
      <c r="D2995" s="59" t="s">
        <v>803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ht="15.2" spans="1:10">
      <c r="A2996" s="58" t="s">
        <v>3673</v>
      </c>
      <c r="B2996" s="59">
        <v>1456.54</v>
      </c>
      <c r="C2996" s="59">
        <v>2399</v>
      </c>
      <c r="D2996" s="59" t="s">
        <v>803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ht="15.2" spans="1:10">
      <c r="A2997" s="58" t="s">
        <v>3674</v>
      </c>
      <c r="B2997" s="59">
        <v>615</v>
      </c>
      <c r="C2997" s="59">
        <v>1439</v>
      </c>
      <c r="D2997" s="59" t="s">
        <v>801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ht="15.2" spans="1:10">
      <c r="A2998" s="58" t="s">
        <v>3675</v>
      </c>
      <c r="B2998" s="59">
        <v>1116.38</v>
      </c>
      <c r="C2998" s="59">
        <v>1699</v>
      </c>
      <c r="D2998" s="59" t="s">
        <v>803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</v>
      </c>
      <c r="J2998" s="60">
        <f t="shared" si="141"/>
        <v>1699</v>
      </c>
    </row>
    <row r="2999" ht="15.2" spans="1:10">
      <c r="A2999" s="58" t="s">
        <v>3676</v>
      </c>
      <c r="B2999" s="59">
        <v>555</v>
      </c>
      <c r="C2999" s="59">
        <v>1241</v>
      </c>
      <c r="D2999" s="59" t="s">
        <v>801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ht="15.2" spans="1:10">
      <c r="A3000" s="58" t="s">
        <v>3677</v>
      </c>
      <c r="B3000" s="59">
        <v>1510.63</v>
      </c>
      <c r="C3000" s="59">
        <v>2299</v>
      </c>
      <c r="D3000" s="59" t="s">
        <v>803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ht="15.2" spans="1:10">
      <c r="A3001" s="58" t="s">
        <v>3678</v>
      </c>
      <c r="B3001" s="59">
        <v>2102</v>
      </c>
      <c r="C3001" s="59">
        <v>3199</v>
      </c>
      <c r="D3001" s="59" t="s">
        <v>803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ht="15.2" spans="1:10">
      <c r="A3002" s="58" t="s">
        <v>3679</v>
      </c>
      <c r="B3002" s="59">
        <v>6481.55</v>
      </c>
      <c r="C3002" s="59">
        <v>10999</v>
      </c>
      <c r="D3002" s="59" t="s">
        <v>803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ht="15.2" spans="1:10">
      <c r="A3003" s="58" t="s">
        <v>3680</v>
      </c>
      <c r="B3003" s="59">
        <v>1738.7</v>
      </c>
      <c r="C3003" s="59">
        <v>2699</v>
      </c>
      <c r="D3003" s="59" t="s">
        <v>803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ht="15.2" spans="1:10">
      <c r="A3004" s="58" t="s">
        <v>3681</v>
      </c>
      <c r="B3004" s="59">
        <v>999</v>
      </c>
      <c r="C3004" s="59">
        <v>2256</v>
      </c>
      <c r="D3004" s="59" t="s">
        <v>801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20529.6</v>
      </c>
    </row>
    <row r="3005" ht="15.2" spans="1:10">
      <c r="A3005" s="58" t="s">
        <v>3682</v>
      </c>
      <c r="B3005" s="59">
        <v>906.02</v>
      </c>
      <c r="C3005" s="59">
        <v>1399</v>
      </c>
      <c r="D3005" s="59" t="s">
        <v>803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ht="15.2" spans="1:10">
      <c r="A3006" s="58" t="s">
        <v>3683</v>
      </c>
      <c r="B3006" s="59">
        <v>656.42</v>
      </c>
      <c r="C3006" s="59">
        <v>999</v>
      </c>
      <c r="D3006" s="59" t="s">
        <v>803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ht="15.2" spans="1:10">
      <c r="A3007" s="58" t="s">
        <v>3684</v>
      </c>
      <c r="B3007" s="59">
        <v>409</v>
      </c>
      <c r="C3007" s="59">
        <v>1032</v>
      </c>
      <c r="D3007" s="59" t="s">
        <v>801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</v>
      </c>
      <c r="J3007" s="60">
        <f t="shared" si="141"/>
        <v>13209.6</v>
      </c>
    </row>
    <row r="3008" ht="15.2" spans="1:10">
      <c r="A3008" s="58" t="s">
        <v>3685</v>
      </c>
      <c r="B3008" s="59">
        <v>3941.82</v>
      </c>
      <c r="C3008" s="59">
        <v>5999</v>
      </c>
      <c r="D3008" s="59" t="s">
        <v>803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ht="15.2" spans="1:10">
      <c r="A3009" s="58" t="s">
        <v>3686</v>
      </c>
      <c r="B3009" s="59">
        <v>661</v>
      </c>
      <c r="C3009" s="59">
        <v>1348</v>
      </c>
      <c r="D3009" s="59" t="s">
        <v>801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ht="15.2" spans="1:10">
      <c r="A3010" s="58" t="s">
        <v>3687</v>
      </c>
      <c r="B3010" s="59">
        <v>281</v>
      </c>
      <c r="C3010" s="59">
        <v>608</v>
      </c>
      <c r="D3010" s="59" t="s">
        <v>801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ht="15.2" spans="1:10">
      <c r="A3011" s="58" t="s">
        <v>3688</v>
      </c>
      <c r="B3011" s="59">
        <v>4249.39</v>
      </c>
      <c r="C3011" s="59">
        <v>6999</v>
      </c>
      <c r="D3011" s="59" t="s">
        <v>803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</v>
      </c>
      <c r="J3011" s="60">
        <f t="shared" si="144"/>
        <v>6999</v>
      </c>
    </row>
    <row r="3012" ht="15.2" spans="1:10">
      <c r="A3012" s="58" t="s">
        <v>3689</v>
      </c>
      <c r="B3012" s="59">
        <v>1213.68</v>
      </c>
      <c r="C3012" s="59">
        <v>1999</v>
      </c>
      <c r="D3012" s="59" t="s">
        <v>803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ht="15.2" spans="1:10">
      <c r="A3013" s="58" t="s">
        <v>3690</v>
      </c>
      <c r="B3013" s="59">
        <v>405</v>
      </c>
      <c r="C3013" s="59">
        <v>999</v>
      </c>
      <c r="D3013" s="59" t="s">
        <v>801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ht="15.2" spans="1:10">
      <c r="A3014" s="58" t="s">
        <v>3691</v>
      </c>
      <c r="B3014" s="59">
        <v>570.86</v>
      </c>
      <c r="C3014" s="59">
        <v>3845</v>
      </c>
      <c r="D3014" s="59" t="s">
        <v>801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ht="15.2" spans="1:10">
      <c r="A3015" s="58" t="s">
        <v>3692</v>
      </c>
      <c r="B3015" s="59">
        <v>299</v>
      </c>
      <c r="C3015" s="59">
        <v>660</v>
      </c>
      <c r="D3015" s="59" t="s">
        <v>801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</v>
      </c>
      <c r="J3015" s="60">
        <f t="shared" si="144"/>
        <v>891</v>
      </c>
    </row>
    <row r="3016" ht="15.2" spans="1:10">
      <c r="A3016" s="58" t="s">
        <v>3693</v>
      </c>
      <c r="B3016" s="59">
        <v>395</v>
      </c>
      <c r="C3016" s="59">
        <v>880</v>
      </c>
      <c r="D3016" s="59" t="s">
        <v>801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ht="15.2" spans="1:10">
      <c r="A3017" s="58" t="s">
        <v>3694</v>
      </c>
      <c r="B3017" s="59">
        <v>1313.5</v>
      </c>
      <c r="C3017" s="59">
        <v>1999</v>
      </c>
      <c r="D3017" s="59" t="s">
        <v>803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ht="15.2" spans="1:10">
      <c r="A3018" s="58" t="s">
        <v>3695</v>
      </c>
      <c r="B3018" s="59">
        <v>582.21</v>
      </c>
      <c r="C3018" s="59">
        <v>899</v>
      </c>
      <c r="D3018" s="59" t="s">
        <v>803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ht="15.2" spans="1:10">
      <c r="A3019" s="58" t="s">
        <v>3696</v>
      </c>
      <c r="B3019" s="59">
        <v>453</v>
      </c>
      <c r="C3019" s="59">
        <v>1064</v>
      </c>
      <c r="D3019" s="59" t="s">
        <v>801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</v>
      </c>
      <c r="J3019" s="60">
        <f t="shared" si="144"/>
        <v>1702.4</v>
      </c>
    </row>
    <row r="3020" ht="15.2" spans="1:10">
      <c r="A3020" s="58" t="s">
        <v>3697</v>
      </c>
      <c r="B3020" s="59">
        <v>1517.25</v>
      </c>
      <c r="C3020" s="59">
        <v>2499</v>
      </c>
      <c r="D3020" s="59" t="s">
        <v>803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ht="15.2" spans="1:10">
      <c r="A3021" s="58" t="s">
        <v>3698</v>
      </c>
      <c r="B3021" s="59">
        <v>2002.96</v>
      </c>
      <c r="C3021" s="59">
        <v>3299</v>
      </c>
      <c r="D3021" s="59" t="s">
        <v>803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ht="15.2" spans="1:10">
      <c r="A3022" s="58" t="s">
        <v>3699</v>
      </c>
      <c r="B3022" s="59">
        <v>1456.54</v>
      </c>
      <c r="C3022" s="59">
        <v>2399</v>
      </c>
      <c r="D3022" s="59" t="s">
        <v>803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ht="15.2" spans="1:10">
      <c r="A3023" s="58" t="s">
        <v>3700</v>
      </c>
      <c r="B3023" s="59">
        <v>6677.96</v>
      </c>
      <c r="C3023" s="59">
        <v>10999</v>
      </c>
      <c r="D3023" s="59" t="s">
        <v>803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ht="15.2" spans="1:10">
      <c r="A3024" s="58" t="s">
        <v>3701</v>
      </c>
      <c r="B3024" s="59">
        <v>1699.39</v>
      </c>
      <c r="C3024" s="59">
        <v>2799</v>
      </c>
      <c r="D3024" s="59" t="s">
        <v>803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ht="15.2" spans="1:10">
      <c r="A3025" s="58" t="s">
        <v>3702</v>
      </c>
      <c r="B3025" s="59">
        <v>1638.68</v>
      </c>
      <c r="C3025" s="59">
        <v>2699</v>
      </c>
      <c r="D3025" s="59" t="s">
        <v>803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ht="15.2" spans="1:10">
      <c r="A3026" s="58" t="s">
        <v>3703</v>
      </c>
      <c r="B3026" s="59">
        <v>1970.58</v>
      </c>
      <c r="C3026" s="59">
        <v>2999</v>
      </c>
      <c r="D3026" s="59" t="s">
        <v>803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ht="15.2" spans="1:10">
      <c r="A3027" s="58" t="s">
        <v>3704</v>
      </c>
      <c r="B3027" s="59">
        <v>398</v>
      </c>
      <c r="C3027" s="59">
        <v>860</v>
      </c>
      <c r="D3027" s="59" t="s">
        <v>801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</v>
      </c>
      <c r="J3027" s="60">
        <f t="shared" si="144"/>
        <v>688</v>
      </c>
    </row>
    <row r="3028" ht="15.2" spans="1:10">
      <c r="A3028" s="58" t="s">
        <v>3705</v>
      </c>
      <c r="B3028" s="59">
        <v>1177.98</v>
      </c>
      <c r="C3028" s="59">
        <v>1999</v>
      </c>
      <c r="D3028" s="59" t="s">
        <v>803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ht="15.2" spans="1:10">
      <c r="A3029" s="58" t="s">
        <v>3706</v>
      </c>
      <c r="B3029" s="59">
        <v>630</v>
      </c>
      <c r="C3029" s="59">
        <v>1525</v>
      </c>
      <c r="D3029" s="59" t="s">
        <v>801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ht="15.2" spans="1:10">
      <c r="A3030" s="58" t="s">
        <v>3707</v>
      </c>
      <c r="B3030" s="59">
        <v>549.83</v>
      </c>
      <c r="C3030" s="59">
        <v>849</v>
      </c>
      <c r="D3030" s="59" t="s">
        <v>803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</v>
      </c>
      <c r="J3030" s="60">
        <f t="shared" si="144"/>
        <v>849</v>
      </c>
    </row>
    <row r="3031" ht="15.2" spans="1:10">
      <c r="A3031" s="58" t="s">
        <v>3708</v>
      </c>
      <c r="B3031" s="59">
        <v>1354.77</v>
      </c>
      <c r="C3031" s="59">
        <v>2299</v>
      </c>
      <c r="D3031" s="59" t="s">
        <v>803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ht="15.2" spans="1:10">
      <c r="A3032" s="58" t="s">
        <v>3709</v>
      </c>
      <c r="B3032" s="59">
        <v>1444.92</v>
      </c>
      <c r="C3032" s="59">
        <v>2199</v>
      </c>
      <c r="D3032" s="59" t="s">
        <v>803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ht="15.2" spans="1:10">
      <c r="A3033" s="58" t="s">
        <v>3710</v>
      </c>
      <c r="B3033" s="59">
        <v>1510.63</v>
      </c>
      <c r="C3033" s="59">
        <v>2299</v>
      </c>
      <c r="D3033" s="59" t="s">
        <v>803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ht="15.2" spans="1:10">
      <c r="A3034" s="58" t="s">
        <v>3711</v>
      </c>
      <c r="B3034" s="59">
        <v>1213.68</v>
      </c>
      <c r="C3034" s="59">
        <v>1999</v>
      </c>
      <c r="D3034" s="59" t="s">
        <v>803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ht="15.2" spans="1:10">
      <c r="A3035" s="58" t="s">
        <v>3712</v>
      </c>
      <c r="B3035" s="59">
        <v>656.42</v>
      </c>
      <c r="C3035" s="59">
        <v>999</v>
      </c>
      <c r="D3035" s="59" t="s">
        <v>803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ht="15.2" spans="1:10">
      <c r="A3036" s="58" t="s">
        <v>3713</v>
      </c>
      <c r="B3036" s="59">
        <v>1638.68</v>
      </c>
      <c r="C3036" s="59">
        <v>2699</v>
      </c>
      <c r="D3036" s="59" t="s">
        <v>803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ht="15.2" spans="1:10">
      <c r="A3037" s="58" t="s">
        <v>3714</v>
      </c>
      <c r="B3037" s="59">
        <v>492.8</v>
      </c>
      <c r="C3037" s="59">
        <v>676</v>
      </c>
      <c r="D3037" s="59" t="s">
        <v>801</v>
      </c>
      <c r="E3037" s="59">
        <v>0.55</v>
      </c>
      <c r="F3037" s="59">
        <v>0.55</v>
      </c>
      <c r="G3037" s="59">
        <v>0</v>
      </c>
      <c r="H3037" s="60">
        <f t="shared" si="142"/>
        <v>0.55</v>
      </c>
      <c r="I3037" s="60">
        <f t="shared" si="143"/>
        <v>271.04</v>
      </c>
      <c r="J3037" s="60">
        <f t="shared" si="144"/>
        <v>371.8</v>
      </c>
    </row>
    <row r="3038" ht="15.2" spans="1:10">
      <c r="A3038" s="58" t="s">
        <v>3715</v>
      </c>
      <c r="B3038" s="59">
        <v>405</v>
      </c>
      <c r="C3038" s="59">
        <v>941</v>
      </c>
      <c r="D3038" s="59" t="s">
        <v>801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ht="15.2" spans="1:10">
      <c r="A3039" s="58" t="s">
        <v>3716</v>
      </c>
      <c r="B3039" s="59">
        <v>787.84</v>
      </c>
      <c r="C3039" s="59">
        <v>1199</v>
      </c>
      <c r="D3039" s="59" t="s">
        <v>803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ht="15.2" spans="1:10">
      <c r="A3040" s="58" t="s">
        <v>3717</v>
      </c>
      <c r="B3040" s="59">
        <v>1287.76</v>
      </c>
      <c r="C3040" s="59">
        <v>1999</v>
      </c>
      <c r="D3040" s="59" t="s">
        <v>803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ht="15.2" spans="1:10">
      <c r="A3041" s="58" t="s">
        <v>3718</v>
      </c>
      <c r="B3041" s="59">
        <v>511</v>
      </c>
      <c r="C3041" s="59">
        <v>1263</v>
      </c>
      <c r="D3041" s="59" t="s">
        <v>801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2399.7</v>
      </c>
    </row>
    <row r="3042" ht="15.2" spans="1:10">
      <c r="A3042" s="58" t="s">
        <v>3719</v>
      </c>
      <c r="B3042" s="59">
        <v>1642.05</v>
      </c>
      <c r="C3042" s="59">
        <v>2499</v>
      </c>
      <c r="D3042" s="59" t="s">
        <v>803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ht="15.2" spans="1:10">
      <c r="A3043" s="58" t="s">
        <v>3720</v>
      </c>
      <c r="B3043" s="59">
        <v>1274.39</v>
      </c>
      <c r="C3043" s="59">
        <v>2099</v>
      </c>
      <c r="D3043" s="59" t="s">
        <v>803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ht="15.2" spans="1:10">
      <c r="A3044" s="58" t="s">
        <v>3721</v>
      </c>
      <c r="B3044" s="59">
        <v>1517.25</v>
      </c>
      <c r="C3044" s="59">
        <v>2499</v>
      </c>
      <c r="D3044" s="59" t="s">
        <v>803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ht="15.2" spans="1:10">
      <c r="A3045" s="58" t="s">
        <v>220</v>
      </c>
      <c r="B3045" s="59">
        <v>384</v>
      </c>
      <c r="C3045" s="59">
        <v>966</v>
      </c>
      <c r="D3045" s="59" t="s">
        <v>801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</v>
      </c>
      <c r="J3045" s="60">
        <f t="shared" si="144"/>
        <v>6182.4</v>
      </c>
    </row>
    <row r="3046" ht="15.2" spans="1:10">
      <c r="A3046" s="58" t="s">
        <v>3722</v>
      </c>
      <c r="B3046" s="59">
        <v>229.32</v>
      </c>
      <c r="C3046" s="59">
        <v>349</v>
      </c>
      <c r="D3046" s="59" t="s">
        <v>803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ht="15.2" spans="1:10">
      <c r="A3047" s="58" t="s">
        <v>3723</v>
      </c>
      <c r="B3047" s="59">
        <v>543</v>
      </c>
      <c r="C3047" s="59">
        <v>1290</v>
      </c>
      <c r="D3047" s="59" t="s">
        <v>801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ht="15.2" spans="1:10">
      <c r="A3048" s="58" t="s">
        <v>3724</v>
      </c>
      <c r="B3048" s="59">
        <v>322</v>
      </c>
      <c r="C3048" s="59">
        <v>755</v>
      </c>
      <c r="D3048" s="59" t="s">
        <v>801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450.8</v>
      </c>
      <c r="J3048" s="60">
        <f t="shared" si="144"/>
        <v>1057</v>
      </c>
    </row>
    <row r="3049" ht="15.2" spans="1:10">
      <c r="A3049" s="58" t="s">
        <v>3725</v>
      </c>
      <c r="B3049" s="59">
        <v>1481.02</v>
      </c>
      <c r="C3049" s="59">
        <v>2299</v>
      </c>
      <c r="D3049" s="59" t="s">
        <v>803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ht="15.2" spans="1:10">
      <c r="A3050" s="58" t="s">
        <v>3726</v>
      </c>
      <c r="B3050" s="59">
        <v>1274.4</v>
      </c>
      <c r="C3050" s="59">
        <v>2099</v>
      </c>
      <c r="D3050" s="59" t="s">
        <v>803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ht="15.2" spans="1:10">
      <c r="A3051" s="58" t="s">
        <v>3727</v>
      </c>
      <c r="B3051" s="59">
        <v>1313.5</v>
      </c>
      <c r="C3051" s="59">
        <v>1999</v>
      </c>
      <c r="D3051" s="59" t="s">
        <v>803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ht="15.2" spans="1:10">
      <c r="A3052" s="58" t="s">
        <v>3728</v>
      </c>
      <c r="B3052" s="59">
        <v>1213.68</v>
      </c>
      <c r="C3052" s="59">
        <v>1999</v>
      </c>
      <c r="D3052" s="59" t="s">
        <v>803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ht="15.2" spans="1:10">
      <c r="A3053" s="58" t="s">
        <v>3729</v>
      </c>
      <c r="B3053" s="59">
        <v>564</v>
      </c>
      <c r="C3053" s="59">
        <v>1387</v>
      </c>
      <c r="D3053" s="59" t="s">
        <v>801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</v>
      </c>
      <c r="J3053" s="60">
        <f t="shared" si="144"/>
        <v>8876.8</v>
      </c>
    </row>
    <row r="3054" ht="15.2" spans="1:10">
      <c r="A3054" s="58" t="s">
        <v>3730</v>
      </c>
      <c r="B3054" s="59">
        <v>1271.65</v>
      </c>
      <c r="C3054" s="59">
        <v>1999</v>
      </c>
      <c r="D3054" s="59" t="s">
        <v>803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</v>
      </c>
      <c r="J3054" s="60">
        <f t="shared" si="144"/>
        <v>5997</v>
      </c>
    </row>
    <row r="3055" ht="15.2" spans="1:10">
      <c r="A3055" s="58" t="s">
        <v>3731</v>
      </c>
      <c r="B3055" s="59">
        <v>1820.82</v>
      </c>
      <c r="C3055" s="59">
        <v>2999</v>
      </c>
      <c r="D3055" s="59" t="s">
        <v>803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ht="15.2" spans="1:10">
      <c r="A3056" s="58" t="s">
        <v>3732</v>
      </c>
      <c r="B3056" s="59">
        <v>1213.68</v>
      </c>
      <c r="C3056" s="59">
        <v>1999</v>
      </c>
      <c r="D3056" s="59" t="s">
        <v>803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ht="15.2" spans="1:10">
      <c r="A3057" s="58" t="s">
        <v>3733</v>
      </c>
      <c r="B3057" s="59">
        <v>1699.39</v>
      </c>
      <c r="C3057" s="59">
        <v>2799</v>
      </c>
      <c r="D3057" s="59" t="s">
        <v>803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ht="15.2" spans="1:10">
      <c r="A3058" s="58" t="s">
        <v>3734</v>
      </c>
      <c r="B3058" s="59">
        <v>1025</v>
      </c>
      <c r="C3058" s="59">
        <v>2783</v>
      </c>
      <c r="D3058" s="59" t="s">
        <v>801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ht="15.2" spans="1:10">
      <c r="A3059" s="58" t="s">
        <v>3735</v>
      </c>
      <c r="B3059" s="59">
        <v>525</v>
      </c>
      <c r="C3059" s="59">
        <v>799</v>
      </c>
      <c r="D3059" s="59" t="s">
        <v>803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ht="15.2" spans="1:10">
      <c r="A3060" s="58" t="s">
        <v>3736</v>
      </c>
      <c r="B3060" s="59">
        <v>1354.77</v>
      </c>
      <c r="C3060" s="59">
        <v>2299</v>
      </c>
      <c r="D3060" s="59" t="s">
        <v>803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ht="15.2" spans="1:10">
      <c r="A3061" s="58" t="s">
        <v>3737</v>
      </c>
      <c r="B3061" s="59">
        <v>661</v>
      </c>
      <c r="C3061" s="59">
        <v>1388</v>
      </c>
      <c r="D3061" s="59" t="s">
        <v>801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ht="15.2" spans="1:10">
      <c r="A3062" s="58" t="s">
        <v>3738</v>
      </c>
      <c r="B3062" s="59">
        <v>1031.54</v>
      </c>
      <c r="C3062" s="59">
        <v>1699</v>
      </c>
      <c r="D3062" s="59" t="s">
        <v>803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ht="15.2" spans="1:10">
      <c r="A3063" s="58" t="s">
        <v>3739</v>
      </c>
      <c r="B3063" s="59">
        <v>1213.68</v>
      </c>
      <c r="C3063" s="59">
        <v>1999</v>
      </c>
      <c r="D3063" s="59" t="s">
        <v>803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ht="15.2" spans="1:10">
      <c r="A3064" s="58" t="s">
        <v>3740</v>
      </c>
      <c r="B3064" s="59">
        <v>1182.09</v>
      </c>
      <c r="C3064" s="59">
        <v>1799</v>
      </c>
      <c r="D3064" s="59" t="s">
        <v>803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ht="15.2" spans="1:10">
      <c r="A3065" s="58" t="s">
        <v>3741</v>
      </c>
      <c r="B3065" s="59">
        <v>1313.5</v>
      </c>
      <c r="C3065" s="59">
        <v>1999</v>
      </c>
      <c r="D3065" s="59" t="s">
        <v>803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ht="15.2" spans="1:10">
      <c r="A3066" s="58" t="s">
        <v>3742</v>
      </c>
      <c r="B3066" s="59">
        <v>1510.63</v>
      </c>
      <c r="C3066" s="59">
        <v>2299</v>
      </c>
      <c r="D3066" s="59" t="s">
        <v>803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ht="15.2" spans="1:10">
      <c r="A3067" s="58" t="s">
        <v>3743</v>
      </c>
      <c r="B3067" s="59">
        <v>1249</v>
      </c>
      <c r="C3067" s="59">
        <v>2840</v>
      </c>
      <c r="D3067" s="59" t="s">
        <v>801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ht="15.2" spans="1:10">
      <c r="A3068" s="58" t="s">
        <v>3744</v>
      </c>
      <c r="B3068" s="59">
        <v>629</v>
      </c>
      <c r="C3068" s="59">
        <v>1407</v>
      </c>
      <c r="D3068" s="59" t="s">
        <v>801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ht="15.2" spans="1:10">
      <c r="A3069" s="58" t="s">
        <v>3745</v>
      </c>
      <c r="B3069" s="59">
        <v>2102</v>
      </c>
      <c r="C3069" s="59">
        <v>3199</v>
      </c>
      <c r="D3069" s="59" t="s">
        <v>803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ht="15.2" spans="1:10">
      <c r="A3070" s="58" t="s">
        <v>3746</v>
      </c>
      <c r="B3070" s="59">
        <v>1313.5</v>
      </c>
      <c r="C3070" s="59">
        <v>1999</v>
      </c>
      <c r="D3070" s="59" t="s">
        <v>803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ht="15.2" spans="1:10">
      <c r="A3071" s="58" t="s">
        <v>3747</v>
      </c>
      <c r="B3071" s="59">
        <v>3763.68</v>
      </c>
      <c r="C3071" s="59">
        <v>6199</v>
      </c>
      <c r="D3071" s="59" t="s">
        <v>803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ht="15.2" spans="1:10">
      <c r="A3072" s="58" t="s">
        <v>3748</v>
      </c>
      <c r="B3072" s="59">
        <v>2102</v>
      </c>
      <c r="C3072" s="59">
        <v>3199</v>
      </c>
      <c r="D3072" s="59" t="s">
        <v>803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ht="15.2" spans="1:10">
      <c r="A3073" s="58" t="s">
        <v>3749</v>
      </c>
      <c r="B3073" s="59">
        <v>3642.25</v>
      </c>
      <c r="C3073" s="59">
        <v>5999</v>
      </c>
      <c r="D3073" s="59" t="s">
        <v>803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ht="15.2" spans="1:10">
      <c r="A3074" s="58" t="s">
        <v>3750</v>
      </c>
      <c r="B3074" s="59">
        <v>525</v>
      </c>
      <c r="C3074" s="59">
        <v>1102</v>
      </c>
      <c r="D3074" s="59" t="s">
        <v>801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</v>
      </c>
    </row>
    <row r="3075" ht="15.2" spans="1:10">
      <c r="A3075" s="58" t="s">
        <v>3751</v>
      </c>
      <c r="B3075" s="59">
        <v>1000</v>
      </c>
      <c r="C3075" s="59">
        <v>1599</v>
      </c>
      <c r="D3075" s="59" t="s">
        <v>803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ht="15.2" spans="1:10">
      <c r="A3076" s="58" t="s">
        <v>3752</v>
      </c>
      <c r="B3076" s="59">
        <v>977</v>
      </c>
      <c r="C3076" s="59">
        <v>2327</v>
      </c>
      <c r="D3076" s="59" t="s">
        <v>801</v>
      </c>
      <c r="E3076" s="59">
        <v>2.2</v>
      </c>
      <c r="F3076" s="59">
        <v>2.2</v>
      </c>
      <c r="G3076" s="59">
        <v>0</v>
      </c>
      <c r="H3076" s="60">
        <f t="shared" si="145"/>
        <v>2.2</v>
      </c>
      <c r="I3076" s="60">
        <f t="shared" si="146"/>
        <v>2149.4</v>
      </c>
      <c r="J3076" s="60">
        <f t="shared" si="147"/>
        <v>5119.4</v>
      </c>
    </row>
    <row r="3077" ht="15.2" spans="1:10">
      <c r="A3077" s="58" t="s">
        <v>3753</v>
      </c>
      <c r="B3077" s="59">
        <v>656.42</v>
      </c>
      <c r="C3077" s="59">
        <v>999</v>
      </c>
      <c r="D3077" s="59" t="s">
        <v>803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ht="15.2" spans="1:10">
      <c r="A3078" s="58" t="s">
        <v>3754</v>
      </c>
      <c r="B3078" s="59">
        <v>1354.77</v>
      </c>
      <c r="C3078" s="59">
        <v>2299</v>
      </c>
      <c r="D3078" s="59" t="s">
        <v>803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ht="15.2" spans="1:10">
      <c r="A3079" s="58" t="s">
        <v>3755</v>
      </c>
      <c r="B3079" s="59">
        <v>1274.4</v>
      </c>
      <c r="C3079" s="59">
        <v>2099</v>
      </c>
      <c r="D3079" s="59" t="s">
        <v>803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</v>
      </c>
      <c r="J3079" s="60">
        <f t="shared" si="147"/>
        <v>4198</v>
      </c>
    </row>
    <row r="3080" ht="15.2" spans="1:10">
      <c r="A3080" s="58" t="s">
        <v>3756</v>
      </c>
      <c r="B3080" s="59">
        <v>4249.39</v>
      </c>
      <c r="C3080" s="59">
        <v>6999</v>
      </c>
      <c r="D3080" s="59" t="s">
        <v>803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ht="15.2" spans="1:10">
      <c r="A3081" s="58" t="s">
        <v>3757</v>
      </c>
      <c r="B3081" s="59">
        <v>1576.34</v>
      </c>
      <c r="C3081" s="59">
        <v>2399</v>
      </c>
      <c r="D3081" s="59" t="s">
        <v>803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ht="15.2" spans="1:10">
      <c r="A3082" s="58" t="s">
        <v>3758</v>
      </c>
      <c r="B3082" s="59">
        <v>1313.5</v>
      </c>
      <c r="C3082" s="59">
        <v>1999</v>
      </c>
      <c r="D3082" s="59" t="s">
        <v>803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ht="15.2" spans="1:10">
      <c r="A3083" s="58" t="s">
        <v>3759</v>
      </c>
      <c r="B3083" s="59">
        <v>1638.68</v>
      </c>
      <c r="C3083" s="59">
        <v>2699</v>
      </c>
      <c r="D3083" s="59" t="s">
        <v>803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ht="15.2" spans="1:10">
      <c r="A3084" s="58" t="s">
        <v>3760</v>
      </c>
      <c r="B3084" s="59">
        <v>525</v>
      </c>
      <c r="C3084" s="59">
        <v>1172</v>
      </c>
      <c r="D3084" s="59" t="s">
        <v>801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996.2</v>
      </c>
    </row>
    <row r="3085" ht="15.2" spans="1:10">
      <c r="A3085" s="58" t="s">
        <v>3761</v>
      </c>
      <c r="B3085" s="59">
        <v>1517.25</v>
      </c>
      <c r="C3085" s="59">
        <v>2499</v>
      </c>
      <c r="D3085" s="59" t="s">
        <v>803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ht="15.2" spans="1:10">
      <c r="A3086" s="58" t="s">
        <v>3762</v>
      </c>
      <c r="B3086" s="59">
        <v>1213.68</v>
      </c>
      <c r="C3086" s="59">
        <v>1999</v>
      </c>
      <c r="D3086" s="59" t="s">
        <v>803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ht="15.2" spans="1:10">
      <c r="A3087" s="58" t="s">
        <v>3763</v>
      </c>
      <c r="B3087" s="59">
        <v>1287.76</v>
      </c>
      <c r="C3087" s="59">
        <v>1999</v>
      </c>
      <c r="D3087" s="59" t="s">
        <v>803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ht="15.2" spans="1:10">
      <c r="A3088" s="58" t="s">
        <v>3764</v>
      </c>
      <c r="B3088" s="59">
        <v>365</v>
      </c>
      <c r="C3088" s="59">
        <v>887</v>
      </c>
      <c r="D3088" s="59" t="s">
        <v>801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ht="15.2" spans="1:10">
      <c r="A3089" s="58" t="s">
        <v>3765</v>
      </c>
      <c r="B3089" s="59">
        <v>1642.05</v>
      </c>
      <c r="C3089" s="59">
        <v>2499</v>
      </c>
      <c r="D3089" s="59" t="s">
        <v>803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ht="15.2" spans="1:10">
      <c r="A3090" s="58" t="s">
        <v>3766</v>
      </c>
      <c r="B3090" s="59">
        <v>1416.6</v>
      </c>
      <c r="C3090" s="59">
        <v>2199</v>
      </c>
      <c r="D3090" s="59" t="s">
        <v>803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ht="15.2" spans="1:10">
      <c r="A3091" s="58" t="s">
        <v>3767</v>
      </c>
      <c r="B3091" s="59">
        <v>1295.84</v>
      </c>
      <c r="C3091" s="59">
        <v>2199</v>
      </c>
      <c r="D3091" s="59" t="s">
        <v>803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1295.84</v>
      </c>
      <c r="J3091" s="60">
        <f t="shared" si="147"/>
        <v>2199</v>
      </c>
    </row>
    <row r="3092" ht="15.2" spans="1:10">
      <c r="A3092" s="58" t="s">
        <v>3768</v>
      </c>
      <c r="B3092" s="59">
        <v>525</v>
      </c>
      <c r="C3092" s="59">
        <v>1149</v>
      </c>
      <c r="D3092" s="59" t="s">
        <v>801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ht="15.2" spans="1:10">
      <c r="A3093" s="58" t="s">
        <v>3769</v>
      </c>
      <c r="B3093" s="59">
        <v>910.24</v>
      </c>
      <c r="C3093" s="59">
        <v>1399</v>
      </c>
      <c r="D3093" s="59" t="s">
        <v>803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ht="15.2" spans="1:10">
      <c r="A3094" s="58" t="s">
        <v>3770</v>
      </c>
      <c r="B3094" s="59">
        <v>512</v>
      </c>
      <c r="C3094" s="59">
        <v>1030</v>
      </c>
      <c r="D3094" s="59" t="s">
        <v>801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ht="15.2" spans="1:10">
      <c r="A3095" s="58" t="s">
        <v>3771</v>
      </c>
      <c r="B3095" s="59">
        <v>1152.96</v>
      </c>
      <c r="C3095" s="59">
        <v>1899</v>
      </c>
      <c r="D3095" s="59" t="s">
        <v>803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ht="15.2" spans="1:10">
      <c r="A3096" s="58" t="s">
        <v>3772</v>
      </c>
      <c r="B3096" s="59">
        <v>295.02</v>
      </c>
      <c r="C3096" s="59">
        <v>449</v>
      </c>
      <c r="D3096" s="59" t="s">
        <v>803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ht="15.2" spans="1:10">
      <c r="A3097" s="58" t="s">
        <v>3773</v>
      </c>
      <c r="B3097" s="59">
        <v>1354.77</v>
      </c>
      <c r="C3097" s="59">
        <v>2299</v>
      </c>
      <c r="D3097" s="59" t="s">
        <v>803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ht="15.2" spans="1:10">
      <c r="A3098" s="58" t="s">
        <v>3774</v>
      </c>
      <c r="B3098" s="59">
        <v>656.42</v>
      </c>
      <c r="C3098" s="59">
        <v>999</v>
      </c>
      <c r="D3098" s="59" t="s">
        <v>803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ht="15.2" spans="1:10">
      <c r="A3099" s="58" t="s">
        <v>3775</v>
      </c>
      <c r="B3099" s="59">
        <v>413</v>
      </c>
      <c r="C3099" s="59">
        <v>845</v>
      </c>
      <c r="D3099" s="59" t="s">
        <v>801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289.1</v>
      </c>
      <c r="J3099" s="60">
        <f t="shared" si="147"/>
        <v>591.5</v>
      </c>
    </row>
    <row r="3100" ht="15.2" spans="1:10">
      <c r="A3100" s="58" t="s">
        <v>3776</v>
      </c>
      <c r="B3100" s="59">
        <v>1577.97</v>
      </c>
      <c r="C3100" s="59">
        <v>2599</v>
      </c>
      <c r="D3100" s="59" t="s">
        <v>803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ht="15.2" spans="1:10">
      <c r="A3101" s="58" t="s">
        <v>3777</v>
      </c>
      <c r="B3101" s="59">
        <v>538</v>
      </c>
      <c r="C3101" s="59">
        <v>1276</v>
      </c>
      <c r="D3101" s="59" t="s">
        <v>801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</v>
      </c>
      <c r="J3101" s="60">
        <f t="shared" si="147"/>
        <v>510.4</v>
      </c>
    </row>
    <row r="3102" ht="15.2" spans="1:10">
      <c r="A3102" s="58" t="s">
        <v>3778</v>
      </c>
      <c r="B3102" s="59">
        <v>320.2</v>
      </c>
      <c r="C3102" s="59">
        <v>943</v>
      </c>
      <c r="D3102" s="59" t="s">
        <v>801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720.45</v>
      </c>
      <c r="J3102" s="60">
        <f t="shared" si="147"/>
        <v>2121.75</v>
      </c>
    </row>
    <row r="3103" ht="15.2" spans="1:10">
      <c r="A3103" s="58" t="s">
        <v>3779</v>
      </c>
      <c r="B3103" s="59">
        <v>911.44</v>
      </c>
      <c r="C3103" s="59">
        <v>1399</v>
      </c>
      <c r="D3103" s="59" t="s">
        <v>803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</v>
      </c>
      <c r="J3103" s="60">
        <f t="shared" si="147"/>
        <v>6995</v>
      </c>
    </row>
    <row r="3104" ht="15.2" spans="1:10">
      <c r="A3104" s="58" t="s">
        <v>3780</v>
      </c>
      <c r="B3104" s="59">
        <v>1274.39</v>
      </c>
      <c r="C3104" s="59">
        <v>2099</v>
      </c>
      <c r="D3104" s="59" t="s">
        <v>803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ht="15.2" spans="1:10">
      <c r="A3105" s="58" t="s">
        <v>3781</v>
      </c>
      <c r="B3105" s="59">
        <v>1213.68</v>
      </c>
      <c r="C3105" s="59">
        <v>1999</v>
      </c>
      <c r="D3105" s="59" t="s">
        <v>803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ht="15.2" spans="1:10">
      <c r="A3106" s="58" t="s">
        <v>3782</v>
      </c>
      <c r="B3106" s="59">
        <v>1767.27</v>
      </c>
      <c r="C3106" s="59">
        <v>2999</v>
      </c>
      <c r="D3106" s="59" t="s">
        <v>803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ht="15.2" spans="1:10">
      <c r="A3107" s="58" t="s">
        <v>3783</v>
      </c>
      <c r="B3107" s="59">
        <v>2651.2</v>
      </c>
      <c r="C3107" s="59">
        <v>4499</v>
      </c>
      <c r="D3107" s="59" t="s">
        <v>803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ht="15.2" spans="1:10">
      <c r="A3108" s="58" t="s">
        <v>3784</v>
      </c>
      <c r="B3108" s="59">
        <v>452.69</v>
      </c>
      <c r="C3108" s="59">
        <v>699</v>
      </c>
      <c r="D3108" s="59" t="s">
        <v>803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ht="15.2" spans="1:10">
      <c r="A3109" s="58" t="s">
        <v>3785</v>
      </c>
      <c r="B3109" s="59">
        <v>853.55</v>
      </c>
      <c r="C3109" s="59">
        <v>1299</v>
      </c>
      <c r="D3109" s="59" t="s">
        <v>803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ht="15.2" spans="1:10">
      <c r="A3110" s="58" t="s">
        <v>3786</v>
      </c>
      <c r="B3110" s="59">
        <v>1545.44</v>
      </c>
      <c r="C3110" s="59">
        <v>2399</v>
      </c>
      <c r="D3110" s="59" t="s">
        <v>803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ht="15.2" spans="1:10">
      <c r="A3111" s="58" t="s">
        <v>3787</v>
      </c>
      <c r="B3111" s="59">
        <v>252</v>
      </c>
      <c r="C3111" s="59">
        <v>620</v>
      </c>
      <c r="D3111" s="59" t="s">
        <v>801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</v>
      </c>
      <c r="J3111" s="60">
        <f t="shared" si="147"/>
        <v>496</v>
      </c>
    </row>
    <row r="3112" ht="15.2" spans="1:10">
      <c r="A3112" s="58" t="s">
        <v>3788</v>
      </c>
      <c r="B3112" s="59">
        <v>1638.68</v>
      </c>
      <c r="C3112" s="59">
        <v>2699</v>
      </c>
      <c r="D3112" s="59" t="s">
        <v>803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ht="15.2" spans="1:10">
      <c r="A3113" s="58" t="s">
        <v>3789</v>
      </c>
      <c r="B3113" s="59">
        <v>1379.21</v>
      </c>
      <c r="C3113" s="59">
        <v>2099</v>
      </c>
      <c r="D3113" s="59" t="s">
        <v>803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ht="15.2" spans="1:10">
      <c r="A3114" s="58" t="s">
        <v>3790</v>
      </c>
      <c r="B3114" s="59">
        <v>970.78</v>
      </c>
      <c r="C3114" s="59">
        <v>1499</v>
      </c>
      <c r="D3114" s="59" t="s">
        <v>803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ht="15.2" spans="1:10">
      <c r="A3115" s="58" t="s">
        <v>3791</v>
      </c>
      <c r="B3115" s="59">
        <v>0</v>
      </c>
      <c r="C3115" s="59">
        <v>0</v>
      </c>
      <c r="D3115" s="59" t="s">
        <v>815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ht="15.2" spans="1:10">
      <c r="A3116" s="58" t="s">
        <v>3792</v>
      </c>
      <c r="B3116" s="59">
        <v>413</v>
      </c>
      <c r="C3116" s="59">
        <v>959</v>
      </c>
      <c r="D3116" s="59" t="s">
        <v>801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392.35</v>
      </c>
      <c r="J3116" s="60">
        <f t="shared" si="147"/>
        <v>911.05</v>
      </c>
    </row>
    <row r="3117" ht="15.2" spans="1:10">
      <c r="A3117" s="58" t="s">
        <v>3793</v>
      </c>
      <c r="B3117" s="59">
        <v>661.2</v>
      </c>
      <c r="C3117" s="59">
        <v>1748</v>
      </c>
      <c r="D3117" s="59" t="s">
        <v>801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</v>
      </c>
      <c r="J3117" s="60">
        <f t="shared" si="147"/>
        <v>786.6</v>
      </c>
    </row>
    <row r="3118" ht="15.2" spans="1:10">
      <c r="A3118" s="58" t="s">
        <v>3794</v>
      </c>
      <c r="B3118" s="59">
        <v>3035.11</v>
      </c>
      <c r="C3118" s="59">
        <v>4999</v>
      </c>
      <c r="D3118" s="59" t="s">
        <v>803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ht="15.2" spans="1:10">
      <c r="A3119" s="58" t="s">
        <v>3795</v>
      </c>
      <c r="B3119" s="59">
        <v>1313.5</v>
      </c>
      <c r="C3119" s="59">
        <v>1999</v>
      </c>
      <c r="D3119" s="59" t="s">
        <v>803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ht="15.2" spans="1:10">
      <c r="A3120" s="58" t="s">
        <v>144</v>
      </c>
      <c r="B3120" s="59">
        <v>645</v>
      </c>
      <c r="C3120" s="59">
        <v>1439</v>
      </c>
      <c r="D3120" s="59" t="s">
        <v>801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3612</v>
      </c>
      <c r="J3120" s="60">
        <f t="shared" si="147"/>
        <v>8058.4</v>
      </c>
    </row>
    <row r="3121" ht="15.2" spans="1:10">
      <c r="A3121" s="58" t="s">
        <v>3796</v>
      </c>
      <c r="B3121" s="59">
        <v>1416.6</v>
      </c>
      <c r="C3121" s="59">
        <v>2199</v>
      </c>
      <c r="D3121" s="59" t="s">
        <v>803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ht="15.2" spans="1:10">
      <c r="A3122" s="58" t="s">
        <v>3797</v>
      </c>
      <c r="B3122" s="59">
        <v>232</v>
      </c>
      <c r="C3122" s="59">
        <v>552</v>
      </c>
      <c r="D3122" s="59" t="s">
        <v>801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ht="15.2" spans="1:10">
      <c r="A3123" s="58" t="s">
        <v>3798</v>
      </c>
      <c r="B3123" s="59">
        <v>970.78</v>
      </c>
      <c r="C3123" s="59">
        <v>1499</v>
      </c>
      <c r="D3123" s="59" t="s">
        <v>803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ht="15.2" spans="1:10">
      <c r="A3124" s="58" t="s">
        <v>3799</v>
      </c>
      <c r="B3124" s="59">
        <v>1416.6</v>
      </c>
      <c r="C3124" s="59">
        <v>2199</v>
      </c>
      <c r="D3124" s="59" t="s">
        <v>803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ht="15.2" spans="1:10">
      <c r="A3125" s="58" t="s">
        <v>3800</v>
      </c>
      <c r="B3125" s="59">
        <v>776.49</v>
      </c>
      <c r="C3125" s="59">
        <v>1199</v>
      </c>
      <c r="D3125" s="59" t="s">
        <v>803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ht="15.2" spans="1:10">
      <c r="A3126" s="58" t="s">
        <v>3801</v>
      </c>
      <c r="B3126" s="59">
        <v>646</v>
      </c>
      <c r="C3126" s="59">
        <v>1318</v>
      </c>
      <c r="D3126" s="59" t="s">
        <v>801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ht="15.2" spans="1:10">
      <c r="A3127" s="58" t="s">
        <v>3802</v>
      </c>
      <c r="B3127" s="59">
        <v>1456.54</v>
      </c>
      <c r="C3127" s="59">
        <v>2399</v>
      </c>
      <c r="D3127" s="59" t="s">
        <v>803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ht="15.2" spans="1:10">
      <c r="A3128" s="58" t="s">
        <v>3803</v>
      </c>
      <c r="B3128" s="59">
        <v>299</v>
      </c>
      <c r="C3128" s="59">
        <v>628</v>
      </c>
      <c r="D3128" s="59" t="s">
        <v>801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ht="15.2" spans="1:10">
      <c r="A3129" s="58" t="s">
        <v>3804</v>
      </c>
      <c r="B3129" s="59">
        <v>410</v>
      </c>
      <c r="C3129" s="59">
        <v>976</v>
      </c>
      <c r="D3129" s="59" t="s">
        <v>801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ht="15.2" spans="1:10">
      <c r="A3130" s="58" t="s">
        <v>3805</v>
      </c>
      <c r="B3130" s="59">
        <v>309.7</v>
      </c>
      <c r="C3130" s="59">
        <v>743</v>
      </c>
      <c r="D3130" s="59" t="s">
        <v>801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ht="15.2" spans="1:10">
      <c r="A3131" s="58" t="s">
        <v>3806</v>
      </c>
      <c r="B3131" s="59">
        <v>7660.13</v>
      </c>
      <c r="C3131" s="59">
        <v>12999</v>
      </c>
      <c r="D3131" s="59" t="s">
        <v>803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ht="15.2" spans="1:10">
      <c r="A3132" s="58" t="s">
        <v>3807</v>
      </c>
      <c r="B3132" s="59">
        <v>1395.82</v>
      </c>
      <c r="C3132" s="59">
        <v>2299</v>
      </c>
      <c r="D3132" s="59" t="s">
        <v>803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ht="15.2" spans="1:10">
      <c r="A3133" s="58" t="s">
        <v>3808</v>
      </c>
      <c r="B3133" s="59">
        <v>718</v>
      </c>
      <c r="C3133" s="59">
        <v>1659</v>
      </c>
      <c r="D3133" s="59" t="s">
        <v>801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ht="15.2" spans="1:10">
      <c r="A3134" s="58" t="s">
        <v>3809</v>
      </c>
      <c r="B3134" s="59">
        <v>349</v>
      </c>
      <c r="C3134" s="59">
        <v>698</v>
      </c>
      <c r="D3134" s="59" t="s">
        <v>801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ht="15.2" spans="1:10">
      <c r="A3135" s="58" t="s">
        <v>3810</v>
      </c>
      <c r="B3135" s="59">
        <v>336</v>
      </c>
      <c r="C3135" s="59">
        <v>782</v>
      </c>
      <c r="D3135" s="59" t="s">
        <v>801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ht="15.2" spans="1:10">
      <c r="A3136" s="58" t="s">
        <v>3811</v>
      </c>
      <c r="B3136" s="59">
        <v>1274.4</v>
      </c>
      <c r="C3136" s="59">
        <v>2099</v>
      </c>
      <c r="D3136" s="59" t="s">
        <v>803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ht="15.2" spans="1:10">
      <c r="A3137" s="58" t="s">
        <v>3812</v>
      </c>
      <c r="B3137" s="59">
        <v>513</v>
      </c>
      <c r="C3137" s="59">
        <v>1221</v>
      </c>
      <c r="D3137" s="59" t="s">
        <v>801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ht="15.2" spans="1:10">
      <c r="A3138" s="58" t="s">
        <v>3813</v>
      </c>
      <c r="B3138" s="59">
        <v>1162.63</v>
      </c>
      <c r="C3138" s="59">
        <v>1799</v>
      </c>
      <c r="D3138" s="59" t="s">
        <v>803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</v>
      </c>
      <c r="J3138" s="60">
        <f t="shared" ref="J3138:J3201" si="150">C3138*H3138</f>
        <v>1799</v>
      </c>
    </row>
    <row r="3139" ht="15.2" spans="1:10">
      <c r="A3139" s="58" t="s">
        <v>3814</v>
      </c>
      <c r="B3139" s="59">
        <v>1638.68</v>
      </c>
      <c r="C3139" s="59">
        <v>2699</v>
      </c>
      <c r="D3139" s="59" t="s">
        <v>803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ht="15.2" spans="1:10">
      <c r="A3140" s="58" t="s">
        <v>3815</v>
      </c>
      <c r="B3140" s="59">
        <v>426</v>
      </c>
      <c r="C3140" s="59">
        <v>1016</v>
      </c>
      <c r="D3140" s="59" t="s">
        <v>801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</v>
      </c>
      <c r="J3140" s="60">
        <f t="shared" si="150"/>
        <v>1828.8</v>
      </c>
    </row>
    <row r="3141" ht="15.2" spans="1:10">
      <c r="A3141" s="58" t="s">
        <v>3816</v>
      </c>
      <c r="B3141" s="59">
        <v>1481.02</v>
      </c>
      <c r="C3141" s="59">
        <v>2299</v>
      </c>
      <c r="D3141" s="59" t="s">
        <v>803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ht="15.2" spans="1:10">
      <c r="A3142" s="58" t="s">
        <v>3817</v>
      </c>
      <c r="B3142" s="59">
        <v>1609.86</v>
      </c>
      <c r="C3142" s="59">
        <v>2499</v>
      </c>
      <c r="D3142" s="59" t="s">
        <v>803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ht="15.2" spans="1:10">
      <c r="A3143" s="58" t="s">
        <v>3818</v>
      </c>
      <c r="B3143" s="59">
        <v>646</v>
      </c>
      <c r="C3143" s="59">
        <v>1318</v>
      </c>
      <c r="D3143" s="59" t="s">
        <v>801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ht="15.2" spans="1:10">
      <c r="A3144" s="58" t="s">
        <v>3819</v>
      </c>
      <c r="B3144" s="59">
        <v>2167.7</v>
      </c>
      <c r="C3144" s="59">
        <v>3299</v>
      </c>
      <c r="D3144" s="59" t="s">
        <v>803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2167.7</v>
      </c>
      <c r="J3144" s="60">
        <f t="shared" si="150"/>
        <v>3299</v>
      </c>
    </row>
    <row r="3145" ht="15.2" spans="1:10">
      <c r="A3145" s="58" t="s">
        <v>3820</v>
      </c>
      <c r="B3145" s="59">
        <v>692</v>
      </c>
      <c r="C3145" s="59">
        <v>1613</v>
      </c>
      <c r="D3145" s="59" t="s">
        <v>801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</v>
      </c>
    </row>
    <row r="3146" ht="15.2" spans="1:10">
      <c r="A3146" s="58" t="s">
        <v>3821</v>
      </c>
      <c r="B3146" s="59">
        <v>1456.54</v>
      </c>
      <c r="C3146" s="59">
        <v>2399</v>
      </c>
      <c r="D3146" s="59" t="s">
        <v>803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ht="15.2" spans="1:10">
      <c r="A3147" s="58" t="s">
        <v>3822</v>
      </c>
      <c r="B3147" s="59">
        <v>871</v>
      </c>
      <c r="C3147" s="59">
        <v>2145</v>
      </c>
      <c r="D3147" s="59" t="s">
        <v>801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ht="15.2" spans="1:10">
      <c r="A3148" s="58" t="s">
        <v>3823</v>
      </c>
      <c r="B3148" s="59">
        <v>1545.44</v>
      </c>
      <c r="C3148" s="59">
        <v>2399</v>
      </c>
      <c r="D3148" s="59" t="s">
        <v>803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ht="15.2" spans="1:10">
      <c r="A3149" s="58" t="s">
        <v>3824</v>
      </c>
      <c r="B3149" s="59">
        <v>345</v>
      </c>
      <c r="C3149" s="59">
        <v>810</v>
      </c>
      <c r="D3149" s="59" t="s">
        <v>801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ht="15.2" spans="1:10">
      <c r="A3150" s="58" t="s">
        <v>3825</v>
      </c>
      <c r="B3150" s="59">
        <v>776.49</v>
      </c>
      <c r="C3150" s="59">
        <v>1199</v>
      </c>
      <c r="D3150" s="59" t="s">
        <v>803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ht="15.2" spans="1:10">
      <c r="A3151" s="58" t="s">
        <v>3826</v>
      </c>
      <c r="B3151" s="59">
        <v>287.3</v>
      </c>
      <c r="C3151" s="59">
        <v>967</v>
      </c>
      <c r="D3151" s="59" t="s">
        <v>801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</v>
      </c>
      <c r="J3151" s="60">
        <f t="shared" si="150"/>
        <v>193.4</v>
      </c>
    </row>
    <row r="3152" ht="15.2" spans="1:10">
      <c r="A3152" s="58" t="s">
        <v>3827</v>
      </c>
      <c r="B3152" s="59">
        <v>1576.34</v>
      </c>
      <c r="C3152" s="59">
        <v>2399</v>
      </c>
      <c r="D3152" s="59" t="s">
        <v>803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ht="15.2" spans="1:10">
      <c r="A3153" s="58" t="s">
        <v>3828</v>
      </c>
      <c r="B3153" s="59">
        <v>970.78</v>
      </c>
      <c r="C3153" s="59">
        <v>1499</v>
      </c>
      <c r="D3153" s="59" t="s">
        <v>803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ht="15.2" spans="1:10">
      <c r="A3154" s="58" t="s">
        <v>3829</v>
      </c>
      <c r="B3154" s="59">
        <v>1444.92</v>
      </c>
      <c r="C3154" s="59">
        <v>2199</v>
      </c>
      <c r="D3154" s="59" t="s">
        <v>803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ht="15.2" spans="1:10">
      <c r="A3155" s="58" t="s">
        <v>3830</v>
      </c>
      <c r="B3155" s="59">
        <v>2063.68</v>
      </c>
      <c r="C3155" s="59">
        <v>3399</v>
      </c>
      <c r="D3155" s="59" t="s">
        <v>803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2063.68</v>
      </c>
      <c r="J3155" s="60">
        <f t="shared" si="150"/>
        <v>3399</v>
      </c>
    </row>
    <row r="3156" ht="15.2" spans="1:10">
      <c r="A3156" s="58" t="s">
        <v>3831</v>
      </c>
      <c r="B3156" s="59">
        <v>1092.25</v>
      </c>
      <c r="C3156" s="59">
        <v>1799</v>
      </c>
      <c r="D3156" s="59" t="s">
        <v>803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ht="15.2" spans="1:10">
      <c r="A3157" s="58" t="s">
        <v>3832</v>
      </c>
      <c r="B3157" s="59">
        <v>615</v>
      </c>
      <c r="C3157" s="59">
        <v>1447</v>
      </c>
      <c r="D3157" s="59" t="s">
        <v>801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ht="15.2" spans="1:10">
      <c r="A3158" s="58" t="s">
        <v>3833</v>
      </c>
      <c r="B3158" s="59">
        <v>1280</v>
      </c>
      <c r="C3158" s="59">
        <v>3238</v>
      </c>
      <c r="D3158" s="59" t="s">
        <v>801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5504.6</v>
      </c>
    </row>
    <row r="3159" ht="15.2" spans="1:10">
      <c r="A3159" s="58" t="s">
        <v>3834</v>
      </c>
      <c r="B3159" s="59">
        <v>399</v>
      </c>
      <c r="C3159" s="59">
        <v>838</v>
      </c>
      <c r="D3159" s="59" t="s">
        <v>801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</v>
      </c>
      <c r="J3159" s="60">
        <f t="shared" si="150"/>
        <v>335.2</v>
      </c>
    </row>
    <row r="3160" ht="15.2" spans="1:10">
      <c r="A3160" s="58" t="s">
        <v>3835</v>
      </c>
      <c r="B3160" s="59">
        <v>722.13</v>
      </c>
      <c r="C3160" s="59">
        <v>1099</v>
      </c>
      <c r="D3160" s="59" t="s">
        <v>803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ht="15.2" spans="1:10">
      <c r="A3161" s="58" t="s">
        <v>3836</v>
      </c>
      <c r="B3161" s="59">
        <v>295.02</v>
      </c>
      <c r="C3161" s="59">
        <v>449</v>
      </c>
      <c r="D3161" s="59" t="s">
        <v>803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ht="15.2" spans="1:10">
      <c r="A3162" s="58" t="s">
        <v>3837</v>
      </c>
      <c r="B3162" s="59">
        <v>525</v>
      </c>
      <c r="C3162" s="59">
        <v>1102</v>
      </c>
      <c r="D3162" s="59" t="s">
        <v>801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ht="15.2" spans="1:10">
      <c r="A3163" s="58" t="s">
        <v>3838</v>
      </c>
      <c r="B3163" s="59">
        <v>1456.54</v>
      </c>
      <c r="C3163" s="59">
        <v>2399</v>
      </c>
      <c r="D3163" s="59" t="s">
        <v>803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ht="15.2" spans="1:10">
      <c r="A3164" s="58" t="s">
        <v>3839</v>
      </c>
      <c r="B3164" s="59">
        <v>1577.96</v>
      </c>
      <c r="C3164" s="59">
        <v>2599</v>
      </c>
      <c r="D3164" s="59" t="s">
        <v>803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ht="15.2" spans="1:10">
      <c r="A3165" s="58" t="s">
        <v>3840</v>
      </c>
      <c r="B3165" s="59">
        <v>2102</v>
      </c>
      <c r="C3165" s="59">
        <v>3199</v>
      </c>
      <c r="D3165" s="59" t="s">
        <v>803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ht="15.2" spans="1:10">
      <c r="A3166" s="58" t="s">
        <v>3841</v>
      </c>
      <c r="B3166" s="59">
        <v>1182.09</v>
      </c>
      <c r="C3166" s="59">
        <v>1799</v>
      </c>
      <c r="D3166" s="59" t="s">
        <v>803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1182.09</v>
      </c>
      <c r="J3166" s="60">
        <f t="shared" si="150"/>
        <v>1799</v>
      </c>
    </row>
    <row r="3167" ht="15.2" spans="1:10">
      <c r="A3167" s="58" t="s">
        <v>3842</v>
      </c>
      <c r="B3167" s="59">
        <v>525</v>
      </c>
      <c r="C3167" s="59">
        <v>799</v>
      </c>
      <c r="D3167" s="59" t="s">
        <v>803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ht="15.2" spans="1:10">
      <c r="A3168" s="58" t="s">
        <v>3843</v>
      </c>
      <c r="B3168" s="59">
        <v>259</v>
      </c>
      <c r="C3168" s="59">
        <v>601</v>
      </c>
      <c r="D3168" s="59" t="s">
        <v>801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ht="15.2" spans="1:10">
      <c r="A3169" s="58" t="s">
        <v>3844</v>
      </c>
      <c r="B3169" s="59">
        <v>231</v>
      </c>
      <c r="C3169" s="59">
        <v>670</v>
      </c>
      <c r="D3169" s="59" t="s">
        <v>801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ht="15.2" spans="1:10">
      <c r="A3170" s="58" t="s">
        <v>3845</v>
      </c>
      <c r="B3170" s="59">
        <v>1060.13</v>
      </c>
      <c r="C3170" s="59">
        <v>1799</v>
      </c>
      <c r="D3170" s="59" t="s">
        <v>803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</v>
      </c>
      <c r="J3170" s="60">
        <f t="shared" si="150"/>
        <v>3598</v>
      </c>
    </row>
    <row r="3171" ht="15.2" spans="1:10">
      <c r="A3171" s="58" t="s">
        <v>3846</v>
      </c>
      <c r="B3171" s="59">
        <v>1638.68</v>
      </c>
      <c r="C3171" s="59">
        <v>2699</v>
      </c>
      <c r="D3171" s="59" t="s">
        <v>803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ht="15.2" spans="1:10">
      <c r="A3172" s="58" t="s">
        <v>3847</v>
      </c>
      <c r="B3172" s="59">
        <v>1510.63</v>
      </c>
      <c r="C3172" s="59">
        <v>2299</v>
      </c>
      <c r="D3172" s="59" t="s">
        <v>803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ht="15.2" spans="1:10">
      <c r="A3173" s="58" t="s">
        <v>3848</v>
      </c>
      <c r="B3173" s="59">
        <v>2364.83</v>
      </c>
      <c r="C3173" s="59">
        <v>3599</v>
      </c>
      <c r="D3173" s="59" t="s">
        <v>803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ht="15.2" spans="1:10">
      <c r="A3174" s="58" t="s">
        <v>3849</v>
      </c>
      <c r="B3174" s="59">
        <v>1699.39</v>
      </c>
      <c r="C3174" s="59">
        <v>2799</v>
      </c>
      <c r="D3174" s="59" t="s">
        <v>803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ht="15.2" spans="1:10">
      <c r="A3175" s="58" t="s">
        <v>3850</v>
      </c>
      <c r="B3175" s="59">
        <v>2731.54</v>
      </c>
      <c r="C3175" s="59">
        <v>4499</v>
      </c>
      <c r="D3175" s="59" t="s">
        <v>803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ht="15.2" spans="1:10">
      <c r="A3176" s="58" t="s">
        <v>3851</v>
      </c>
      <c r="B3176" s="59">
        <v>469</v>
      </c>
      <c r="C3176" s="59">
        <v>1004</v>
      </c>
      <c r="D3176" s="59" t="s">
        <v>801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ht="15.2" spans="1:10">
      <c r="A3177" s="58" t="s">
        <v>397</v>
      </c>
      <c r="B3177" s="59">
        <v>1259.1</v>
      </c>
      <c r="C3177" s="59">
        <v>3185</v>
      </c>
      <c r="D3177" s="59" t="s">
        <v>801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ht="15.2" spans="1:10">
      <c r="A3178" s="58" t="s">
        <v>3852</v>
      </c>
      <c r="B3178" s="59">
        <v>1576.34</v>
      </c>
      <c r="C3178" s="59">
        <v>2399</v>
      </c>
      <c r="D3178" s="59" t="s">
        <v>803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ht="15.2" spans="1:10">
      <c r="A3179" s="58" t="s">
        <v>3853</v>
      </c>
      <c r="B3179" s="59">
        <v>299</v>
      </c>
      <c r="C3179" s="59">
        <v>660</v>
      </c>
      <c r="D3179" s="59" t="s">
        <v>801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ht="15.2" spans="1:10">
      <c r="A3180" s="58" t="s">
        <v>3854</v>
      </c>
      <c r="B3180" s="59">
        <v>296</v>
      </c>
      <c r="C3180" s="59">
        <v>655</v>
      </c>
      <c r="D3180" s="59" t="s">
        <v>801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ht="15.2" spans="1:10">
      <c r="A3181" s="58" t="s">
        <v>3855</v>
      </c>
      <c r="B3181" s="59">
        <v>287</v>
      </c>
      <c r="C3181" s="59">
        <v>620</v>
      </c>
      <c r="D3181" s="59" t="s">
        <v>801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ht="15.2" spans="1:10">
      <c r="A3182" s="58" t="s">
        <v>3856</v>
      </c>
      <c r="B3182" s="59">
        <v>285</v>
      </c>
      <c r="C3182" s="59">
        <v>600</v>
      </c>
      <c r="D3182" s="59" t="s">
        <v>801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ht="15.2" spans="1:10">
      <c r="A3183" s="58" t="s">
        <v>3857</v>
      </c>
      <c r="B3183" s="59">
        <v>0</v>
      </c>
      <c r="C3183" s="59">
        <v>0</v>
      </c>
      <c r="D3183" s="59" t="s">
        <v>815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ht="15.2" spans="1:10">
      <c r="A3184" s="58" t="s">
        <v>3858</v>
      </c>
      <c r="B3184" s="59">
        <v>1609.86</v>
      </c>
      <c r="C3184" s="59">
        <v>2499</v>
      </c>
      <c r="D3184" s="59" t="s">
        <v>803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ht="15.2" spans="1:10">
      <c r="A3185" s="58" t="s">
        <v>3859</v>
      </c>
      <c r="B3185" s="59">
        <v>1760.11</v>
      </c>
      <c r="C3185" s="59">
        <v>2899</v>
      </c>
      <c r="D3185" s="59" t="s">
        <v>803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ht="15.2" spans="1:10">
      <c r="A3186" s="58" t="s">
        <v>3860</v>
      </c>
      <c r="B3186" s="59">
        <v>533</v>
      </c>
      <c r="C3186" s="59">
        <v>1232</v>
      </c>
      <c r="D3186" s="59" t="s">
        <v>801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ht="15.2" spans="1:10">
      <c r="A3187" s="58" t="s">
        <v>3861</v>
      </c>
      <c r="B3187" s="59">
        <v>357</v>
      </c>
      <c r="C3187" s="59">
        <v>750</v>
      </c>
      <c r="D3187" s="59" t="s">
        <v>801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</v>
      </c>
      <c r="J3187" s="60">
        <f t="shared" si="150"/>
        <v>300</v>
      </c>
    </row>
    <row r="3188" ht="15.2" spans="1:10">
      <c r="A3188" s="58" t="s">
        <v>3862</v>
      </c>
      <c r="B3188" s="59">
        <v>615</v>
      </c>
      <c r="C3188" s="59">
        <v>1325</v>
      </c>
      <c r="D3188" s="59" t="s">
        <v>801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ht="15.2" spans="1:10">
      <c r="A3189" s="58" t="s">
        <v>3863</v>
      </c>
      <c r="B3189" s="59">
        <v>595</v>
      </c>
      <c r="C3189" s="59">
        <v>1350</v>
      </c>
      <c r="D3189" s="59" t="s">
        <v>801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ht="15.2" spans="1:10">
      <c r="A3190" s="58" t="s">
        <v>3864</v>
      </c>
      <c r="B3190" s="59">
        <v>1031.54</v>
      </c>
      <c r="C3190" s="59">
        <v>1699</v>
      </c>
      <c r="D3190" s="59" t="s">
        <v>803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ht="15.2" spans="1:10">
      <c r="A3191" s="58" t="s">
        <v>3865</v>
      </c>
      <c r="B3191" s="59">
        <v>460</v>
      </c>
      <c r="C3191" s="59">
        <v>1091</v>
      </c>
      <c r="D3191" s="59" t="s">
        <v>801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ht="15.2" spans="1:10">
      <c r="A3192" s="58" t="s">
        <v>3866</v>
      </c>
      <c r="B3192" s="59">
        <v>460</v>
      </c>
      <c r="C3192" s="59">
        <v>1165</v>
      </c>
      <c r="D3192" s="59" t="s">
        <v>801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ht="15.2" spans="1:10">
      <c r="A3193" s="58" t="s">
        <v>3867</v>
      </c>
      <c r="B3193" s="59">
        <v>1649.41</v>
      </c>
      <c r="C3193" s="59">
        <v>2799</v>
      </c>
      <c r="D3193" s="59" t="s">
        <v>803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ht="15.2" spans="1:10">
      <c r="A3194" s="58" t="s">
        <v>3868</v>
      </c>
      <c r="B3194" s="59">
        <v>499</v>
      </c>
      <c r="C3194" s="59">
        <v>1117</v>
      </c>
      <c r="D3194" s="59" t="s">
        <v>801</v>
      </c>
      <c r="E3194" s="59">
        <v>1.1</v>
      </c>
      <c r="F3194" s="59">
        <v>1.1</v>
      </c>
      <c r="G3194" s="59">
        <v>0</v>
      </c>
      <c r="H3194" s="60">
        <f t="shared" si="151"/>
        <v>1.1</v>
      </c>
      <c r="I3194" s="60">
        <f t="shared" si="149"/>
        <v>548.9</v>
      </c>
      <c r="J3194" s="60">
        <f t="shared" si="150"/>
        <v>1228.7</v>
      </c>
    </row>
    <row r="3195" ht="15.2" spans="1:10">
      <c r="A3195" s="58" t="s">
        <v>3869</v>
      </c>
      <c r="B3195" s="59">
        <v>545</v>
      </c>
      <c r="C3195" s="59">
        <v>1439</v>
      </c>
      <c r="D3195" s="59" t="s">
        <v>801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ht="15.2" spans="1:10">
      <c r="A3196" s="58" t="s">
        <v>3870</v>
      </c>
      <c r="B3196" s="59">
        <v>649</v>
      </c>
      <c r="C3196" s="59">
        <v>1447</v>
      </c>
      <c r="D3196" s="59" t="s">
        <v>801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ht="15.2" spans="1:10">
      <c r="A3197" s="58" t="s">
        <v>3871</v>
      </c>
      <c r="B3197" s="59">
        <v>1295.84</v>
      </c>
      <c r="C3197" s="59">
        <v>2199</v>
      </c>
      <c r="D3197" s="59" t="s">
        <v>803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1295.84</v>
      </c>
      <c r="J3197" s="60">
        <f t="shared" si="150"/>
        <v>2199</v>
      </c>
    </row>
    <row r="3198" ht="15.2" spans="1:10">
      <c r="A3198" s="58" t="s">
        <v>3872</v>
      </c>
      <c r="B3198" s="59">
        <v>360</v>
      </c>
      <c r="C3198" s="59">
        <v>820</v>
      </c>
      <c r="D3198" s="59" t="s">
        <v>801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ht="15.2" spans="1:10">
      <c r="A3199" s="58" t="s">
        <v>3873</v>
      </c>
      <c r="B3199" s="59">
        <v>973</v>
      </c>
      <c r="C3199" s="59">
        <v>2472</v>
      </c>
      <c r="D3199" s="59" t="s">
        <v>801</v>
      </c>
      <c r="E3199" s="59">
        <v>2.3</v>
      </c>
      <c r="F3199" s="59">
        <v>2.3</v>
      </c>
      <c r="G3199" s="59">
        <v>0</v>
      </c>
      <c r="H3199" s="60">
        <f t="shared" si="151"/>
        <v>2.3</v>
      </c>
      <c r="I3199" s="60">
        <f t="shared" si="149"/>
        <v>2237.9</v>
      </c>
      <c r="J3199" s="60">
        <f t="shared" si="150"/>
        <v>5685.6</v>
      </c>
    </row>
    <row r="3200" ht="15.2" spans="1:10">
      <c r="A3200" s="58" t="s">
        <v>3874</v>
      </c>
      <c r="B3200" s="59">
        <v>1881.54</v>
      </c>
      <c r="C3200" s="59">
        <v>3099</v>
      </c>
      <c r="D3200" s="59" t="s">
        <v>803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ht="15.2" spans="1:10">
      <c r="A3201" s="58" t="s">
        <v>3875</v>
      </c>
      <c r="B3201" s="59">
        <v>385</v>
      </c>
      <c r="C3201" s="59">
        <v>913</v>
      </c>
      <c r="D3201" s="59" t="s">
        <v>801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3012.9</v>
      </c>
    </row>
    <row r="3202" ht="15.2" spans="1:10">
      <c r="A3202" s="58" t="s">
        <v>3876</v>
      </c>
      <c r="B3202" s="59">
        <v>2299.12</v>
      </c>
      <c r="C3202" s="59">
        <v>3499</v>
      </c>
      <c r="D3202" s="59" t="s">
        <v>803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ht="15.2" spans="1:10">
      <c r="A3203" s="58" t="s">
        <v>3877</v>
      </c>
      <c r="B3203" s="59">
        <v>1031.54</v>
      </c>
      <c r="C3203" s="59">
        <v>1699</v>
      </c>
      <c r="D3203" s="59" t="s">
        <v>803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ht="15.2" spans="1:10">
      <c r="A3204" s="58" t="s">
        <v>3878</v>
      </c>
      <c r="B3204" s="59">
        <v>549.83</v>
      </c>
      <c r="C3204" s="59">
        <v>849</v>
      </c>
      <c r="D3204" s="59" t="s">
        <v>803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</v>
      </c>
      <c r="J3204" s="60">
        <f t="shared" si="153"/>
        <v>1698</v>
      </c>
    </row>
    <row r="3205" ht="15.2" spans="1:10">
      <c r="A3205" s="58" t="s">
        <v>3879</v>
      </c>
      <c r="B3205" s="59">
        <v>906.54</v>
      </c>
      <c r="C3205" s="59">
        <v>1399</v>
      </c>
      <c r="D3205" s="59" t="s">
        <v>803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ht="15.2" spans="1:10">
      <c r="A3206" s="58" t="s">
        <v>3880</v>
      </c>
      <c r="B3206" s="59">
        <v>1274.39</v>
      </c>
      <c r="C3206" s="59">
        <v>2099</v>
      </c>
      <c r="D3206" s="59" t="s">
        <v>803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</v>
      </c>
      <c r="J3206" s="60">
        <f t="shared" si="153"/>
        <v>2099</v>
      </c>
    </row>
    <row r="3207" ht="15.2" spans="1:10">
      <c r="A3207" s="58" t="s">
        <v>3881</v>
      </c>
      <c r="B3207" s="59">
        <v>615</v>
      </c>
      <c r="C3207" s="59">
        <v>1447</v>
      </c>
      <c r="D3207" s="59" t="s">
        <v>801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</v>
      </c>
    </row>
    <row r="3208" ht="15.2" spans="1:10">
      <c r="A3208" s="58" t="s">
        <v>3882</v>
      </c>
      <c r="B3208" s="59">
        <v>1803.12</v>
      </c>
      <c r="C3208" s="59">
        <v>2799</v>
      </c>
      <c r="D3208" s="59" t="s">
        <v>803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ht="15.2" spans="1:10">
      <c r="A3209" s="58" t="s">
        <v>3883</v>
      </c>
      <c r="B3209" s="59">
        <v>1295.84</v>
      </c>
      <c r="C3209" s="59">
        <v>2199</v>
      </c>
      <c r="D3209" s="59" t="s">
        <v>803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1295.84</v>
      </c>
      <c r="J3209" s="60">
        <f t="shared" si="153"/>
        <v>2199</v>
      </c>
    </row>
    <row r="3210" ht="15.2" spans="1:10">
      <c r="A3210" s="58" t="s">
        <v>3884</v>
      </c>
      <c r="B3210" s="59">
        <v>9106.54</v>
      </c>
      <c r="C3210" s="59">
        <v>14999</v>
      </c>
      <c r="D3210" s="59" t="s">
        <v>803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</v>
      </c>
      <c r="J3210" s="60">
        <f t="shared" si="153"/>
        <v>14999</v>
      </c>
    </row>
    <row r="3211" ht="15.2" spans="1:10">
      <c r="A3211" s="58" t="s">
        <v>3885</v>
      </c>
      <c r="B3211" s="59">
        <v>699</v>
      </c>
      <c r="C3211" s="59">
        <v>1468</v>
      </c>
      <c r="D3211" s="59" t="s">
        <v>801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ht="15.2" spans="1:10">
      <c r="A3212" s="58" t="s">
        <v>3886</v>
      </c>
      <c r="B3212" s="59">
        <v>1177.98</v>
      </c>
      <c r="C3212" s="59">
        <v>1999</v>
      </c>
      <c r="D3212" s="59" t="s">
        <v>803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ht="15.2" spans="1:10">
      <c r="A3213" s="58" t="s">
        <v>3887</v>
      </c>
      <c r="B3213" s="59">
        <v>1577.97</v>
      </c>
      <c r="C3213" s="59">
        <v>2599</v>
      </c>
      <c r="D3213" s="59" t="s">
        <v>803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ht="15.2" spans="1:10">
      <c r="A3214" s="58" t="s">
        <v>3888</v>
      </c>
      <c r="B3214" s="59">
        <v>282</v>
      </c>
      <c r="C3214" s="59">
        <v>690</v>
      </c>
      <c r="D3214" s="59" t="s">
        <v>801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</v>
      </c>
      <c r="J3214" s="60">
        <f t="shared" si="153"/>
        <v>34.5</v>
      </c>
    </row>
    <row r="3215" ht="15.2" spans="1:10">
      <c r="A3215" s="58" t="s">
        <v>3889</v>
      </c>
      <c r="B3215" s="59">
        <v>1247.8</v>
      </c>
      <c r="C3215" s="59">
        <v>1899</v>
      </c>
      <c r="D3215" s="59" t="s">
        <v>803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ht="15.2" spans="1:10">
      <c r="A3216" s="58" t="s">
        <v>3890</v>
      </c>
      <c r="B3216" s="59">
        <v>2102</v>
      </c>
      <c r="C3216" s="59">
        <v>3199</v>
      </c>
      <c r="D3216" s="59" t="s">
        <v>803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ht="15.2" spans="1:10">
      <c r="A3217" s="58" t="s">
        <v>3891</v>
      </c>
      <c r="B3217" s="59">
        <v>384</v>
      </c>
      <c r="C3217" s="59">
        <v>966</v>
      </c>
      <c r="D3217" s="59" t="s">
        <v>801</v>
      </c>
      <c r="E3217" s="59">
        <v>4.6</v>
      </c>
      <c r="F3217" s="59">
        <v>4.6</v>
      </c>
      <c r="G3217" s="59">
        <v>0</v>
      </c>
      <c r="H3217" s="60">
        <f t="shared" si="151"/>
        <v>4.6</v>
      </c>
      <c r="I3217" s="60">
        <f t="shared" si="152"/>
        <v>1766.4</v>
      </c>
      <c r="J3217" s="60">
        <f t="shared" si="153"/>
        <v>4443.6</v>
      </c>
    </row>
    <row r="3218" ht="15.2" spans="1:10">
      <c r="A3218" s="58" t="s">
        <v>3892</v>
      </c>
      <c r="B3218" s="59">
        <v>5463.68</v>
      </c>
      <c r="C3218" s="59">
        <v>8999</v>
      </c>
      <c r="D3218" s="59" t="s">
        <v>803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ht="15.2" spans="1:10">
      <c r="A3219" s="58" t="s">
        <v>3893</v>
      </c>
      <c r="B3219" s="59">
        <v>517.45</v>
      </c>
      <c r="C3219" s="59">
        <v>799</v>
      </c>
      <c r="D3219" s="59" t="s">
        <v>803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</v>
      </c>
      <c r="J3219" s="60">
        <f t="shared" si="153"/>
        <v>3196</v>
      </c>
    </row>
    <row r="3220" ht="15.2" spans="1:10">
      <c r="A3220" s="58" t="s">
        <v>3894</v>
      </c>
      <c r="B3220" s="59">
        <v>305</v>
      </c>
      <c r="C3220" s="59">
        <v>750</v>
      </c>
      <c r="D3220" s="59" t="s">
        <v>801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ht="15.2" spans="1:10">
      <c r="A3221" s="58" t="s">
        <v>128</v>
      </c>
      <c r="B3221" s="59">
        <v>262.5</v>
      </c>
      <c r="C3221" s="59">
        <v>788</v>
      </c>
      <c r="D3221" s="59" t="s">
        <v>801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ht="15.2" spans="1:10">
      <c r="A3222" s="58" t="s">
        <v>3895</v>
      </c>
      <c r="B3222" s="59">
        <v>1247.8</v>
      </c>
      <c r="C3222" s="59">
        <v>1899</v>
      </c>
      <c r="D3222" s="59" t="s">
        <v>803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ht="15.2" spans="1:10">
      <c r="A3223" s="58" t="s">
        <v>372</v>
      </c>
      <c r="B3223" s="59">
        <v>671</v>
      </c>
      <c r="C3223" s="59">
        <v>1499</v>
      </c>
      <c r="D3223" s="59" t="s">
        <v>801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</v>
      </c>
      <c r="J3223" s="60">
        <f t="shared" si="153"/>
        <v>4796.8</v>
      </c>
    </row>
    <row r="3224" ht="15.2" spans="1:10">
      <c r="A3224" s="58" t="s">
        <v>3896</v>
      </c>
      <c r="B3224" s="59">
        <v>1313.5</v>
      </c>
      <c r="C3224" s="59">
        <v>1999</v>
      </c>
      <c r="D3224" s="59" t="s">
        <v>803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ht="15.2" spans="1:10">
      <c r="A3225" s="58" t="s">
        <v>3897</v>
      </c>
      <c r="B3225" s="59">
        <v>296</v>
      </c>
      <c r="C3225" s="59">
        <v>638</v>
      </c>
      <c r="D3225" s="59" t="s">
        <v>801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ht="15.2" spans="1:10">
      <c r="A3226" s="58" t="s">
        <v>3898</v>
      </c>
      <c r="B3226" s="59">
        <v>1970.58</v>
      </c>
      <c r="C3226" s="59">
        <v>2999</v>
      </c>
      <c r="D3226" s="59" t="s">
        <v>803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ht="15.2" spans="1:10">
      <c r="A3227" s="58" t="s">
        <v>3899</v>
      </c>
      <c r="B3227" s="59">
        <v>1416.6</v>
      </c>
      <c r="C3227" s="59">
        <v>2199</v>
      </c>
      <c r="D3227" s="59" t="s">
        <v>803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ht="15.2" spans="1:10">
      <c r="A3228" s="58" t="s">
        <v>3900</v>
      </c>
      <c r="B3228" s="59">
        <v>3745.19</v>
      </c>
      <c r="C3228" s="59">
        <v>6499</v>
      </c>
      <c r="D3228" s="59" t="s">
        <v>803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ht="15.2" spans="1:10">
      <c r="A3229" s="58" t="s">
        <v>3901</v>
      </c>
      <c r="B3229" s="59">
        <v>1481.02</v>
      </c>
      <c r="C3229" s="59">
        <v>2299</v>
      </c>
      <c r="D3229" s="59" t="s">
        <v>803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ht="15.2" spans="1:10">
      <c r="A3230" s="58" t="s">
        <v>3902</v>
      </c>
      <c r="B3230" s="59">
        <v>1545.44</v>
      </c>
      <c r="C3230" s="59">
        <v>2399</v>
      </c>
      <c r="D3230" s="59" t="s">
        <v>803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ht="15.2" spans="1:10">
      <c r="A3231" s="58" t="s">
        <v>3903</v>
      </c>
      <c r="B3231" s="59">
        <v>1287.76</v>
      </c>
      <c r="C3231" s="59">
        <v>1999</v>
      </c>
      <c r="D3231" s="59" t="s">
        <v>803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ht="15.2" spans="1:10">
      <c r="A3232" s="58" t="s">
        <v>3904</v>
      </c>
      <c r="B3232" s="59">
        <v>425</v>
      </c>
      <c r="C3232" s="59">
        <v>893</v>
      </c>
      <c r="D3232" s="59" t="s">
        <v>801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</v>
      </c>
    </row>
    <row r="3233" ht="15.2" spans="1:10">
      <c r="A3233" s="58" t="s">
        <v>3905</v>
      </c>
      <c r="B3233" s="59">
        <v>1510.63</v>
      </c>
      <c r="C3233" s="59">
        <v>2299</v>
      </c>
      <c r="D3233" s="59" t="s">
        <v>803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ht="15.2" spans="1:10">
      <c r="A3234" s="58" t="s">
        <v>3906</v>
      </c>
      <c r="B3234" s="59">
        <v>1970.58</v>
      </c>
      <c r="C3234" s="59">
        <v>2999</v>
      </c>
      <c r="D3234" s="59" t="s">
        <v>803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ht="15.2" spans="1:10">
      <c r="A3235" s="58" t="s">
        <v>3907</v>
      </c>
      <c r="B3235" s="59">
        <v>399</v>
      </c>
      <c r="C3235" s="59">
        <v>838</v>
      </c>
      <c r="D3235" s="59" t="s">
        <v>801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</v>
      </c>
      <c r="J3235" s="60">
        <f t="shared" si="153"/>
        <v>167.6</v>
      </c>
    </row>
    <row r="3236" ht="15.2" spans="1:10">
      <c r="A3236" s="58" t="s">
        <v>3908</v>
      </c>
      <c r="B3236" s="59">
        <v>1456.54</v>
      </c>
      <c r="C3236" s="59">
        <v>2399</v>
      </c>
      <c r="D3236" s="59" t="s">
        <v>803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ht="15.2" spans="1:10">
      <c r="A3237" s="58" t="s">
        <v>3909</v>
      </c>
      <c r="B3237" s="59">
        <v>2356.55</v>
      </c>
      <c r="C3237" s="59">
        <v>3999</v>
      </c>
      <c r="D3237" s="59" t="s">
        <v>803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</v>
      </c>
      <c r="J3237" s="60">
        <f t="shared" si="153"/>
        <v>3999</v>
      </c>
    </row>
    <row r="3238" ht="15.2" spans="1:10">
      <c r="A3238" s="58" t="s">
        <v>3910</v>
      </c>
      <c r="B3238" s="59">
        <v>911.44</v>
      </c>
      <c r="C3238" s="59">
        <v>1399</v>
      </c>
      <c r="D3238" s="59" t="s">
        <v>803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ht="15.2" spans="1:10">
      <c r="A3239" s="58" t="s">
        <v>3911</v>
      </c>
      <c r="B3239" s="59">
        <v>525</v>
      </c>
      <c r="C3239" s="59">
        <v>1172</v>
      </c>
      <c r="D3239" s="59" t="s">
        <v>801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ht="15.2" spans="1:10">
      <c r="A3240" s="58" t="s">
        <v>3912</v>
      </c>
      <c r="B3240" s="59">
        <v>517.45</v>
      </c>
      <c r="C3240" s="59">
        <v>799</v>
      </c>
      <c r="D3240" s="59" t="s">
        <v>803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</v>
      </c>
      <c r="J3240" s="60">
        <f t="shared" si="153"/>
        <v>799</v>
      </c>
    </row>
    <row r="3241" ht="15.2" spans="1:10">
      <c r="A3241" s="58" t="s">
        <v>3913</v>
      </c>
      <c r="B3241" s="59">
        <v>1576.34</v>
      </c>
      <c r="C3241" s="59">
        <v>2399</v>
      </c>
      <c r="D3241" s="59" t="s">
        <v>803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ht="15.2" spans="1:10">
      <c r="A3242" s="58" t="s">
        <v>3914</v>
      </c>
      <c r="B3242" s="59">
        <v>984.96</v>
      </c>
      <c r="C3242" s="59">
        <v>1499</v>
      </c>
      <c r="D3242" s="59" t="s">
        <v>803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ht="15.2" spans="1:10">
      <c r="A3243" s="58" t="s">
        <v>3915</v>
      </c>
      <c r="B3243" s="59">
        <v>614</v>
      </c>
      <c r="C3243" s="59">
        <v>1370</v>
      </c>
      <c r="D3243" s="59" t="s">
        <v>801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ht="15.2" spans="1:10">
      <c r="A3244" s="58" t="s">
        <v>3916</v>
      </c>
      <c r="B3244" s="59">
        <v>1395.82</v>
      </c>
      <c r="C3244" s="59">
        <v>2299</v>
      </c>
      <c r="D3244" s="59" t="s">
        <v>803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ht="15.2" spans="1:10">
      <c r="A3245" s="58" t="s">
        <v>3917</v>
      </c>
      <c r="B3245" s="59">
        <v>1060.13</v>
      </c>
      <c r="C3245" s="59">
        <v>1799</v>
      </c>
      <c r="D3245" s="59" t="s">
        <v>803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</v>
      </c>
      <c r="J3245" s="60">
        <f t="shared" si="153"/>
        <v>7196</v>
      </c>
    </row>
    <row r="3246" ht="15.2" spans="1:10">
      <c r="A3246" s="58" t="s">
        <v>3918</v>
      </c>
      <c r="B3246" s="59">
        <v>1177.98</v>
      </c>
      <c r="C3246" s="59">
        <v>1999</v>
      </c>
      <c r="D3246" s="59" t="s">
        <v>803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ht="15.2" spans="1:10">
      <c r="A3247" s="58" t="s">
        <v>3919</v>
      </c>
      <c r="B3247" s="59">
        <v>425</v>
      </c>
      <c r="C3247" s="59">
        <v>966</v>
      </c>
      <c r="D3247" s="59" t="s">
        <v>801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ht="15.2" spans="1:10">
      <c r="A3248" s="58" t="s">
        <v>3920</v>
      </c>
      <c r="B3248" s="59">
        <v>1444.92</v>
      </c>
      <c r="C3248" s="59">
        <v>2199</v>
      </c>
      <c r="D3248" s="59" t="s">
        <v>803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ht="15.2" spans="1:10">
      <c r="A3249" s="58" t="s">
        <v>3921</v>
      </c>
      <c r="B3249" s="59">
        <v>2124.4</v>
      </c>
      <c r="C3249" s="59">
        <v>3499</v>
      </c>
      <c r="D3249" s="59" t="s">
        <v>803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ht="15.2" spans="1:10">
      <c r="A3250" s="58" t="s">
        <v>3922</v>
      </c>
      <c r="B3250" s="59">
        <v>1416.6</v>
      </c>
      <c r="C3250" s="59">
        <v>2199</v>
      </c>
      <c r="D3250" s="59" t="s">
        <v>803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ht="15.2" spans="1:10">
      <c r="A3251" s="58" t="s">
        <v>3923</v>
      </c>
      <c r="B3251" s="59">
        <v>2002.96</v>
      </c>
      <c r="C3251" s="59">
        <v>3299</v>
      </c>
      <c r="D3251" s="59" t="s">
        <v>803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ht="15.2" spans="1:10">
      <c r="A3252" s="58" t="s">
        <v>3924</v>
      </c>
      <c r="B3252" s="59">
        <v>1119.05</v>
      </c>
      <c r="C3252" s="59">
        <v>1899</v>
      </c>
      <c r="D3252" s="59" t="s">
        <v>803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ht="15.2" spans="1:10">
      <c r="A3253" s="58" t="s">
        <v>3925</v>
      </c>
      <c r="B3253" s="59">
        <v>614</v>
      </c>
      <c r="C3253" s="59">
        <v>1432</v>
      </c>
      <c r="D3253" s="59" t="s">
        <v>801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ht="15.2" spans="1:10">
      <c r="A3254" s="58" t="s">
        <v>3926</v>
      </c>
      <c r="B3254" s="59">
        <v>799</v>
      </c>
      <c r="C3254" s="59">
        <v>1678</v>
      </c>
      <c r="D3254" s="59" t="s">
        <v>801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279.65</v>
      </c>
      <c r="J3254" s="60">
        <f t="shared" si="153"/>
        <v>587.3</v>
      </c>
    </row>
    <row r="3255" ht="15.2" spans="1:10">
      <c r="A3255" s="58" t="s">
        <v>3927</v>
      </c>
      <c r="B3255" s="59">
        <v>836.82</v>
      </c>
      <c r="C3255" s="59">
        <v>1299</v>
      </c>
      <c r="D3255" s="59" t="s">
        <v>803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ht="15.2" spans="1:10">
      <c r="A3256" s="58" t="s">
        <v>3928</v>
      </c>
      <c r="B3256" s="59">
        <v>1638.68</v>
      </c>
      <c r="C3256" s="59">
        <v>2699</v>
      </c>
      <c r="D3256" s="59" t="s">
        <v>803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ht="15.2" spans="1:10">
      <c r="A3257" s="58" t="s">
        <v>3929</v>
      </c>
      <c r="B3257" s="59">
        <v>608</v>
      </c>
      <c r="C3257" s="59">
        <v>1347</v>
      </c>
      <c r="D3257" s="59" t="s">
        <v>801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</v>
      </c>
      <c r="J3257" s="60">
        <f t="shared" si="153"/>
        <v>4310.4</v>
      </c>
    </row>
    <row r="3258" ht="15.2" spans="1:10">
      <c r="A3258" s="58" t="s">
        <v>3930</v>
      </c>
      <c r="B3258" s="59">
        <v>649</v>
      </c>
      <c r="C3258" s="59">
        <v>1447</v>
      </c>
      <c r="D3258" s="59" t="s">
        <v>801</v>
      </c>
      <c r="E3258" s="59">
        <v>1.1</v>
      </c>
      <c r="F3258" s="59">
        <v>1.1</v>
      </c>
      <c r="G3258" s="59">
        <v>0</v>
      </c>
      <c r="H3258" s="60">
        <f t="shared" si="154"/>
        <v>1.1</v>
      </c>
      <c r="I3258" s="60">
        <f t="shared" si="152"/>
        <v>713.9</v>
      </c>
      <c r="J3258" s="60">
        <f t="shared" si="153"/>
        <v>1591.7</v>
      </c>
    </row>
    <row r="3259" ht="15.2" spans="1:10">
      <c r="A3259" s="58" t="s">
        <v>3931</v>
      </c>
      <c r="B3259" s="59">
        <v>1510.63</v>
      </c>
      <c r="C3259" s="59">
        <v>2299</v>
      </c>
      <c r="D3259" s="59" t="s">
        <v>803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ht="15.2" spans="1:10">
      <c r="A3260" s="58" t="s">
        <v>3932</v>
      </c>
      <c r="B3260" s="59">
        <v>1472.63</v>
      </c>
      <c r="C3260" s="59">
        <v>2499</v>
      </c>
      <c r="D3260" s="59" t="s">
        <v>803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ht="15.2" spans="1:10">
      <c r="A3261" s="58" t="s">
        <v>3933</v>
      </c>
      <c r="B3261" s="59">
        <v>1416.6</v>
      </c>
      <c r="C3261" s="59">
        <v>2199</v>
      </c>
      <c r="D3261" s="59" t="s">
        <v>803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ht="15.2" spans="1:10">
      <c r="A3262" s="58" t="s">
        <v>3934</v>
      </c>
      <c r="B3262" s="59">
        <v>319</v>
      </c>
      <c r="C3262" s="59">
        <v>750</v>
      </c>
      <c r="D3262" s="59" t="s">
        <v>801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ht="15.2" spans="1:10">
      <c r="A3263" s="58" t="s">
        <v>3935</v>
      </c>
      <c r="B3263" s="59">
        <v>1773.46</v>
      </c>
      <c r="C3263" s="59">
        <v>2699</v>
      </c>
      <c r="D3263" s="59" t="s">
        <v>803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ht="15.2" spans="1:10">
      <c r="A3264" s="58" t="s">
        <v>3936</v>
      </c>
      <c r="B3264" s="59">
        <v>1395.82</v>
      </c>
      <c r="C3264" s="59">
        <v>2299</v>
      </c>
      <c r="D3264" s="59" t="s">
        <v>803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ht="15.2" spans="1:10">
      <c r="A3265" s="58" t="s">
        <v>3937</v>
      </c>
      <c r="B3265" s="59">
        <v>1738.7</v>
      </c>
      <c r="C3265" s="59">
        <v>2699</v>
      </c>
      <c r="D3265" s="59" t="s">
        <v>803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ht="15.2" spans="1:10">
      <c r="A3266" s="58" t="s">
        <v>3938</v>
      </c>
      <c r="B3266" s="59">
        <v>499</v>
      </c>
      <c r="C3266" s="59">
        <v>1141</v>
      </c>
      <c r="D3266" s="59" t="s">
        <v>801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ht="15.2" spans="1:10">
      <c r="A3267" s="58" t="s">
        <v>3939</v>
      </c>
      <c r="B3267" s="59">
        <v>1354.77</v>
      </c>
      <c r="C3267" s="59">
        <v>2299</v>
      </c>
      <c r="D3267" s="59" t="s">
        <v>803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ht="15.2" spans="1:10">
      <c r="A3268" s="58" t="s">
        <v>3940</v>
      </c>
      <c r="B3268" s="59">
        <v>266.4</v>
      </c>
      <c r="C3268" s="59">
        <v>826</v>
      </c>
      <c r="D3268" s="59" t="s">
        <v>801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79.92</v>
      </c>
      <c r="J3268" s="60">
        <f t="shared" si="156"/>
        <v>247.8</v>
      </c>
    </row>
    <row r="3269" ht="15.2" spans="1:10">
      <c r="A3269" s="58" t="s">
        <v>3941</v>
      </c>
      <c r="B3269" s="59">
        <v>1274.4</v>
      </c>
      <c r="C3269" s="59">
        <v>2099</v>
      </c>
      <c r="D3269" s="59" t="s">
        <v>803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ht="15.2" spans="1:10">
      <c r="A3270" s="58" t="s">
        <v>3942</v>
      </c>
      <c r="B3270" s="59">
        <v>245</v>
      </c>
      <c r="C3270" s="59">
        <v>605</v>
      </c>
      <c r="D3270" s="59" t="s">
        <v>801</v>
      </c>
      <c r="E3270" s="59">
        <v>8.3</v>
      </c>
      <c r="F3270" s="59">
        <v>8.3</v>
      </c>
      <c r="G3270" s="59">
        <v>0</v>
      </c>
      <c r="H3270" s="60">
        <f t="shared" si="154"/>
        <v>8.3</v>
      </c>
      <c r="I3270" s="60">
        <f t="shared" si="155"/>
        <v>2033.5</v>
      </c>
      <c r="J3270" s="60">
        <f t="shared" si="156"/>
        <v>5021.5</v>
      </c>
    </row>
    <row r="3271" ht="15.2" spans="1:10">
      <c r="A3271" s="58" t="s">
        <v>3943</v>
      </c>
      <c r="B3271" s="59">
        <v>1395.82</v>
      </c>
      <c r="C3271" s="59">
        <v>2299</v>
      </c>
      <c r="D3271" s="59" t="s">
        <v>803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ht="15.2" spans="1:10">
      <c r="A3272" s="58" t="s">
        <v>3944</v>
      </c>
      <c r="B3272" s="59">
        <v>270</v>
      </c>
      <c r="C3272" s="59">
        <v>620</v>
      </c>
      <c r="D3272" s="59" t="s">
        <v>801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ht="15.2" spans="1:10">
      <c r="A3273" s="58" t="s">
        <v>3945</v>
      </c>
      <c r="B3273" s="59">
        <v>1182.09</v>
      </c>
      <c r="C3273" s="59">
        <v>1799</v>
      </c>
      <c r="D3273" s="59" t="s">
        <v>803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2364.18</v>
      </c>
      <c r="J3273" s="60">
        <f t="shared" si="156"/>
        <v>3598</v>
      </c>
    </row>
    <row r="3274" ht="15.2" spans="1:10">
      <c r="A3274" s="58" t="s">
        <v>3946</v>
      </c>
      <c r="B3274" s="59">
        <v>316</v>
      </c>
      <c r="C3274" s="59">
        <v>830</v>
      </c>
      <c r="D3274" s="59" t="s">
        <v>801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ht="15.2" spans="1:10">
      <c r="A3275" s="58" t="s">
        <v>3947</v>
      </c>
      <c r="B3275" s="59">
        <v>1576.34</v>
      </c>
      <c r="C3275" s="59">
        <v>2399</v>
      </c>
      <c r="D3275" s="59" t="s">
        <v>803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ht="15.2" spans="1:10">
      <c r="A3276" s="58" t="s">
        <v>3948</v>
      </c>
      <c r="B3276" s="59">
        <v>1177.98</v>
      </c>
      <c r="C3276" s="59">
        <v>1999</v>
      </c>
      <c r="D3276" s="59" t="s">
        <v>803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ht="15.2" spans="1:10">
      <c r="A3277" s="58" t="s">
        <v>3949</v>
      </c>
      <c r="B3277" s="59">
        <v>2610.11</v>
      </c>
      <c r="C3277" s="59">
        <v>4299</v>
      </c>
      <c r="D3277" s="59" t="s">
        <v>803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ht="15.2" spans="1:10">
      <c r="A3278" s="58" t="s">
        <v>3950</v>
      </c>
      <c r="B3278" s="59">
        <v>1699.39</v>
      </c>
      <c r="C3278" s="59">
        <v>2699</v>
      </c>
      <c r="D3278" s="59" t="s">
        <v>803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ht="15.2" spans="1:10">
      <c r="A3279" s="58" t="s">
        <v>3951</v>
      </c>
      <c r="B3279" s="59">
        <v>1395.82</v>
      </c>
      <c r="C3279" s="59">
        <v>2299</v>
      </c>
      <c r="D3279" s="59" t="s">
        <v>803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ht="15.2" spans="1:10">
      <c r="A3280" s="58" t="s">
        <v>3952</v>
      </c>
      <c r="B3280" s="59">
        <v>1638.68</v>
      </c>
      <c r="C3280" s="59">
        <v>2699</v>
      </c>
      <c r="D3280" s="59" t="s">
        <v>803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ht="15.2" spans="1:10">
      <c r="A3281" s="58" t="s">
        <v>3953</v>
      </c>
      <c r="B3281" s="59">
        <v>2124.39</v>
      </c>
      <c r="C3281" s="59">
        <v>3499</v>
      </c>
      <c r="D3281" s="59" t="s">
        <v>803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ht="15.2" spans="1:10">
      <c r="A3282" s="58" t="s">
        <v>688</v>
      </c>
      <c r="B3282" s="59">
        <v>296</v>
      </c>
      <c r="C3282" s="59">
        <v>670</v>
      </c>
      <c r="D3282" s="59" t="s">
        <v>801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ht="15.2" spans="1:10">
      <c r="A3283" s="58" t="s">
        <v>3954</v>
      </c>
      <c r="B3283" s="59">
        <v>549</v>
      </c>
      <c r="C3283" s="59">
        <v>1153</v>
      </c>
      <c r="D3283" s="59" t="s">
        <v>801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3211.65</v>
      </c>
      <c r="J3283" s="60">
        <f t="shared" si="156"/>
        <v>6745.05</v>
      </c>
    </row>
    <row r="3284" ht="15.2" spans="1:10">
      <c r="A3284" s="58" t="s">
        <v>3955</v>
      </c>
      <c r="B3284" s="59">
        <v>1177.98</v>
      </c>
      <c r="C3284" s="59">
        <v>1999</v>
      </c>
      <c r="D3284" s="59" t="s">
        <v>803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ht="15.2" spans="1:10">
      <c r="A3285" s="58" t="s">
        <v>3956</v>
      </c>
      <c r="B3285" s="59">
        <v>1558.85</v>
      </c>
      <c r="C3285" s="59">
        <v>2499</v>
      </c>
      <c r="D3285" s="59" t="s">
        <v>803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ht="15.2" spans="1:10">
      <c r="A3286" s="58" t="s">
        <v>3957</v>
      </c>
      <c r="B3286" s="59">
        <v>1820.82</v>
      </c>
      <c r="C3286" s="59">
        <v>2999</v>
      </c>
      <c r="D3286" s="59" t="s">
        <v>803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ht="15.2" spans="1:10">
      <c r="A3287" s="58" t="s">
        <v>3958</v>
      </c>
      <c r="B3287" s="59">
        <v>1295.84</v>
      </c>
      <c r="C3287" s="59">
        <v>2199</v>
      </c>
      <c r="D3287" s="59" t="s">
        <v>803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1295.84</v>
      </c>
      <c r="J3287" s="60">
        <f t="shared" si="156"/>
        <v>2199</v>
      </c>
    </row>
    <row r="3288" ht="15.2" spans="1:10">
      <c r="A3288" s="58" t="s">
        <v>3959</v>
      </c>
      <c r="B3288" s="59">
        <v>1092.25</v>
      </c>
      <c r="C3288" s="59">
        <v>1799</v>
      </c>
      <c r="D3288" s="59" t="s">
        <v>803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ht="15.2" spans="1:10">
      <c r="A3289" s="58" t="s">
        <v>3960</v>
      </c>
      <c r="B3289" s="59">
        <v>1213.68</v>
      </c>
      <c r="C3289" s="59">
        <v>1999</v>
      </c>
      <c r="D3289" s="59" t="s">
        <v>803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ht="15.2" spans="1:10">
      <c r="A3290" s="58" t="s">
        <v>3961</v>
      </c>
      <c r="B3290" s="59">
        <v>938.4</v>
      </c>
      <c r="C3290" s="59">
        <v>1449</v>
      </c>
      <c r="D3290" s="59" t="s">
        <v>803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ht="15.2" spans="1:10">
      <c r="A3291" s="58" t="s">
        <v>3962</v>
      </c>
      <c r="B3291" s="59">
        <v>1577.96</v>
      </c>
      <c r="C3291" s="59">
        <v>2599</v>
      </c>
      <c r="D3291" s="59" t="s">
        <v>803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ht="15.2" spans="1:10">
      <c r="A3292" s="58" t="s">
        <v>3963</v>
      </c>
      <c r="B3292" s="59">
        <v>1213.68</v>
      </c>
      <c r="C3292" s="59">
        <v>1999</v>
      </c>
      <c r="D3292" s="59" t="s">
        <v>803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ht="15.2" spans="1:10">
      <c r="A3293" s="58" t="s">
        <v>3964</v>
      </c>
      <c r="B3293" s="59">
        <v>4249.39</v>
      </c>
      <c r="C3293" s="59">
        <v>6999</v>
      </c>
      <c r="D3293" s="59" t="s">
        <v>803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</v>
      </c>
      <c r="J3293" s="60">
        <f t="shared" si="156"/>
        <v>6999</v>
      </c>
    </row>
    <row r="3294" ht="15.2" spans="1:10">
      <c r="A3294" s="58" t="s">
        <v>3965</v>
      </c>
      <c r="B3294" s="59">
        <v>1379.21</v>
      </c>
      <c r="C3294" s="59">
        <v>2099</v>
      </c>
      <c r="D3294" s="59" t="s">
        <v>803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ht="15.2" spans="1:10">
      <c r="A3295" s="58" t="s">
        <v>719</v>
      </c>
      <c r="B3295" s="59">
        <v>262.5</v>
      </c>
      <c r="C3295" s="59">
        <v>788</v>
      </c>
      <c r="D3295" s="59" t="s">
        <v>801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ht="15.2" spans="1:10">
      <c r="A3296" s="58" t="s">
        <v>3966</v>
      </c>
      <c r="B3296" s="59">
        <v>1116.38</v>
      </c>
      <c r="C3296" s="59">
        <v>1699</v>
      </c>
      <c r="D3296" s="59" t="s">
        <v>803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ht="15.2" spans="1:10">
      <c r="A3297" s="58" t="s">
        <v>3967</v>
      </c>
      <c r="B3297" s="59">
        <v>1444.92</v>
      </c>
      <c r="C3297" s="59">
        <v>2199</v>
      </c>
      <c r="D3297" s="59" t="s">
        <v>803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ht="15.2" spans="1:10">
      <c r="A3298" s="58" t="s">
        <v>3968</v>
      </c>
      <c r="B3298" s="59">
        <v>1642.05</v>
      </c>
      <c r="C3298" s="59">
        <v>2499</v>
      </c>
      <c r="D3298" s="59" t="s">
        <v>803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ht="15.2" spans="1:10">
      <c r="A3299" s="58" t="s">
        <v>3969</v>
      </c>
      <c r="B3299" s="59">
        <v>1609.86</v>
      </c>
      <c r="C3299" s="59">
        <v>2499</v>
      </c>
      <c r="D3299" s="59" t="s">
        <v>803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ht="15.2" spans="1:10">
      <c r="A3300" s="58" t="s">
        <v>3970</v>
      </c>
      <c r="B3300" s="59">
        <v>602.76</v>
      </c>
      <c r="C3300" s="59">
        <v>1258</v>
      </c>
      <c r="D3300" s="59" t="s">
        <v>801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</v>
      </c>
    </row>
    <row r="3301" ht="15.2" spans="1:10">
      <c r="A3301" s="58" t="s">
        <v>3971</v>
      </c>
      <c r="B3301" s="59">
        <v>1335.11</v>
      </c>
      <c r="C3301" s="59">
        <v>2199</v>
      </c>
      <c r="D3301" s="59" t="s">
        <v>803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ht="15.2" spans="1:10">
      <c r="A3302" s="58" t="s">
        <v>3972</v>
      </c>
      <c r="B3302" s="59">
        <v>841.26</v>
      </c>
      <c r="C3302" s="59">
        <v>1299</v>
      </c>
      <c r="D3302" s="59" t="s">
        <v>803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ht="15.2" spans="1:10">
      <c r="A3303" s="58" t="s">
        <v>3973</v>
      </c>
      <c r="B3303" s="59">
        <v>1247.8</v>
      </c>
      <c r="C3303" s="59">
        <v>1899</v>
      </c>
      <c r="D3303" s="59" t="s">
        <v>803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ht="15.2" spans="1:10">
      <c r="A3304" s="58" t="s">
        <v>3974</v>
      </c>
      <c r="B3304" s="59">
        <v>1638.68</v>
      </c>
      <c r="C3304" s="59">
        <v>2699</v>
      </c>
      <c r="D3304" s="59" t="s">
        <v>803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ht="15.2" spans="1:10">
      <c r="A3305" s="58" t="s">
        <v>3975</v>
      </c>
      <c r="B3305" s="59">
        <v>1395.82</v>
      </c>
      <c r="C3305" s="59">
        <v>2299</v>
      </c>
      <c r="D3305" s="59" t="s">
        <v>803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ht="15.2" spans="1:10">
      <c r="A3306" s="58" t="s">
        <v>3976</v>
      </c>
      <c r="B3306" s="59">
        <v>722.13</v>
      </c>
      <c r="C3306" s="59">
        <v>1099</v>
      </c>
      <c r="D3306" s="59" t="s">
        <v>803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ht="15.2" spans="1:10">
      <c r="A3307" s="58" t="s">
        <v>3977</v>
      </c>
      <c r="B3307" s="59">
        <v>1576.34</v>
      </c>
      <c r="C3307" s="59">
        <v>2399</v>
      </c>
      <c r="D3307" s="59" t="s">
        <v>803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ht="15.2" spans="1:10">
      <c r="A3308" s="58" t="s">
        <v>3978</v>
      </c>
      <c r="B3308" s="59">
        <v>490</v>
      </c>
      <c r="C3308" s="59">
        <v>1207</v>
      </c>
      <c r="D3308" s="59" t="s">
        <v>801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ht="15.2" spans="1:10">
      <c r="A3309" s="58" t="s">
        <v>3979</v>
      </c>
      <c r="B3309" s="59">
        <v>257</v>
      </c>
      <c r="C3309" s="59">
        <v>565</v>
      </c>
      <c r="D3309" s="59" t="s">
        <v>801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ht="15.2" spans="1:10">
      <c r="A3310" s="58" t="s">
        <v>3980</v>
      </c>
      <c r="B3310" s="59">
        <v>4856.54</v>
      </c>
      <c r="C3310" s="59">
        <v>7999</v>
      </c>
      <c r="D3310" s="59" t="s">
        <v>803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ht="15.2" spans="1:10">
      <c r="A3311" s="58" t="s">
        <v>3981</v>
      </c>
      <c r="B3311" s="59">
        <v>999</v>
      </c>
      <c r="C3311" s="59">
        <v>2098</v>
      </c>
      <c r="D3311" s="59" t="s">
        <v>801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ht="15.2" spans="1:10">
      <c r="A3312" s="58" t="s">
        <v>3982</v>
      </c>
      <c r="B3312" s="59">
        <v>787.84</v>
      </c>
      <c r="C3312" s="59">
        <v>1199</v>
      </c>
      <c r="D3312" s="59" t="s">
        <v>803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ht="15.2" spans="1:10">
      <c r="A3313" s="58" t="s">
        <v>3983</v>
      </c>
      <c r="B3313" s="59">
        <v>1119.05</v>
      </c>
      <c r="C3313" s="59">
        <v>1899</v>
      </c>
      <c r="D3313" s="59" t="s">
        <v>803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ht="15.2" spans="1:10">
      <c r="A3314" s="58" t="s">
        <v>3984</v>
      </c>
      <c r="B3314" s="59">
        <v>615</v>
      </c>
      <c r="C3314" s="59">
        <v>1447</v>
      </c>
      <c r="D3314" s="59" t="s">
        <v>801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5498.6</v>
      </c>
    </row>
    <row r="3315" ht="15.2" spans="1:10">
      <c r="A3315" s="58" t="s">
        <v>3985</v>
      </c>
      <c r="B3315" s="59">
        <v>1577.96</v>
      </c>
      <c r="C3315" s="59">
        <v>2599</v>
      </c>
      <c r="D3315" s="59" t="s">
        <v>803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ht="15.2" spans="1:10">
      <c r="A3316" s="58" t="s">
        <v>3986</v>
      </c>
      <c r="B3316" s="59">
        <v>1517.25</v>
      </c>
      <c r="C3316" s="59">
        <v>2499</v>
      </c>
      <c r="D3316" s="59" t="s">
        <v>803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ht="15.2" spans="1:10">
      <c r="A3317" s="58" t="s">
        <v>3987</v>
      </c>
      <c r="B3317" s="59">
        <v>370</v>
      </c>
      <c r="C3317" s="59">
        <v>826</v>
      </c>
      <c r="D3317" s="59" t="s">
        <v>801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3964.8</v>
      </c>
    </row>
    <row r="3318" ht="15.2" spans="1:10">
      <c r="A3318" s="58" t="s">
        <v>3988</v>
      </c>
      <c r="B3318" s="59">
        <v>4249.39</v>
      </c>
      <c r="C3318" s="59">
        <v>6999</v>
      </c>
      <c r="D3318" s="59" t="s">
        <v>803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ht="15.2" spans="1:10">
      <c r="A3319" s="58" t="s">
        <v>3989</v>
      </c>
      <c r="B3319" s="59">
        <v>1379.21</v>
      </c>
      <c r="C3319" s="59">
        <v>2099</v>
      </c>
      <c r="D3319" s="59" t="s">
        <v>803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ht="15.2" spans="1:10">
      <c r="A3320" s="58" t="s">
        <v>3990</v>
      </c>
      <c r="B3320" s="59">
        <v>335.14</v>
      </c>
      <c r="C3320" s="59">
        <v>830</v>
      </c>
      <c r="D3320" s="59" t="s">
        <v>801</v>
      </c>
      <c r="E3320" s="59">
        <v>9.2</v>
      </c>
      <c r="F3320" s="59">
        <v>9.2</v>
      </c>
      <c r="G3320" s="59">
        <v>0</v>
      </c>
      <c r="H3320" s="60">
        <f t="shared" si="157"/>
        <v>9.2</v>
      </c>
      <c r="I3320" s="60">
        <f t="shared" si="155"/>
        <v>3083.288</v>
      </c>
      <c r="J3320" s="60">
        <f t="shared" si="156"/>
        <v>7636</v>
      </c>
    </row>
    <row r="3321" ht="15.2" spans="1:10">
      <c r="A3321" s="58" t="s">
        <v>3991</v>
      </c>
      <c r="B3321" s="59">
        <v>906.02</v>
      </c>
      <c r="C3321" s="59">
        <v>1399</v>
      </c>
      <c r="D3321" s="59" t="s">
        <v>803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ht="15.2" spans="1:10">
      <c r="A3322" s="58" t="s">
        <v>3992</v>
      </c>
      <c r="B3322" s="59">
        <v>306</v>
      </c>
      <c r="C3322" s="59">
        <v>750</v>
      </c>
      <c r="D3322" s="59" t="s">
        <v>801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ht="15.2" spans="1:10">
      <c r="A3323" s="58" t="s">
        <v>3993</v>
      </c>
      <c r="B3323" s="59">
        <v>1092.25</v>
      </c>
      <c r="C3323" s="59">
        <v>1799</v>
      </c>
      <c r="D3323" s="59" t="s">
        <v>803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ht="15.2" spans="1:10">
      <c r="A3324" s="58" t="s">
        <v>3994</v>
      </c>
      <c r="B3324" s="59">
        <v>525</v>
      </c>
      <c r="C3324" s="59">
        <v>799</v>
      </c>
      <c r="D3324" s="59" t="s">
        <v>803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ht="15.2" spans="1:10">
      <c r="A3325" s="58" t="s">
        <v>3995</v>
      </c>
      <c r="B3325" s="59">
        <v>1456.54</v>
      </c>
      <c r="C3325" s="59">
        <v>2399</v>
      </c>
      <c r="D3325" s="59" t="s">
        <v>803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ht="15.2" spans="1:10">
      <c r="A3326" s="58" t="s">
        <v>3996</v>
      </c>
      <c r="B3326" s="59">
        <v>525</v>
      </c>
      <c r="C3326" s="59">
        <v>799</v>
      </c>
      <c r="D3326" s="59" t="s">
        <v>803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ht="15.2" spans="1:10">
      <c r="A3327" s="58" t="s">
        <v>3997</v>
      </c>
      <c r="B3327" s="59">
        <v>1839.16</v>
      </c>
      <c r="C3327" s="59">
        <v>2799</v>
      </c>
      <c r="D3327" s="59" t="s">
        <v>803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ht="15.2" spans="1:10">
      <c r="A3328" s="58" t="s">
        <v>3998</v>
      </c>
      <c r="B3328" s="59">
        <v>410</v>
      </c>
      <c r="C3328" s="59">
        <v>966</v>
      </c>
      <c r="D3328" s="59" t="s">
        <v>801</v>
      </c>
      <c r="E3328" s="59">
        <v>4.35</v>
      </c>
      <c r="F3328" s="59">
        <v>4.35</v>
      </c>
      <c r="G3328" s="59">
        <v>0</v>
      </c>
      <c r="H3328" s="60">
        <f t="shared" si="157"/>
        <v>4.35</v>
      </c>
      <c r="I3328" s="60">
        <f t="shared" si="155"/>
        <v>1783.5</v>
      </c>
      <c r="J3328" s="60">
        <f t="shared" si="156"/>
        <v>4202.1</v>
      </c>
    </row>
    <row r="3329" ht="15.2" spans="1:10">
      <c r="A3329" s="58" t="s">
        <v>3999</v>
      </c>
      <c r="B3329" s="59">
        <v>689</v>
      </c>
      <c r="C3329" s="59">
        <v>1540</v>
      </c>
      <c r="D3329" s="59" t="s">
        <v>801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ht="15.2" spans="1:10">
      <c r="A3330" s="58" t="s">
        <v>4000</v>
      </c>
      <c r="B3330" s="59">
        <v>409</v>
      </c>
      <c r="C3330" s="59">
        <v>1032</v>
      </c>
      <c r="D3330" s="59" t="s">
        <v>801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</v>
      </c>
      <c r="J3330" s="60">
        <f t="shared" ref="J3330:J3393" si="159">C3330*H3330</f>
        <v>1341.6</v>
      </c>
    </row>
    <row r="3331" ht="15.2" spans="1:10">
      <c r="A3331" s="58" t="s">
        <v>4001</v>
      </c>
      <c r="B3331" s="59">
        <v>345</v>
      </c>
      <c r="C3331" s="59">
        <v>706</v>
      </c>
      <c r="D3331" s="59" t="s">
        <v>801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ht="15.2" spans="1:10">
      <c r="A3332" s="58" t="s">
        <v>4002</v>
      </c>
      <c r="B3332" s="59">
        <v>1313.5</v>
      </c>
      <c r="C3332" s="59">
        <v>1999</v>
      </c>
      <c r="D3332" s="59" t="s">
        <v>803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ht="15.2" spans="1:10">
      <c r="A3333" s="58" t="s">
        <v>4003</v>
      </c>
      <c r="B3333" s="59">
        <v>1229</v>
      </c>
      <c r="C3333" s="59">
        <v>2927</v>
      </c>
      <c r="D3333" s="59" t="s">
        <v>801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ht="15.2" spans="1:10">
      <c r="A3334" s="58" t="s">
        <v>4004</v>
      </c>
      <c r="B3334" s="59">
        <v>299</v>
      </c>
      <c r="C3334" s="59">
        <v>660</v>
      </c>
      <c r="D3334" s="59" t="s">
        <v>801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ht="15.2" spans="1:10">
      <c r="A3335" s="58" t="s">
        <v>4005</v>
      </c>
      <c r="B3335" s="59">
        <v>1354.77</v>
      </c>
      <c r="C3335" s="59">
        <v>2299</v>
      </c>
      <c r="D3335" s="59" t="s">
        <v>803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ht="15.2" spans="1:10">
      <c r="A3336" s="58" t="s">
        <v>4006</v>
      </c>
      <c r="B3336" s="59">
        <v>6481.55</v>
      </c>
      <c r="C3336" s="59">
        <v>10999</v>
      </c>
      <c r="D3336" s="59" t="s">
        <v>803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ht="15.2" spans="1:10">
      <c r="A3337" s="58" t="s">
        <v>4007</v>
      </c>
      <c r="B3337" s="59">
        <v>1517.25</v>
      </c>
      <c r="C3337" s="59">
        <v>2499</v>
      </c>
      <c r="D3337" s="59" t="s">
        <v>803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ht="15.2" spans="1:10">
      <c r="A3338" s="58" t="s">
        <v>4008</v>
      </c>
      <c r="B3338" s="59">
        <v>1213.68</v>
      </c>
      <c r="C3338" s="59">
        <v>1999</v>
      </c>
      <c r="D3338" s="59" t="s">
        <v>803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ht="15.2" spans="1:10">
      <c r="A3339" s="58" t="s">
        <v>4009</v>
      </c>
      <c r="B3339" s="59">
        <v>665</v>
      </c>
      <c r="C3339" s="59">
        <v>1616</v>
      </c>
      <c r="D3339" s="59" t="s">
        <v>801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1939.2</v>
      </c>
    </row>
    <row r="3340" ht="15.2" spans="1:10">
      <c r="A3340" s="58" t="s">
        <v>4010</v>
      </c>
      <c r="B3340" s="59">
        <v>354</v>
      </c>
      <c r="C3340" s="59">
        <v>780</v>
      </c>
      <c r="D3340" s="59" t="s">
        <v>801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ht="15.2" spans="1:10">
      <c r="A3341" s="58" t="s">
        <v>4011</v>
      </c>
      <c r="B3341" s="59">
        <v>1881.54</v>
      </c>
      <c r="C3341" s="59">
        <v>3099</v>
      </c>
      <c r="D3341" s="59" t="s">
        <v>803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ht="15.2" spans="1:10">
      <c r="A3342" s="58" t="s">
        <v>4012</v>
      </c>
      <c r="B3342" s="59">
        <v>525</v>
      </c>
      <c r="C3342" s="59">
        <v>1149</v>
      </c>
      <c r="D3342" s="59" t="s">
        <v>801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ht="15.2" spans="1:10">
      <c r="A3343" s="58" t="s">
        <v>4013</v>
      </c>
      <c r="B3343" s="59">
        <v>863</v>
      </c>
      <c r="C3343" s="59">
        <v>2164</v>
      </c>
      <c r="D3343" s="59" t="s">
        <v>801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3710.9</v>
      </c>
      <c r="J3343" s="60">
        <f t="shared" si="159"/>
        <v>9305.2</v>
      </c>
    </row>
    <row r="3344" ht="15.2" spans="1:10">
      <c r="A3344" s="58" t="s">
        <v>4014</v>
      </c>
      <c r="B3344" s="59">
        <v>1904.87</v>
      </c>
      <c r="C3344" s="59">
        <v>2899</v>
      </c>
      <c r="D3344" s="59" t="s">
        <v>803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ht="15.2" spans="1:10">
      <c r="A3345" s="58" t="s">
        <v>4015</v>
      </c>
      <c r="B3345" s="59">
        <v>0</v>
      </c>
      <c r="C3345" s="59">
        <v>0</v>
      </c>
      <c r="D3345" s="59" t="s">
        <v>815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ht="15.2" spans="1:10">
      <c r="A3346" s="58" t="s">
        <v>4016</v>
      </c>
      <c r="B3346" s="59">
        <v>841.26</v>
      </c>
      <c r="C3346" s="59">
        <v>1299</v>
      </c>
      <c r="D3346" s="59" t="s">
        <v>803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ht="15.2" spans="1:10">
      <c r="A3347" s="58" t="s">
        <v>4017</v>
      </c>
      <c r="B3347" s="59">
        <v>595</v>
      </c>
      <c r="C3347" s="59">
        <v>1314</v>
      </c>
      <c r="D3347" s="59" t="s">
        <v>801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ht="15.2" spans="1:10">
      <c r="A3348" s="58" t="s">
        <v>4018</v>
      </c>
      <c r="B3348" s="59">
        <v>661</v>
      </c>
      <c r="C3348" s="59">
        <v>1388</v>
      </c>
      <c r="D3348" s="59" t="s">
        <v>801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396.6</v>
      </c>
      <c r="J3348" s="60">
        <f t="shared" si="159"/>
        <v>832.8</v>
      </c>
    </row>
    <row r="3349" ht="15.2" spans="1:10">
      <c r="A3349" s="58" t="s">
        <v>4019</v>
      </c>
      <c r="B3349" s="59">
        <v>970.78</v>
      </c>
      <c r="C3349" s="59">
        <v>1499</v>
      </c>
      <c r="D3349" s="59" t="s">
        <v>803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ht="15.2" spans="1:10">
      <c r="A3350" s="58" t="s">
        <v>4020</v>
      </c>
      <c r="B3350" s="59">
        <v>273</v>
      </c>
      <c r="C3350" s="59">
        <v>561</v>
      </c>
      <c r="D3350" s="59" t="s">
        <v>801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ht="15.2" spans="1:10">
      <c r="A3351" s="58" t="s">
        <v>4021</v>
      </c>
      <c r="B3351" s="59">
        <v>1177.98</v>
      </c>
      <c r="C3351" s="59">
        <v>1999</v>
      </c>
      <c r="D3351" s="59" t="s">
        <v>803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ht="15.2" spans="1:10">
      <c r="A3352" s="58" t="s">
        <v>4022</v>
      </c>
      <c r="B3352" s="59">
        <v>295.02</v>
      </c>
      <c r="C3352" s="59">
        <v>449</v>
      </c>
      <c r="D3352" s="59" t="s">
        <v>803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ht="15.2" spans="1:10">
      <c r="A3353" s="58" t="s">
        <v>4023</v>
      </c>
      <c r="B3353" s="59">
        <v>953.47</v>
      </c>
      <c r="C3353" s="59">
        <v>1799</v>
      </c>
      <c r="D3353" s="59" t="s">
        <v>803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ht="15.2" spans="1:10">
      <c r="A3354" s="58" t="s">
        <v>4024</v>
      </c>
      <c r="B3354" s="59">
        <v>768</v>
      </c>
      <c r="C3354" s="59">
        <v>1964</v>
      </c>
      <c r="D3354" s="59" t="s">
        <v>801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8601.6</v>
      </c>
      <c r="J3354" s="60">
        <f t="shared" si="159"/>
        <v>21996.8</v>
      </c>
    </row>
    <row r="3355" ht="15.2" spans="1:10">
      <c r="A3355" s="58" t="s">
        <v>4025</v>
      </c>
      <c r="B3355" s="59">
        <v>426</v>
      </c>
      <c r="C3355" s="59">
        <v>871</v>
      </c>
      <c r="D3355" s="59" t="s">
        <v>801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ht="15.2" spans="1:10">
      <c r="A3356" s="58" t="s">
        <v>4026</v>
      </c>
      <c r="B3356" s="59">
        <v>1472.63</v>
      </c>
      <c r="C3356" s="59">
        <v>2499</v>
      </c>
      <c r="D3356" s="59" t="s">
        <v>803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ht="15.2" spans="1:10">
      <c r="A3357" s="58" t="s">
        <v>698</v>
      </c>
      <c r="B3357" s="59">
        <v>569</v>
      </c>
      <c r="C3357" s="59">
        <v>1338</v>
      </c>
      <c r="D3357" s="59" t="s">
        <v>801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ht="15.2" spans="1:10">
      <c r="A3358" s="58" t="s">
        <v>4027</v>
      </c>
      <c r="B3358" s="59">
        <v>769</v>
      </c>
      <c r="C3358" s="59">
        <v>1825</v>
      </c>
      <c r="D3358" s="59" t="s">
        <v>801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ht="15.2" spans="1:10">
      <c r="A3359" s="58" t="s">
        <v>4028</v>
      </c>
      <c r="B3359" s="59">
        <v>517.45</v>
      </c>
      <c r="C3359" s="59">
        <v>799</v>
      </c>
      <c r="D3359" s="59" t="s">
        <v>803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</v>
      </c>
      <c r="J3359" s="60">
        <f t="shared" si="159"/>
        <v>799</v>
      </c>
    </row>
    <row r="3360" ht="15.2" spans="1:10">
      <c r="A3360" s="58" t="s">
        <v>4029</v>
      </c>
      <c r="B3360" s="59">
        <v>1970.58</v>
      </c>
      <c r="C3360" s="59">
        <v>2999</v>
      </c>
      <c r="D3360" s="59" t="s">
        <v>803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ht="15.2" spans="1:10">
      <c r="A3361" s="58" t="s">
        <v>4030</v>
      </c>
      <c r="B3361" s="59">
        <v>405</v>
      </c>
      <c r="C3361" s="59">
        <v>946</v>
      </c>
      <c r="D3361" s="59" t="s">
        <v>801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662.2</v>
      </c>
    </row>
    <row r="3362" ht="15.2" spans="1:10">
      <c r="A3362" s="58" t="s">
        <v>4031</v>
      </c>
      <c r="B3362" s="59">
        <v>423.47</v>
      </c>
      <c r="C3362" s="59">
        <v>799</v>
      </c>
      <c r="D3362" s="59" t="s">
        <v>803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ht="15.2" spans="1:10">
      <c r="A3363" s="58" t="s">
        <v>4032</v>
      </c>
      <c r="B3363" s="59">
        <v>2063.68</v>
      </c>
      <c r="C3363" s="59">
        <v>3399</v>
      </c>
      <c r="D3363" s="59" t="s">
        <v>803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4127.36</v>
      </c>
      <c r="J3363" s="60">
        <f t="shared" si="159"/>
        <v>6798</v>
      </c>
    </row>
    <row r="3364" ht="15.2" spans="1:10">
      <c r="A3364" s="58" t="s">
        <v>4033</v>
      </c>
      <c r="B3364" s="59">
        <v>1354.77</v>
      </c>
      <c r="C3364" s="59">
        <v>2299</v>
      </c>
      <c r="D3364" s="59" t="s">
        <v>803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ht="15.2" spans="1:10">
      <c r="A3365" s="58" t="s">
        <v>4034</v>
      </c>
      <c r="B3365" s="59">
        <v>999</v>
      </c>
      <c r="C3365" s="59">
        <v>2623</v>
      </c>
      <c r="D3365" s="59" t="s">
        <v>801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9573.95</v>
      </c>
    </row>
    <row r="3366" ht="15.2" spans="1:10">
      <c r="A3366" s="58" t="s">
        <v>4035</v>
      </c>
      <c r="B3366" s="59">
        <v>292</v>
      </c>
      <c r="C3366" s="59">
        <v>730</v>
      </c>
      <c r="D3366" s="59" t="s">
        <v>801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</v>
      </c>
      <c r="J3366" s="60">
        <f t="shared" si="159"/>
        <v>1533</v>
      </c>
    </row>
    <row r="3367" ht="15.2" spans="1:10">
      <c r="A3367" s="58" t="s">
        <v>4036</v>
      </c>
      <c r="B3367" s="59">
        <v>299</v>
      </c>
      <c r="C3367" s="59">
        <v>499</v>
      </c>
      <c r="D3367" s="59" t="s">
        <v>801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ht="15.2" spans="1:10">
      <c r="A3368" s="58" t="s">
        <v>4037</v>
      </c>
      <c r="B3368" s="59">
        <v>1213.68</v>
      </c>
      <c r="C3368" s="59">
        <v>1999</v>
      </c>
      <c r="D3368" s="59" t="s">
        <v>803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ht="15.2" spans="1:10">
      <c r="A3369" s="58" t="s">
        <v>4038</v>
      </c>
      <c r="B3369" s="59">
        <v>970.78</v>
      </c>
      <c r="C3369" s="59">
        <v>1499</v>
      </c>
      <c r="D3369" s="59" t="s">
        <v>803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ht="15.2" spans="1:10">
      <c r="A3370" s="58" t="s">
        <v>4039</v>
      </c>
      <c r="B3370" s="59">
        <v>1236.91</v>
      </c>
      <c r="C3370" s="59">
        <v>2099</v>
      </c>
      <c r="D3370" s="59" t="s">
        <v>803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</v>
      </c>
      <c r="J3370" s="60">
        <f t="shared" si="159"/>
        <v>2099</v>
      </c>
    </row>
    <row r="3371" ht="15.2" spans="1:10">
      <c r="A3371" s="58" t="s">
        <v>4040</v>
      </c>
      <c r="B3371" s="59">
        <v>2124.4</v>
      </c>
      <c r="C3371" s="59">
        <v>3499</v>
      </c>
      <c r="D3371" s="59" t="s">
        <v>803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ht="15.2" spans="1:10">
      <c r="A3372" s="58" t="s">
        <v>4041</v>
      </c>
      <c r="B3372" s="59">
        <v>2254</v>
      </c>
      <c r="C3372" s="59">
        <v>5863</v>
      </c>
      <c r="D3372" s="59" t="s">
        <v>801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ht="15.2" spans="1:10">
      <c r="A3373" s="58" t="s">
        <v>4042</v>
      </c>
      <c r="B3373" s="59">
        <v>499</v>
      </c>
      <c r="C3373" s="59">
        <v>1048</v>
      </c>
      <c r="D3373" s="59" t="s">
        <v>801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ht="15.2" spans="1:10">
      <c r="A3374" s="58" t="s">
        <v>4043</v>
      </c>
      <c r="B3374" s="59">
        <v>1395.82</v>
      </c>
      <c r="C3374" s="59">
        <v>2299</v>
      </c>
      <c r="D3374" s="59" t="s">
        <v>803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ht="15.2" spans="1:10">
      <c r="A3375" s="58" t="s">
        <v>4044</v>
      </c>
      <c r="B3375" s="59">
        <v>1738.7</v>
      </c>
      <c r="C3375" s="59">
        <v>2699</v>
      </c>
      <c r="D3375" s="59" t="s">
        <v>803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ht="15.2" spans="1:10">
      <c r="A3376" s="58" t="s">
        <v>4045</v>
      </c>
      <c r="B3376" s="59">
        <v>266</v>
      </c>
      <c r="C3376" s="59">
        <v>575</v>
      </c>
      <c r="D3376" s="59" t="s">
        <v>801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ht="15.2" spans="1:10">
      <c r="A3377" s="58" t="s">
        <v>4046</v>
      </c>
      <c r="B3377" s="59">
        <v>1182.09</v>
      </c>
      <c r="C3377" s="59">
        <v>1799</v>
      </c>
      <c r="D3377" s="59" t="s">
        <v>803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1182.09</v>
      </c>
      <c r="J3377" s="60">
        <f t="shared" si="159"/>
        <v>1799</v>
      </c>
    </row>
    <row r="3378" ht="15.2" spans="1:10">
      <c r="A3378" s="58" t="s">
        <v>4047</v>
      </c>
      <c r="B3378" s="59">
        <v>1820.82</v>
      </c>
      <c r="C3378" s="59">
        <v>2999</v>
      </c>
      <c r="D3378" s="59" t="s">
        <v>803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ht="15.2" spans="1:10">
      <c r="A3379" s="58" t="s">
        <v>4048</v>
      </c>
      <c r="B3379" s="59">
        <v>1577.96</v>
      </c>
      <c r="C3379" s="59">
        <v>2599</v>
      </c>
      <c r="D3379" s="59" t="s">
        <v>803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ht="15.2" spans="1:10">
      <c r="A3380" s="58" t="s">
        <v>4049</v>
      </c>
      <c r="B3380" s="59">
        <v>448</v>
      </c>
      <c r="C3380" s="59">
        <v>1110</v>
      </c>
      <c r="D3380" s="59" t="s">
        <v>801</v>
      </c>
      <c r="E3380" s="59">
        <v>9.3</v>
      </c>
      <c r="F3380" s="59">
        <v>9.3</v>
      </c>
      <c r="G3380" s="59">
        <v>0</v>
      </c>
      <c r="H3380" s="60">
        <f t="shared" si="160"/>
        <v>9.3</v>
      </c>
      <c r="I3380" s="60">
        <f t="shared" si="158"/>
        <v>4166.4</v>
      </c>
      <c r="J3380" s="60">
        <f t="shared" si="159"/>
        <v>10323</v>
      </c>
    </row>
    <row r="3381" ht="15.2" spans="1:10">
      <c r="A3381" s="58" t="s">
        <v>4050</v>
      </c>
      <c r="B3381" s="59">
        <v>3499</v>
      </c>
      <c r="C3381" s="59">
        <v>7975</v>
      </c>
      <c r="D3381" s="59" t="s">
        <v>801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ht="15.2" spans="1:10">
      <c r="A3382" s="58" t="s">
        <v>4051</v>
      </c>
      <c r="B3382" s="59">
        <v>1313.5</v>
      </c>
      <c r="C3382" s="59">
        <v>1999</v>
      </c>
      <c r="D3382" s="59" t="s">
        <v>803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ht="15.2" spans="1:10">
      <c r="A3383" s="58" t="s">
        <v>4052</v>
      </c>
      <c r="B3383" s="59">
        <v>1335.11</v>
      </c>
      <c r="C3383" s="59">
        <v>2199</v>
      </c>
      <c r="D3383" s="59" t="s">
        <v>803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ht="15.2" spans="1:10">
      <c r="A3384" s="58" t="s">
        <v>4053</v>
      </c>
      <c r="B3384" s="59">
        <v>1379.21</v>
      </c>
      <c r="C3384" s="59">
        <v>2099</v>
      </c>
      <c r="D3384" s="59" t="s">
        <v>803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ht="15.2" spans="1:10">
      <c r="A3385" s="58" t="s">
        <v>4054</v>
      </c>
      <c r="B3385" s="59">
        <v>267</v>
      </c>
      <c r="C3385" s="59">
        <v>630</v>
      </c>
      <c r="D3385" s="59" t="s">
        <v>801</v>
      </c>
      <c r="E3385" s="59">
        <v>1.15</v>
      </c>
      <c r="F3385" s="59">
        <v>1.15</v>
      </c>
      <c r="G3385" s="59">
        <v>0</v>
      </c>
      <c r="H3385" s="60">
        <f t="shared" si="160"/>
        <v>1.15</v>
      </c>
      <c r="I3385" s="60">
        <f t="shared" si="158"/>
        <v>307.05</v>
      </c>
      <c r="J3385" s="60">
        <f t="shared" si="159"/>
        <v>724.5</v>
      </c>
    </row>
    <row r="3386" ht="15.2" spans="1:10">
      <c r="A3386" s="58" t="s">
        <v>4055</v>
      </c>
      <c r="B3386" s="59">
        <v>449</v>
      </c>
      <c r="C3386" s="59">
        <v>999</v>
      </c>
      <c r="D3386" s="59" t="s">
        <v>801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</v>
      </c>
      <c r="J3386" s="60">
        <f t="shared" si="159"/>
        <v>49.95</v>
      </c>
    </row>
    <row r="3387" ht="15.2" spans="1:10">
      <c r="A3387" s="58" t="s">
        <v>4056</v>
      </c>
      <c r="B3387" s="59">
        <v>913.24</v>
      </c>
      <c r="C3387" s="59">
        <v>1399</v>
      </c>
      <c r="D3387" s="59" t="s">
        <v>803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ht="15.2" spans="1:10">
      <c r="A3388" s="58" t="s">
        <v>4057</v>
      </c>
      <c r="B3388" s="59">
        <v>403</v>
      </c>
      <c r="C3388" s="59">
        <v>919</v>
      </c>
      <c r="D3388" s="59" t="s">
        <v>801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ht="15.2" spans="1:10">
      <c r="A3389" s="58" t="s">
        <v>4058</v>
      </c>
      <c r="B3389" s="59">
        <v>2233.41</v>
      </c>
      <c r="C3389" s="59">
        <v>3399</v>
      </c>
      <c r="D3389" s="59" t="s">
        <v>803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ht="15.2" spans="1:10">
      <c r="A3390" s="58" t="s">
        <v>4059</v>
      </c>
      <c r="B3390" s="59">
        <v>1116.38</v>
      </c>
      <c r="C3390" s="59">
        <v>1699</v>
      </c>
      <c r="D3390" s="59" t="s">
        <v>803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ht="15.2" spans="1:10">
      <c r="A3391" s="58" t="s">
        <v>4060</v>
      </c>
      <c r="B3391" s="59">
        <v>1274.4</v>
      </c>
      <c r="C3391" s="59">
        <v>2099</v>
      </c>
      <c r="D3391" s="59" t="s">
        <v>803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ht="15.2" spans="1:10">
      <c r="A3392" s="58" t="s">
        <v>4061</v>
      </c>
      <c r="B3392" s="59">
        <v>517.45</v>
      </c>
      <c r="C3392" s="59">
        <v>799</v>
      </c>
      <c r="D3392" s="59" t="s">
        <v>803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ht="15.2" spans="1:10">
      <c r="A3393" s="58" t="s">
        <v>4062</v>
      </c>
      <c r="B3393" s="59">
        <v>2299.12</v>
      </c>
      <c r="C3393" s="59">
        <v>3499</v>
      </c>
      <c r="D3393" s="59" t="s">
        <v>803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ht="15.2" spans="1:10">
      <c r="A3394" s="58" t="s">
        <v>4063</v>
      </c>
      <c r="B3394" s="59">
        <v>1970.58</v>
      </c>
      <c r="C3394" s="59">
        <v>2999</v>
      </c>
      <c r="D3394" s="59" t="s">
        <v>803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ht="15.2" spans="1:10">
      <c r="A3395" s="58" t="s">
        <v>4064</v>
      </c>
      <c r="B3395" s="59">
        <v>1576.34</v>
      </c>
      <c r="C3395" s="59">
        <v>2399</v>
      </c>
      <c r="D3395" s="59" t="s">
        <v>803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ht="15.2" spans="1:10">
      <c r="A3396" s="58" t="s">
        <v>4065</v>
      </c>
      <c r="B3396" s="59">
        <v>630</v>
      </c>
      <c r="C3396" s="59">
        <v>1438</v>
      </c>
      <c r="D3396" s="59" t="s">
        <v>801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</v>
      </c>
    </row>
    <row r="3397" ht="15.2" spans="1:10">
      <c r="A3397" s="58" t="s">
        <v>4066</v>
      </c>
      <c r="B3397" s="59">
        <v>296</v>
      </c>
      <c r="C3397" s="59">
        <v>638</v>
      </c>
      <c r="D3397" s="59" t="s">
        <v>801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446.6</v>
      </c>
    </row>
    <row r="3398" ht="15.2" spans="1:10">
      <c r="A3398" s="58" t="s">
        <v>4067</v>
      </c>
      <c r="B3398" s="59">
        <v>649</v>
      </c>
      <c r="C3398" s="59">
        <v>1447</v>
      </c>
      <c r="D3398" s="59" t="s">
        <v>801</v>
      </c>
      <c r="E3398" s="59">
        <v>2.2</v>
      </c>
      <c r="F3398" s="59">
        <v>2.2</v>
      </c>
      <c r="G3398" s="59">
        <v>0</v>
      </c>
      <c r="H3398" s="60">
        <f t="shared" si="160"/>
        <v>2.2</v>
      </c>
      <c r="I3398" s="60">
        <f t="shared" si="161"/>
        <v>1427.8</v>
      </c>
      <c r="J3398" s="60">
        <f t="shared" si="162"/>
        <v>3183.4</v>
      </c>
    </row>
    <row r="3399" ht="15.2" spans="1:10">
      <c r="A3399" s="58" t="s">
        <v>4068</v>
      </c>
      <c r="B3399" s="59">
        <v>384</v>
      </c>
      <c r="C3399" s="59">
        <v>959</v>
      </c>
      <c r="D3399" s="59" t="s">
        <v>801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460.8</v>
      </c>
      <c r="J3399" s="60">
        <f t="shared" si="162"/>
        <v>1150.8</v>
      </c>
    </row>
    <row r="3400" ht="15.2" spans="1:10">
      <c r="A3400" s="58" t="s">
        <v>4069</v>
      </c>
      <c r="B3400" s="59">
        <v>4249.39</v>
      </c>
      <c r="C3400" s="59">
        <v>6999</v>
      </c>
      <c r="D3400" s="59" t="s">
        <v>803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</v>
      </c>
      <c r="J3400" s="60">
        <f t="shared" si="162"/>
        <v>6999</v>
      </c>
    </row>
    <row r="3401" ht="15.2" spans="1:10">
      <c r="A3401" s="58" t="s">
        <v>4070</v>
      </c>
      <c r="B3401" s="59">
        <v>1287.76</v>
      </c>
      <c r="C3401" s="59">
        <v>1999</v>
      </c>
      <c r="D3401" s="59" t="s">
        <v>803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ht="15.2" spans="1:10">
      <c r="A3402" s="58" t="s">
        <v>4071</v>
      </c>
      <c r="B3402" s="59">
        <v>1354.77</v>
      </c>
      <c r="C3402" s="59">
        <v>2299</v>
      </c>
      <c r="D3402" s="59" t="s">
        <v>803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ht="15.2" spans="1:10">
      <c r="A3403" s="58" t="s">
        <v>4072</v>
      </c>
      <c r="B3403" s="59">
        <v>1395.82</v>
      </c>
      <c r="C3403" s="59">
        <v>2299</v>
      </c>
      <c r="D3403" s="59" t="s">
        <v>803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ht="15.2" spans="1:10">
      <c r="A3404" s="58" t="s">
        <v>4073</v>
      </c>
      <c r="B3404" s="59">
        <v>1472.63</v>
      </c>
      <c r="C3404" s="59">
        <v>2499</v>
      </c>
      <c r="D3404" s="59" t="s">
        <v>803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ht="15.2" spans="1:10">
      <c r="A3405" s="58" t="s">
        <v>4074</v>
      </c>
      <c r="B3405" s="59">
        <v>431</v>
      </c>
      <c r="C3405" s="59">
        <v>1092</v>
      </c>
      <c r="D3405" s="59" t="s">
        <v>801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ht="15.2" spans="1:10">
      <c r="A3406" s="58" t="s">
        <v>4075</v>
      </c>
      <c r="B3406" s="59">
        <v>3535.13</v>
      </c>
      <c r="C3406" s="59">
        <v>5999</v>
      </c>
      <c r="D3406" s="59" t="s">
        <v>803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ht="15.2" spans="1:10">
      <c r="A3407" s="58" t="s">
        <v>4076</v>
      </c>
      <c r="B3407" s="59">
        <v>365</v>
      </c>
      <c r="C3407" s="59">
        <v>767</v>
      </c>
      <c r="D3407" s="59" t="s">
        <v>801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ht="15.2" spans="1:10">
      <c r="A3408" s="58" t="s">
        <v>4077</v>
      </c>
      <c r="B3408" s="59">
        <v>419.2</v>
      </c>
      <c r="C3408" s="59">
        <v>1263</v>
      </c>
      <c r="D3408" s="59" t="s">
        <v>801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1362.4</v>
      </c>
      <c r="J3408" s="60">
        <f t="shared" si="162"/>
        <v>4104.75</v>
      </c>
    </row>
    <row r="3409" ht="15.2" spans="1:10">
      <c r="A3409" s="58" t="s">
        <v>4078</v>
      </c>
      <c r="B3409" s="59">
        <v>1295.84</v>
      </c>
      <c r="C3409" s="59">
        <v>2199</v>
      </c>
      <c r="D3409" s="59" t="s">
        <v>803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ht="15.2" spans="1:10">
      <c r="A3410" s="58" t="s">
        <v>4079</v>
      </c>
      <c r="B3410" s="59">
        <v>1335.11</v>
      </c>
      <c r="C3410" s="59">
        <v>2199</v>
      </c>
      <c r="D3410" s="59" t="s">
        <v>803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ht="15.2" spans="1:10">
      <c r="A3411" s="58" t="s">
        <v>4080</v>
      </c>
      <c r="B3411" s="59">
        <v>3535.13</v>
      </c>
      <c r="C3411" s="59">
        <v>5999</v>
      </c>
      <c r="D3411" s="59" t="s">
        <v>803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ht="15.2" spans="1:10">
      <c r="A3412" s="58" t="s">
        <v>4081</v>
      </c>
      <c r="B3412" s="59">
        <v>1313.5</v>
      </c>
      <c r="C3412" s="59">
        <v>1999</v>
      </c>
      <c r="D3412" s="59" t="s">
        <v>803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ht="15.2" spans="1:10">
      <c r="A3413" s="58" t="s">
        <v>4082</v>
      </c>
      <c r="B3413" s="59">
        <v>399</v>
      </c>
      <c r="C3413" s="59">
        <v>838</v>
      </c>
      <c r="D3413" s="59" t="s">
        <v>801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ht="15.2" spans="1:10">
      <c r="A3414" s="58" t="s">
        <v>4083</v>
      </c>
      <c r="B3414" s="59">
        <v>5463.68</v>
      </c>
      <c r="C3414" s="59">
        <v>8999</v>
      </c>
      <c r="D3414" s="59" t="s">
        <v>803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ht="15.2" spans="1:10">
      <c r="A3415" s="58" t="s">
        <v>4084</v>
      </c>
      <c r="B3415" s="59">
        <v>3745.19</v>
      </c>
      <c r="C3415" s="59">
        <v>6499</v>
      </c>
      <c r="D3415" s="59" t="s">
        <v>803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ht="15.2" spans="1:10">
      <c r="A3416" s="58" t="s">
        <v>4085</v>
      </c>
      <c r="B3416" s="59">
        <v>1274.4</v>
      </c>
      <c r="C3416" s="59">
        <v>2099</v>
      </c>
      <c r="D3416" s="59" t="s">
        <v>803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</v>
      </c>
      <c r="J3416" s="60">
        <f t="shared" si="162"/>
        <v>2099</v>
      </c>
    </row>
    <row r="3417" ht="15.2" spans="1:10">
      <c r="A3417" s="58" t="s">
        <v>4086</v>
      </c>
      <c r="B3417" s="59">
        <v>395</v>
      </c>
      <c r="C3417" s="59">
        <v>830</v>
      </c>
      <c r="D3417" s="59" t="s">
        <v>801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ht="15.2" spans="1:10">
      <c r="A3418" s="58" t="s">
        <v>4087</v>
      </c>
      <c r="B3418" s="59">
        <v>1287.76</v>
      </c>
      <c r="C3418" s="59">
        <v>1999</v>
      </c>
      <c r="D3418" s="59" t="s">
        <v>803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ht="15.2" spans="1:10">
      <c r="A3419" s="58" t="s">
        <v>4088</v>
      </c>
      <c r="B3419" s="59">
        <v>1416.6</v>
      </c>
      <c r="C3419" s="59">
        <v>2199</v>
      </c>
      <c r="D3419" s="59" t="s">
        <v>803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ht="15.2" spans="1:10">
      <c r="A3420" s="58" t="s">
        <v>4089</v>
      </c>
      <c r="B3420" s="59">
        <v>1152.96</v>
      </c>
      <c r="C3420" s="59">
        <v>1899</v>
      </c>
      <c r="D3420" s="59" t="s">
        <v>803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ht="15.2" spans="1:10">
      <c r="A3421" s="58" t="s">
        <v>4090</v>
      </c>
      <c r="B3421" s="59">
        <v>295.02</v>
      </c>
      <c r="C3421" s="59">
        <v>449</v>
      </c>
      <c r="D3421" s="59" t="s">
        <v>803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ht="15.2" spans="1:10">
      <c r="A3422" s="58" t="s">
        <v>4091</v>
      </c>
      <c r="B3422" s="59">
        <v>1481.02</v>
      </c>
      <c r="C3422" s="59">
        <v>2299</v>
      </c>
      <c r="D3422" s="59" t="s">
        <v>803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ht="15.2" spans="1:10">
      <c r="A3423" s="58" t="s">
        <v>4092</v>
      </c>
      <c r="B3423" s="59">
        <v>555</v>
      </c>
      <c r="C3423" s="59">
        <v>1166</v>
      </c>
      <c r="D3423" s="59" t="s">
        <v>801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ht="15.2" spans="1:10">
      <c r="A3424" s="58" t="s">
        <v>4093</v>
      </c>
      <c r="B3424" s="59">
        <v>984.96</v>
      </c>
      <c r="C3424" s="59">
        <v>1499</v>
      </c>
      <c r="D3424" s="59" t="s">
        <v>803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ht="15.2" spans="1:10">
      <c r="A3425" s="58" t="s">
        <v>4094</v>
      </c>
      <c r="B3425" s="59">
        <v>1313.5</v>
      </c>
      <c r="C3425" s="59">
        <v>1999</v>
      </c>
      <c r="D3425" s="59" t="s">
        <v>803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ht="15.2" spans="1:10">
      <c r="A3426" s="58" t="s">
        <v>4095</v>
      </c>
      <c r="B3426" s="59">
        <v>3941.82</v>
      </c>
      <c r="C3426" s="59">
        <v>5999</v>
      </c>
      <c r="D3426" s="59" t="s">
        <v>803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ht="15.2" spans="1:10">
      <c r="A3427" s="58" t="s">
        <v>4096</v>
      </c>
      <c r="B3427" s="59">
        <v>1609.86</v>
      </c>
      <c r="C3427" s="59">
        <v>2499</v>
      </c>
      <c r="D3427" s="59" t="s">
        <v>803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ht="15.2" spans="1:10">
      <c r="A3428" s="58" t="s">
        <v>4097</v>
      </c>
      <c r="B3428" s="59">
        <v>525</v>
      </c>
      <c r="C3428" s="59">
        <v>799</v>
      </c>
      <c r="D3428" s="59" t="s">
        <v>803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ht="15.2" spans="1:10">
      <c r="A3429" s="58" t="s">
        <v>4098</v>
      </c>
      <c r="B3429" s="59">
        <v>1545.44</v>
      </c>
      <c r="C3429" s="59">
        <v>2399</v>
      </c>
      <c r="D3429" s="59" t="s">
        <v>803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ht="15.2" spans="1:10">
      <c r="A3430" s="58" t="s">
        <v>4099</v>
      </c>
      <c r="B3430" s="59">
        <v>269</v>
      </c>
      <c r="C3430" s="59">
        <v>580</v>
      </c>
      <c r="D3430" s="59" t="s">
        <v>801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</v>
      </c>
      <c r="J3430" s="60">
        <f t="shared" si="162"/>
        <v>464</v>
      </c>
    </row>
    <row r="3431" ht="15.2" spans="1:10">
      <c r="A3431" s="58" t="s">
        <v>4100</v>
      </c>
      <c r="B3431" s="59">
        <v>1274.39</v>
      </c>
      <c r="C3431" s="59">
        <v>2099</v>
      </c>
      <c r="D3431" s="59" t="s">
        <v>803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ht="15.2" spans="1:10">
      <c r="A3432" s="58" t="s">
        <v>4101</v>
      </c>
      <c r="B3432" s="59">
        <v>525</v>
      </c>
      <c r="C3432" s="59">
        <v>1102</v>
      </c>
      <c r="D3432" s="59" t="s">
        <v>801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661.2</v>
      </c>
    </row>
    <row r="3433" ht="15.2" spans="1:10">
      <c r="A3433" s="58" t="s">
        <v>4102</v>
      </c>
      <c r="B3433" s="59">
        <v>1577.97</v>
      </c>
      <c r="C3433" s="59">
        <v>2599</v>
      </c>
      <c r="D3433" s="59" t="s">
        <v>803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ht="15.2" spans="1:10">
      <c r="A3434" s="58" t="s">
        <v>4103</v>
      </c>
      <c r="B3434" s="59">
        <v>722.13</v>
      </c>
      <c r="C3434" s="59">
        <v>1099</v>
      </c>
      <c r="D3434" s="59" t="s">
        <v>803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ht="15.2" spans="1:10">
      <c r="A3435" s="58" t="s">
        <v>4104</v>
      </c>
      <c r="B3435" s="59">
        <v>1061</v>
      </c>
      <c r="C3435" s="59">
        <v>2478</v>
      </c>
      <c r="D3435" s="59" t="s">
        <v>801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ht="15.2" spans="1:10">
      <c r="A3436" s="58" t="s">
        <v>4105</v>
      </c>
      <c r="B3436" s="59">
        <v>1456.54</v>
      </c>
      <c r="C3436" s="59">
        <v>2399</v>
      </c>
      <c r="D3436" s="59" t="s">
        <v>803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ht="15.2" spans="1:10">
      <c r="A3437" s="58" t="s">
        <v>4106</v>
      </c>
      <c r="B3437" s="59">
        <v>1247.8</v>
      </c>
      <c r="C3437" s="59">
        <v>1899</v>
      </c>
      <c r="D3437" s="59" t="s">
        <v>803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ht="15.2" spans="1:10">
      <c r="A3438" s="58" t="s">
        <v>4107</v>
      </c>
      <c r="B3438" s="59">
        <v>1517.25</v>
      </c>
      <c r="C3438" s="59">
        <v>2499</v>
      </c>
      <c r="D3438" s="59" t="s">
        <v>803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ht="15.2" spans="1:10">
      <c r="A3439" s="58" t="s">
        <v>4108</v>
      </c>
      <c r="B3439" s="59">
        <v>525</v>
      </c>
      <c r="C3439" s="59">
        <v>799</v>
      </c>
      <c r="D3439" s="59" t="s">
        <v>803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ht="15.2" spans="1:10">
      <c r="A3440" s="58" t="s">
        <v>4109</v>
      </c>
      <c r="B3440" s="59">
        <v>1354.77</v>
      </c>
      <c r="C3440" s="59">
        <v>2299</v>
      </c>
      <c r="D3440" s="59" t="s">
        <v>803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ht="15.2" spans="1:10">
      <c r="A3441" s="58" t="s">
        <v>4110</v>
      </c>
      <c r="B3441" s="59">
        <v>1395.82</v>
      </c>
      <c r="C3441" s="59">
        <v>2299</v>
      </c>
      <c r="D3441" s="59" t="s">
        <v>803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ht="15.2" spans="1:10">
      <c r="A3442" s="58" t="s">
        <v>4111</v>
      </c>
      <c r="B3442" s="59">
        <v>1738.7</v>
      </c>
      <c r="C3442" s="59">
        <v>2699</v>
      </c>
      <c r="D3442" s="59" t="s">
        <v>803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ht="15.2" spans="1:10">
      <c r="A3443" s="58" t="s">
        <v>4112</v>
      </c>
      <c r="B3443" s="59">
        <v>1472.63</v>
      </c>
      <c r="C3443" s="59">
        <v>2499</v>
      </c>
      <c r="D3443" s="59" t="s">
        <v>803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ht="15.2" spans="1:10">
      <c r="A3444" s="58" t="s">
        <v>111</v>
      </c>
      <c r="B3444" s="59">
        <v>564</v>
      </c>
      <c r="C3444" s="59">
        <v>1431</v>
      </c>
      <c r="D3444" s="59" t="s">
        <v>801</v>
      </c>
      <c r="E3444" s="59">
        <v>9.8</v>
      </c>
      <c r="F3444" s="59">
        <v>9.8</v>
      </c>
      <c r="G3444" s="59">
        <v>0</v>
      </c>
      <c r="H3444" s="60">
        <f t="shared" si="163"/>
        <v>9.8</v>
      </c>
      <c r="I3444" s="60">
        <f t="shared" si="161"/>
        <v>5527.2</v>
      </c>
      <c r="J3444" s="60">
        <f t="shared" si="162"/>
        <v>14023.8</v>
      </c>
    </row>
    <row r="3445" ht="15.2" spans="1:10">
      <c r="A3445" s="58" t="s">
        <v>299</v>
      </c>
      <c r="B3445" s="59">
        <v>769</v>
      </c>
      <c r="C3445" s="59">
        <v>1825</v>
      </c>
      <c r="D3445" s="59" t="s">
        <v>801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4883.15</v>
      </c>
      <c r="J3445" s="60">
        <f t="shared" si="162"/>
        <v>11588.75</v>
      </c>
    </row>
    <row r="3446" ht="15.2" spans="1:10">
      <c r="A3446" s="58" t="s">
        <v>4113</v>
      </c>
      <c r="B3446" s="59">
        <v>1867.54</v>
      </c>
      <c r="C3446" s="59">
        <v>2899</v>
      </c>
      <c r="D3446" s="59" t="s">
        <v>803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ht="15.2" spans="1:10">
      <c r="A3447" s="58" t="s">
        <v>4114</v>
      </c>
      <c r="B3447" s="59">
        <v>1481.02</v>
      </c>
      <c r="C3447" s="59">
        <v>2299</v>
      </c>
      <c r="D3447" s="59" t="s">
        <v>803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ht="15.2" spans="1:10">
      <c r="A3448" s="58" t="s">
        <v>4115</v>
      </c>
      <c r="B3448" s="59">
        <v>1577.97</v>
      </c>
      <c r="C3448" s="59">
        <v>2599</v>
      </c>
      <c r="D3448" s="59" t="s">
        <v>803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ht="15.2" spans="1:10">
      <c r="A3449" s="58" t="s">
        <v>4116</v>
      </c>
      <c r="B3449" s="59">
        <v>243</v>
      </c>
      <c r="C3449" s="59">
        <v>570</v>
      </c>
      <c r="D3449" s="59" t="s">
        <v>801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ht="15.2" spans="1:10">
      <c r="A3450" s="58" t="s">
        <v>4117</v>
      </c>
      <c r="B3450" s="59">
        <v>1395.82</v>
      </c>
      <c r="C3450" s="59">
        <v>2299</v>
      </c>
      <c r="D3450" s="59" t="s">
        <v>803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ht="15.2" spans="1:10">
      <c r="A3451" s="58" t="s">
        <v>4118</v>
      </c>
      <c r="B3451" s="59">
        <v>1379.21</v>
      </c>
      <c r="C3451" s="59">
        <v>2099</v>
      </c>
      <c r="D3451" s="59" t="s">
        <v>803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ht="15.2" spans="1:10">
      <c r="A3452" s="58" t="s">
        <v>4119</v>
      </c>
      <c r="B3452" s="59">
        <v>224</v>
      </c>
      <c r="C3452" s="59">
        <v>460</v>
      </c>
      <c r="D3452" s="59" t="s">
        <v>801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ht="15.2" spans="1:10">
      <c r="A3453" s="58" t="s">
        <v>4120</v>
      </c>
      <c r="B3453" s="59">
        <v>1099</v>
      </c>
      <c r="C3453" s="59">
        <v>2308</v>
      </c>
      <c r="D3453" s="59" t="s">
        <v>801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ht="15.2" spans="1:10">
      <c r="A3454" s="58" t="s">
        <v>4121</v>
      </c>
      <c r="B3454" s="59">
        <v>970.78</v>
      </c>
      <c r="C3454" s="59">
        <v>1499</v>
      </c>
      <c r="D3454" s="59" t="s">
        <v>803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ht="15.2" spans="1:10">
      <c r="A3455" s="58" t="s">
        <v>4122</v>
      </c>
      <c r="B3455" s="59">
        <v>841.26</v>
      </c>
      <c r="C3455" s="59">
        <v>1299</v>
      </c>
      <c r="D3455" s="59" t="s">
        <v>803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ht="15.2" spans="1:10">
      <c r="A3456" s="58" t="s">
        <v>4123</v>
      </c>
      <c r="B3456" s="59">
        <v>291.72</v>
      </c>
      <c r="C3456" s="59">
        <v>429</v>
      </c>
      <c r="D3456" s="59" t="s">
        <v>803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</v>
      </c>
      <c r="J3456" s="60">
        <f t="shared" si="162"/>
        <v>1716</v>
      </c>
    </row>
    <row r="3457" ht="15.2" spans="1:10">
      <c r="A3457" s="58" t="s">
        <v>4124</v>
      </c>
      <c r="B3457" s="59">
        <v>1177.98</v>
      </c>
      <c r="C3457" s="59">
        <v>1999</v>
      </c>
      <c r="D3457" s="59" t="s">
        <v>803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ht="15.2" spans="1:10">
      <c r="A3458" s="58" t="s">
        <v>4125</v>
      </c>
      <c r="B3458" s="59">
        <v>594</v>
      </c>
      <c r="C3458" s="59">
        <v>1393</v>
      </c>
      <c r="D3458" s="59" t="s">
        <v>801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ht="15.2" spans="1:10">
      <c r="A3459" s="58" t="s">
        <v>4126</v>
      </c>
      <c r="B3459" s="59">
        <v>1182.09</v>
      </c>
      <c r="C3459" s="59">
        <v>1799</v>
      </c>
      <c r="D3459" s="59" t="s">
        <v>803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1182.09</v>
      </c>
      <c r="J3459" s="60">
        <f t="shared" si="165"/>
        <v>1799</v>
      </c>
    </row>
    <row r="3460" ht="15.2" spans="1:10">
      <c r="A3460" s="58" t="s">
        <v>4127</v>
      </c>
      <c r="B3460" s="59">
        <v>1295.84</v>
      </c>
      <c r="C3460" s="59">
        <v>2199</v>
      </c>
      <c r="D3460" s="59" t="s">
        <v>803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1295.84</v>
      </c>
      <c r="J3460" s="60">
        <f t="shared" si="165"/>
        <v>2199</v>
      </c>
    </row>
    <row r="3461" ht="15.2" spans="1:10">
      <c r="A3461" s="58" t="s">
        <v>4128</v>
      </c>
      <c r="B3461" s="59">
        <v>902.83</v>
      </c>
      <c r="C3461" s="59">
        <v>1399</v>
      </c>
      <c r="D3461" s="59" t="s">
        <v>803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ht="15.2" spans="1:10">
      <c r="A3462" s="58" t="s">
        <v>4129</v>
      </c>
      <c r="B3462" s="59">
        <v>220</v>
      </c>
      <c r="C3462" s="59">
        <v>443</v>
      </c>
      <c r="D3462" s="59" t="s">
        <v>801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420.85</v>
      </c>
    </row>
    <row r="3463" ht="15.2" spans="1:10">
      <c r="A3463" s="58" t="s">
        <v>4130</v>
      </c>
      <c r="B3463" s="59">
        <v>1092.25</v>
      </c>
      <c r="C3463" s="59">
        <v>1799</v>
      </c>
      <c r="D3463" s="59" t="s">
        <v>803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ht="15.2" spans="1:10">
      <c r="A3464" s="58" t="s">
        <v>4131</v>
      </c>
      <c r="B3464" s="59">
        <v>546.7</v>
      </c>
      <c r="C3464" s="59">
        <v>1711</v>
      </c>
      <c r="D3464" s="59" t="s">
        <v>801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2395.4</v>
      </c>
    </row>
    <row r="3465" ht="15.2" spans="1:10">
      <c r="A3465" s="58" t="s">
        <v>4132</v>
      </c>
      <c r="B3465" s="59">
        <v>555</v>
      </c>
      <c r="C3465" s="59">
        <v>1166</v>
      </c>
      <c r="D3465" s="59" t="s">
        <v>801</v>
      </c>
      <c r="E3465" s="59">
        <v>4.1</v>
      </c>
      <c r="F3465" s="59">
        <v>4.1</v>
      </c>
      <c r="G3465" s="59">
        <v>0</v>
      </c>
      <c r="H3465" s="60">
        <f t="shared" si="163"/>
        <v>4.1</v>
      </c>
      <c r="I3465" s="60">
        <f t="shared" si="164"/>
        <v>2275.5</v>
      </c>
      <c r="J3465" s="60">
        <f t="shared" si="165"/>
        <v>4780.6</v>
      </c>
    </row>
    <row r="3466" ht="15.2" spans="1:10">
      <c r="A3466" s="58" t="s">
        <v>4133</v>
      </c>
      <c r="B3466" s="59">
        <v>1517.25</v>
      </c>
      <c r="C3466" s="59">
        <v>2499</v>
      </c>
      <c r="D3466" s="59" t="s">
        <v>803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ht="15.2" spans="1:10">
      <c r="A3467" s="58" t="s">
        <v>4134</v>
      </c>
      <c r="B3467" s="59">
        <v>1116.38</v>
      </c>
      <c r="C3467" s="59">
        <v>1699</v>
      </c>
      <c r="D3467" s="59" t="s">
        <v>803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</v>
      </c>
      <c r="J3467" s="60">
        <f t="shared" si="165"/>
        <v>1699</v>
      </c>
    </row>
    <row r="3468" ht="15.2" spans="1:10">
      <c r="A3468" s="58" t="s">
        <v>4135</v>
      </c>
      <c r="B3468" s="59">
        <v>1904.87</v>
      </c>
      <c r="C3468" s="59">
        <v>2899</v>
      </c>
      <c r="D3468" s="59" t="s">
        <v>803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ht="15.2" spans="1:10">
      <c r="A3469" s="58" t="s">
        <v>4136</v>
      </c>
      <c r="B3469" s="59">
        <v>965.66</v>
      </c>
      <c r="C3469" s="59">
        <v>1499</v>
      </c>
      <c r="D3469" s="59" t="s">
        <v>803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ht="15.2" spans="1:10">
      <c r="A3470" s="58" t="s">
        <v>4137</v>
      </c>
      <c r="B3470" s="59">
        <v>1707.76</v>
      </c>
      <c r="C3470" s="59">
        <v>2599</v>
      </c>
      <c r="D3470" s="59" t="s">
        <v>803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ht="15.2" spans="1:10">
      <c r="A3471" s="58" t="s">
        <v>4138</v>
      </c>
      <c r="B3471" s="59">
        <v>1472.63</v>
      </c>
      <c r="C3471" s="59">
        <v>2499</v>
      </c>
      <c r="D3471" s="59" t="s">
        <v>803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ht="15.2" spans="1:10">
      <c r="A3472" s="58" t="s">
        <v>4139</v>
      </c>
      <c r="B3472" s="59">
        <v>1472.63</v>
      </c>
      <c r="C3472" s="59">
        <v>2499</v>
      </c>
      <c r="D3472" s="59" t="s">
        <v>803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ht="15.2" spans="1:10">
      <c r="A3473" s="58" t="s">
        <v>4140</v>
      </c>
      <c r="B3473" s="59">
        <v>409</v>
      </c>
      <c r="C3473" s="59">
        <v>970</v>
      </c>
      <c r="D3473" s="59" t="s">
        <v>801</v>
      </c>
      <c r="E3473" s="59">
        <v>16.15</v>
      </c>
      <c r="F3473" s="59">
        <v>16.15</v>
      </c>
      <c r="G3473" s="59">
        <v>0</v>
      </c>
      <c r="H3473" s="60">
        <f t="shared" si="163"/>
        <v>16.15</v>
      </c>
      <c r="I3473" s="60">
        <f t="shared" si="164"/>
        <v>6605.35</v>
      </c>
      <c r="J3473" s="60">
        <f t="shared" si="165"/>
        <v>15665.5</v>
      </c>
    </row>
    <row r="3474" ht="15.2" spans="1:10">
      <c r="A3474" s="58" t="s">
        <v>4141</v>
      </c>
      <c r="B3474" s="59">
        <v>1577.96</v>
      </c>
      <c r="C3474" s="59">
        <v>2599</v>
      </c>
      <c r="D3474" s="59" t="s">
        <v>803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ht="15.2" spans="1:10">
      <c r="A3475" s="58" t="s">
        <v>4142</v>
      </c>
      <c r="B3475" s="59">
        <v>4856.54</v>
      </c>
      <c r="C3475" s="59">
        <v>7999</v>
      </c>
      <c r="D3475" s="59" t="s">
        <v>803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ht="15.2" spans="1:10">
      <c r="A3476" s="58" t="s">
        <v>4143</v>
      </c>
      <c r="B3476" s="59">
        <v>666</v>
      </c>
      <c r="C3476" s="59">
        <v>1569</v>
      </c>
      <c r="D3476" s="59" t="s">
        <v>801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ht="15.2" spans="1:10">
      <c r="A3477" s="58" t="s">
        <v>4144</v>
      </c>
      <c r="B3477" s="59">
        <v>2102</v>
      </c>
      <c r="C3477" s="59">
        <v>3199</v>
      </c>
      <c r="D3477" s="59" t="s">
        <v>803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ht="15.2" spans="1:10">
      <c r="A3478" s="58" t="s">
        <v>4145</v>
      </c>
      <c r="B3478" s="59">
        <v>394</v>
      </c>
      <c r="C3478" s="59">
        <v>973</v>
      </c>
      <c r="D3478" s="59" t="s">
        <v>801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1142.6</v>
      </c>
      <c r="J3478" s="60">
        <f t="shared" si="165"/>
        <v>2821.7</v>
      </c>
    </row>
    <row r="3479" ht="15.2" spans="1:10">
      <c r="A3479" s="58" t="s">
        <v>4146</v>
      </c>
      <c r="B3479" s="59">
        <v>654</v>
      </c>
      <c r="C3479" s="59">
        <v>1373</v>
      </c>
      <c r="D3479" s="59" t="s">
        <v>801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ht="15.2" spans="1:10">
      <c r="A3480" s="58" t="s">
        <v>4147</v>
      </c>
      <c r="B3480" s="59">
        <v>293</v>
      </c>
      <c r="C3480" s="59">
        <v>637</v>
      </c>
      <c r="D3480" s="59" t="s">
        <v>801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ht="15.2" spans="1:10">
      <c r="A3481" s="58" t="s">
        <v>4148</v>
      </c>
      <c r="B3481" s="59">
        <v>1510.63</v>
      </c>
      <c r="C3481" s="59">
        <v>2299</v>
      </c>
      <c r="D3481" s="59" t="s">
        <v>803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ht="15.2" spans="1:10">
      <c r="A3482" s="58" t="s">
        <v>4149</v>
      </c>
      <c r="B3482" s="59">
        <v>1295.84</v>
      </c>
      <c r="C3482" s="59">
        <v>2199</v>
      </c>
      <c r="D3482" s="59" t="s">
        <v>803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ht="15.2" spans="1:10">
      <c r="A3483" s="58" t="s">
        <v>4150</v>
      </c>
      <c r="B3483" s="59">
        <v>549</v>
      </c>
      <c r="C3483" s="59">
        <v>1153</v>
      </c>
      <c r="D3483" s="59" t="s">
        <v>801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</v>
      </c>
      <c r="J3483" s="60">
        <f t="shared" si="165"/>
        <v>13605.4</v>
      </c>
    </row>
    <row r="3484" ht="15.2" spans="1:10">
      <c r="A3484" s="58" t="s">
        <v>4151</v>
      </c>
      <c r="B3484" s="59">
        <v>2063.68</v>
      </c>
      <c r="C3484" s="59">
        <v>3399</v>
      </c>
      <c r="D3484" s="59" t="s">
        <v>803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2063.68</v>
      </c>
      <c r="J3484" s="60">
        <f t="shared" si="165"/>
        <v>3399</v>
      </c>
    </row>
    <row r="3485" ht="15.2" spans="1:10">
      <c r="A3485" s="58" t="s">
        <v>4152</v>
      </c>
      <c r="B3485" s="59">
        <v>450</v>
      </c>
      <c r="C3485" s="59">
        <v>1040</v>
      </c>
      <c r="D3485" s="59" t="s">
        <v>801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ht="15.2" spans="1:10">
      <c r="A3486" s="58" t="s">
        <v>4153</v>
      </c>
      <c r="B3486" s="59">
        <v>1456.54</v>
      </c>
      <c r="C3486" s="59">
        <v>2399</v>
      </c>
      <c r="D3486" s="59" t="s">
        <v>803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ht="15.2" spans="1:10">
      <c r="A3487" s="58" t="s">
        <v>4154</v>
      </c>
      <c r="B3487" s="59">
        <v>292</v>
      </c>
      <c r="C3487" s="59">
        <v>711</v>
      </c>
      <c r="D3487" s="59" t="s">
        <v>801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</v>
      </c>
      <c r="J3487" s="60">
        <f t="shared" si="165"/>
        <v>142.2</v>
      </c>
    </row>
    <row r="3488" ht="15.2" spans="1:10">
      <c r="A3488" s="58" t="s">
        <v>4155</v>
      </c>
      <c r="B3488" s="59">
        <v>441</v>
      </c>
      <c r="C3488" s="59">
        <v>1110</v>
      </c>
      <c r="D3488" s="59" t="s">
        <v>801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ht="15.2" spans="1:10">
      <c r="A3489" s="58" t="s">
        <v>4156</v>
      </c>
      <c r="B3489" s="59">
        <v>300</v>
      </c>
      <c r="C3489" s="59">
        <v>999</v>
      </c>
      <c r="D3489" s="59" t="s">
        <v>815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ht="15.2" spans="1:10">
      <c r="A3490" s="58" t="s">
        <v>4157</v>
      </c>
      <c r="B3490" s="59">
        <v>1313.5</v>
      </c>
      <c r="C3490" s="59">
        <v>1999</v>
      </c>
      <c r="D3490" s="59" t="s">
        <v>803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ht="15.2" spans="1:10">
      <c r="A3491" s="58" t="s">
        <v>188</v>
      </c>
      <c r="B3491" s="59">
        <v>359</v>
      </c>
      <c r="C3491" s="59">
        <v>907</v>
      </c>
      <c r="D3491" s="59" t="s">
        <v>801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4353.6</v>
      </c>
    </row>
    <row r="3492" ht="15.2" spans="1:10">
      <c r="A3492" s="58" t="s">
        <v>4158</v>
      </c>
      <c r="B3492" s="59">
        <v>1213.68</v>
      </c>
      <c r="C3492" s="59">
        <v>1999</v>
      </c>
      <c r="D3492" s="59" t="s">
        <v>803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ht="15.2" spans="1:10">
      <c r="A3493" s="58" t="s">
        <v>4159</v>
      </c>
      <c r="B3493" s="59">
        <v>1395.82</v>
      </c>
      <c r="C3493" s="59">
        <v>2299</v>
      </c>
      <c r="D3493" s="59" t="s">
        <v>803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ht="15.2" spans="1:10">
      <c r="A3494" s="58" t="s">
        <v>4160</v>
      </c>
      <c r="B3494" s="59">
        <v>5463.68</v>
      </c>
      <c r="C3494" s="59">
        <v>8999</v>
      </c>
      <c r="D3494" s="59" t="s">
        <v>803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ht="15.2" spans="1:10">
      <c r="A3495" s="58" t="s">
        <v>4161</v>
      </c>
      <c r="B3495" s="59">
        <v>1517.25</v>
      </c>
      <c r="C3495" s="59">
        <v>2499</v>
      </c>
      <c r="D3495" s="59" t="s">
        <v>803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ht="15.2" spans="1:10">
      <c r="A3496" s="58" t="s">
        <v>4162</v>
      </c>
      <c r="B3496" s="59">
        <v>460</v>
      </c>
      <c r="C3496" s="59">
        <v>1091</v>
      </c>
      <c r="D3496" s="59" t="s">
        <v>801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ht="15.2" spans="1:10">
      <c r="A3497" s="58" t="s">
        <v>4163</v>
      </c>
      <c r="B3497" s="59">
        <v>1116.38</v>
      </c>
      <c r="C3497" s="59">
        <v>1699</v>
      </c>
      <c r="D3497" s="59" t="s">
        <v>803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</v>
      </c>
      <c r="J3497" s="60">
        <f t="shared" si="165"/>
        <v>3398</v>
      </c>
    </row>
    <row r="3498" ht="15.2" spans="1:10">
      <c r="A3498" s="58" t="s">
        <v>4164</v>
      </c>
      <c r="B3498" s="59">
        <v>1379.21</v>
      </c>
      <c r="C3498" s="59">
        <v>2099</v>
      </c>
      <c r="D3498" s="59" t="s">
        <v>803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ht="15.2" spans="1:10">
      <c r="A3499" s="58" t="s">
        <v>4165</v>
      </c>
      <c r="B3499" s="59">
        <v>1295.84</v>
      </c>
      <c r="C3499" s="59">
        <v>2199</v>
      </c>
      <c r="D3499" s="59" t="s">
        <v>803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2591.68</v>
      </c>
      <c r="J3499" s="60">
        <f t="shared" si="165"/>
        <v>4398</v>
      </c>
    </row>
    <row r="3500" ht="15.2" spans="1:10">
      <c r="A3500" s="58" t="s">
        <v>4166</v>
      </c>
      <c r="B3500" s="59">
        <v>525</v>
      </c>
      <c r="C3500" s="59">
        <v>799</v>
      </c>
      <c r="D3500" s="59" t="s">
        <v>803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ht="15.2" spans="1:10">
      <c r="A3501" s="58" t="s">
        <v>4167</v>
      </c>
      <c r="B3501" s="59">
        <v>2185.11</v>
      </c>
      <c r="C3501" s="59">
        <v>3599</v>
      </c>
      <c r="D3501" s="59" t="s">
        <v>803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ht="15.2" spans="1:10">
      <c r="A3502" s="58" t="s">
        <v>4168</v>
      </c>
      <c r="B3502" s="59">
        <v>1177.98</v>
      </c>
      <c r="C3502" s="59">
        <v>1999</v>
      </c>
      <c r="D3502" s="59" t="s">
        <v>803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ht="15.2" spans="1:10">
      <c r="A3503" s="58" t="s">
        <v>4169</v>
      </c>
      <c r="B3503" s="59">
        <v>1213.68</v>
      </c>
      <c r="C3503" s="59">
        <v>1999</v>
      </c>
      <c r="D3503" s="59" t="s">
        <v>803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ht="15.2" spans="1:10">
      <c r="A3504" s="58" t="s">
        <v>4170</v>
      </c>
      <c r="B3504" s="59">
        <v>630</v>
      </c>
      <c r="C3504" s="59">
        <v>1432</v>
      </c>
      <c r="D3504" s="59" t="s">
        <v>801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ht="15.2" spans="1:10">
      <c r="A3505" s="58" t="s">
        <v>4171</v>
      </c>
      <c r="B3505" s="59">
        <v>1120</v>
      </c>
      <c r="C3505" s="59">
        <v>2758</v>
      </c>
      <c r="D3505" s="59" t="s">
        <v>801</v>
      </c>
      <c r="E3505" s="59">
        <v>8.2</v>
      </c>
      <c r="F3505" s="59">
        <v>8.2</v>
      </c>
      <c r="G3505" s="59">
        <v>0</v>
      </c>
      <c r="H3505" s="60">
        <f t="shared" si="166"/>
        <v>8.2</v>
      </c>
      <c r="I3505" s="60">
        <f t="shared" si="164"/>
        <v>9184</v>
      </c>
      <c r="J3505" s="60">
        <f t="shared" si="165"/>
        <v>22615.6</v>
      </c>
    </row>
    <row r="3506" ht="15.2" spans="1:10">
      <c r="A3506" s="58" t="s">
        <v>731</v>
      </c>
      <c r="B3506" s="59">
        <v>492</v>
      </c>
      <c r="C3506" s="59">
        <v>1117</v>
      </c>
      <c r="D3506" s="59" t="s">
        <v>801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ht="15.2" spans="1:10">
      <c r="A3507" s="58" t="s">
        <v>4172</v>
      </c>
      <c r="B3507" s="59">
        <v>490</v>
      </c>
      <c r="C3507" s="59">
        <v>1181</v>
      </c>
      <c r="D3507" s="59" t="s">
        <v>801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ht="15.2" spans="1:10">
      <c r="A3508" s="58" t="s">
        <v>4173</v>
      </c>
      <c r="B3508" s="59">
        <v>1820.82</v>
      </c>
      <c r="C3508" s="59">
        <v>2999</v>
      </c>
      <c r="D3508" s="59" t="s">
        <v>803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ht="15.2" spans="1:10">
      <c r="A3509" s="58" t="s">
        <v>4174</v>
      </c>
      <c r="B3509" s="59">
        <v>515</v>
      </c>
      <c r="C3509" s="59">
        <v>1347</v>
      </c>
      <c r="D3509" s="59" t="s">
        <v>801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ht="15.2" spans="1:10">
      <c r="A3510" s="58" t="s">
        <v>4175</v>
      </c>
      <c r="B3510" s="59">
        <v>564</v>
      </c>
      <c r="C3510" s="59">
        <v>1337</v>
      </c>
      <c r="D3510" s="59" t="s">
        <v>801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ht="15.2" spans="1:10">
      <c r="A3511" s="58" t="s">
        <v>4176</v>
      </c>
      <c r="B3511" s="59">
        <v>1609.86</v>
      </c>
      <c r="C3511" s="59">
        <v>2499</v>
      </c>
      <c r="D3511" s="59" t="s">
        <v>803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ht="15.2" spans="1:10">
      <c r="A3512" s="58" t="s">
        <v>4177</v>
      </c>
      <c r="B3512" s="59">
        <v>460</v>
      </c>
      <c r="C3512" s="59">
        <v>1091</v>
      </c>
      <c r="D3512" s="59" t="s">
        <v>801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</v>
      </c>
    </row>
    <row r="3513" ht="15.2" spans="1:10">
      <c r="A3513" s="58" t="s">
        <v>4178</v>
      </c>
      <c r="B3513" s="59">
        <v>499</v>
      </c>
      <c r="C3513" s="59">
        <v>1117</v>
      </c>
      <c r="D3513" s="59" t="s">
        <v>801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</v>
      </c>
    </row>
    <row r="3514" ht="15.2" spans="1:10">
      <c r="A3514" s="58" t="s">
        <v>4179</v>
      </c>
      <c r="B3514" s="59">
        <v>4124.41</v>
      </c>
      <c r="C3514" s="59">
        <v>6999</v>
      </c>
      <c r="D3514" s="59" t="s">
        <v>803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ht="15.2" spans="1:10">
      <c r="A3515" s="58" t="s">
        <v>4180</v>
      </c>
      <c r="B3515" s="59">
        <v>776.49</v>
      </c>
      <c r="C3515" s="59">
        <v>1199</v>
      </c>
      <c r="D3515" s="59" t="s">
        <v>803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ht="15.2" spans="1:10">
      <c r="A3516" s="58" t="s">
        <v>4181</v>
      </c>
      <c r="B3516" s="59">
        <v>1274.4</v>
      </c>
      <c r="C3516" s="59">
        <v>2099</v>
      </c>
      <c r="D3516" s="59" t="s">
        <v>803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</v>
      </c>
      <c r="J3516" s="60">
        <f t="shared" si="165"/>
        <v>2099</v>
      </c>
    </row>
    <row r="3517" ht="15.2" spans="1:10">
      <c r="A3517" s="58" t="s">
        <v>4182</v>
      </c>
      <c r="B3517" s="59">
        <v>1456.54</v>
      </c>
      <c r="C3517" s="59">
        <v>2399</v>
      </c>
      <c r="D3517" s="59" t="s">
        <v>803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ht="15.2" spans="1:10">
      <c r="A3518" s="58" t="s">
        <v>4183</v>
      </c>
      <c r="B3518" s="59">
        <v>1395.82</v>
      </c>
      <c r="C3518" s="59">
        <v>2299</v>
      </c>
      <c r="D3518" s="59" t="s">
        <v>803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ht="15.2" spans="1:10">
      <c r="A3519" s="58" t="s">
        <v>4184</v>
      </c>
      <c r="B3519" s="59">
        <v>354</v>
      </c>
      <c r="C3519" s="59">
        <v>892</v>
      </c>
      <c r="D3519" s="59" t="s">
        <v>801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ht="15.2" spans="1:10">
      <c r="A3520" s="58" t="s">
        <v>4185</v>
      </c>
      <c r="B3520" s="59">
        <v>1335.11</v>
      </c>
      <c r="C3520" s="59">
        <v>2199</v>
      </c>
      <c r="D3520" s="59" t="s">
        <v>803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ht="15.2" spans="1:10">
      <c r="A3521" s="58" t="s">
        <v>4186</v>
      </c>
      <c r="B3521" s="59">
        <v>555</v>
      </c>
      <c r="C3521" s="59">
        <v>1241</v>
      </c>
      <c r="D3521" s="59" t="s">
        <v>801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434.35</v>
      </c>
    </row>
    <row r="3522" ht="15.2" spans="1:10">
      <c r="A3522" s="58" t="s">
        <v>4187</v>
      </c>
      <c r="B3522" s="59">
        <v>1481.02</v>
      </c>
      <c r="C3522" s="59">
        <v>2299</v>
      </c>
      <c r="D3522" s="59" t="s">
        <v>803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ht="15.2" spans="1:10">
      <c r="A3523" s="58" t="s">
        <v>4188</v>
      </c>
      <c r="B3523" s="59">
        <v>1274.39</v>
      </c>
      <c r="C3523" s="59">
        <v>2099</v>
      </c>
      <c r="D3523" s="59" t="s">
        <v>803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</v>
      </c>
      <c r="J3523" s="60">
        <f t="shared" si="168"/>
        <v>4198</v>
      </c>
    </row>
    <row r="3524" ht="15.2" spans="1:10">
      <c r="A3524" s="58" t="s">
        <v>4189</v>
      </c>
      <c r="B3524" s="59">
        <v>383</v>
      </c>
      <c r="C3524" s="59">
        <v>829</v>
      </c>
      <c r="D3524" s="59" t="s">
        <v>801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ht="15.2" spans="1:10">
      <c r="A3525" s="58" t="s">
        <v>4190</v>
      </c>
      <c r="B3525" s="59">
        <v>776.49</v>
      </c>
      <c r="C3525" s="59">
        <v>1199</v>
      </c>
      <c r="D3525" s="59" t="s">
        <v>803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ht="15.2" spans="1:10">
      <c r="A3526" s="58" t="s">
        <v>699</v>
      </c>
      <c r="B3526" s="59">
        <v>364</v>
      </c>
      <c r="C3526" s="59">
        <v>743</v>
      </c>
      <c r="D3526" s="59" t="s">
        <v>801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ht="15.2" spans="1:10">
      <c r="A3527" s="58" t="s">
        <v>4191</v>
      </c>
      <c r="B3527" s="59">
        <v>579</v>
      </c>
      <c r="C3527" s="59">
        <v>1362</v>
      </c>
      <c r="D3527" s="59" t="s">
        <v>801</v>
      </c>
      <c r="E3527" s="59">
        <v>8.8</v>
      </c>
      <c r="F3527" s="59">
        <v>8.8</v>
      </c>
      <c r="G3527" s="59">
        <v>0</v>
      </c>
      <c r="H3527" s="60">
        <f t="shared" si="166"/>
        <v>8.8</v>
      </c>
      <c r="I3527" s="60">
        <f t="shared" si="167"/>
        <v>5095.2</v>
      </c>
      <c r="J3527" s="60">
        <f t="shared" si="168"/>
        <v>11985.6</v>
      </c>
    </row>
    <row r="3528" ht="15.2" spans="1:10">
      <c r="A3528" s="58" t="s">
        <v>4192</v>
      </c>
      <c r="B3528" s="59">
        <v>548</v>
      </c>
      <c r="C3528" s="59">
        <v>1278</v>
      </c>
      <c r="D3528" s="59" t="s">
        <v>801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ht="15.2" spans="1:10">
      <c r="A3529" s="58" t="s">
        <v>4193</v>
      </c>
      <c r="B3529" s="59">
        <v>257</v>
      </c>
      <c r="C3529" s="59">
        <v>565</v>
      </c>
      <c r="D3529" s="59" t="s">
        <v>801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</v>
      </c>
      <c r="J3529" s="60">
        <f t="shared" si="168"/>
        <v>904</v>
      </c>
    </row>
    <row r="3530" ht="15.2" spans="1:10">
      <c r="A3530" s="58" t="s">
        <v>4194</v>
      </c>
      <c r="B3530" s="59">
        <v>359</v>
      </c>
      <c r="C3530" s="59">
        <v>804</v>
      </c>
      <c r="D3530" s="59" t="s">
        <v>801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</v>
      </c>
    </row>
    <row r="3531" ht="15.2" spans="1:10">
      <c r="A3531" s="58" t="s">
        <v>4195</v>
      </c>
      <c r="B3531" s="59">
        <v>1699.39</v>
      </c>
      <c r="C3531" s="59">
        <v>2699</v>
      </c>
      <c r="D3531" s="59" t="s">
        <v>803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ht="15.2" spans="1:10">
      <c r="A3532" s="58" t="s">
        <v>4196</v>
      </c>
      <c r="B3532" s="59">
        <v>409</v>
      </c>
      <c r="C3532" s="59">
        <v>970</v>
      </c>
      <c r="D3532" s="59" t="s">
        <v>801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ht="15.2" spans="1:10">
      <c r="A3533" s="58" t="s">
        <v>4197</v>
      </c>
      <c r="B3533" s="59">
        <v>570.86</v>
      </c>
      <c r="C3533" s="59">
        <v>3549</v>
      </c>
      <c r="D3533" s="59" t="s">
        <v>801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ht="15.2" spans="1:10">
      <c r="A3534" s="58" t="s">
        <v>4198</v>
      </c>
      <c r="B3534" s="59">
        <v>1820.82</v>
      </c>
      <c r="C3534" s="59">
        <v>2999</v>
      </c>
      <c r="D3534" s="59" t="s">
        <v>803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ht="15.2" spans="1:10">
      <c r="A3535" s="58" t="s">
        <v>4199</v>
      </c>
      <c r="B3535" s="59">
        <v>420</v>
      </c>
      <c r="C3535" s="59">
        <v>1064</v>
      </c>
      <c r="D3535" s="59" t="s">
        <v>801</v>
      </c>
      <c r="E3535" s="59">
        <v>4.9</v>
      </c>
      <c r="F3535" s="59">
        <v>4.9</v>
      </c>
      <c r="G3535" s="59">
        <v>0</v>
      </c>
      <c r="H3535" s="60">
        <f t="shared" si="166"/>
        <v>4.9</v>
      </c>
      <c r="I3535" s="60">
        <f t="shared" si="167"/>
        <v>2058</v>
      </c>
      <c r="J3535" s="60">
        <f t="shared" si="168"/>
        <v>5213.6</v>
      </c>
    </row>
    <row r="3536" ht="15.2" spans="1:10">
      <c r="A3536" s="58" t="s">
        <v>4200</v>
      </c>
      <c r="B3536" s="59">
        <v>1379.21</v>
      </c>
      <c r="C3536" s="59">
        <v>2099</v>
      </c>
      <c r="D3536" s="59" t="s">
        <v>803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ht="15.2" spans="1:10">
      <c r="A3537" s="58" t="s">
        <v>4201</v>
      </c>
      <c r="B3537" s="59">
        <v>1247.8</v>
      </c>
      <c r="C3537" s="59">
        <v>1899</v>
      </c>
      <c r="D3537" s="59" t="s">
        <v>803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ht="15.2" spans="1:10">
      <c r="A3538" s="58" t="s">
        <v>4202</v>
      </c>
      <c r="B3538" s="59">
        <v>2167.7</v>
      </c>
      <c r="C3538" s="59">
        <v>3299</v>
      </c>
      <c r="D3538" s="59" t="s">
        <v>803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ht="15.2" spans="1:10">
      <c r="A3539" s="58" t="s">
        <v>4203</v>
      </c>
      <c r="B3539" s="59">
        <v>1295.84</v>
      </c>
      <c r="C3539" s="59">
        <v>2199</v>
      </c>
      <c r="D3539" s="59" t="s">
        <v>803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2591.68</v>
      </c>
      <c r="J3539" s="60">
        <f t="shared" si="168"/>
        <v>4398</v>
      </c>
    </row>
    <row r="3540" ht="15.2" spans="1:10">
      <c r="A3540" s="58" t="s">
        <v>4204</v>
      </c>
      <c r="B3540" s="59">
        <v>1395.82</v>
      </c>
      <c r="C3540" s="59">
        <v>2299</v>
      </c>
      <c r="D3540" s="59" t="s">
        <v>803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ht="15.2" spans="1:10">
      <c r="A3541" s="58" t="s">
        <v>4205</v>
      </c>
      <c r="B3541" s="59">
        <v>2651.2</v>
      </c>
      <c r="C3541" s="59">
        <v>4499</v>
      </c>
      <c r="D3541" s="59" t="s">
        <v>803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ht="15.2" spans="1:10">
      <c r="A3542" s="58" t="s">
        <v>4206</v>
      </c>
      <c r="B3542" s="59">
        <v>1050.67</v>
      </c>
      <c r="C3542" s="59">
        <v>1599</v>
      </c>
      <c r="D3542" s="59" t="s">
        <v>803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ht="15.2" spans="1:10">
      <c r="A3543" s="58" t="s">
        <v>68</v>
      </c>
      <c r="B3543" s="59">
        <v>769</v>
      </c>
      <c r="C3543" s="59">
        <v>1825</v>
      </c>
      <c r="D3543" s="59" t="s">
        <v>801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ht="15.2" spans="1:10">
      <c r="A3544" s="58" t="s">
        <v>4207</v>
      </c>
      <c r="B3544" s="59">
        <v>399</v>
      </c>
      <c r="C3544" s="59">
        <v>892</v>
      </c>
      <c r="D3544" s="59" t="s">
        <v>801</v>
      </c>
      <c r="E3544" s="59">
        <v>8.3</v>
      </c>
      <c r="F3544" s="59">
        <v>8.3</v>
      </c>
      <c r="G3544" s="59">
        <v>0</v>
      </c>
      <c r="H3544" s="60">
        <f t="shared" si="166"/>
        <v>8.3</v>
      </c>
      <c r="I3544" s="60">
        <f t="shared" si="167"/>
        <v>3311.7</v>
      </c>
      <c r="J3544" s="60">
        <f t="shared" si="168"/>
        <v>7403.6</v>
      </c>
    </row>
    <row r="3545" ht="15.2" spans="1:10">
      <c r="A3545" s="58" t="s">
        <v>4208</v>
      </c>
      <c r="B3545" s="59">
        <v>249.56</v>
      </c>
      <c r="C3545" s="59">
        <v>367</v>
      </c>
      <c r="D3545" s="59" t="s">
        <v>803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ht="15.2" spans="1:10">
      <c r="A3546" s="58" t="s">
        <v>4209</v>
      </c>
      <c r="B3546" s="59">
        <v>1313.5</v>
      </c>
      <c r="C3546" s="59">
        <v>1999</v>
      </c>
      <c r="D3546" s="59" t="s">
        <v>803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ht="15.2" spans="1:10">
      <c r="A3547" s="58" t="s">
        <v>4210</v>
      </c>
      <c r="B3547" s="59">
        <v>1738.7</v>
      </c>
      <c r="C3547" s="59">
        <v>2699</v>
      </c>
      <c r="D3547" s="59" t="s">
        <v>803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ht="15.2" spans="1:10">
      <c r="A3548" s="58" t="s">
        <v>4211</v>
      </c>
      <c r="B3548" s="59">
        <v>4124.41</v>
      </c>
      <c r="C3548" s="59">
        <v>6999</v>
      </c>
      <c r="D3548" s="59" t="s">
        <v>803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ht="15.2" spans="1:10">
      <c r="A3549" s="58" t="s">
        <v>4212</v>
      </c>
      <c r="B3549" s="59">
        <v>1158.92</v>
      </c>
      <c r="C3549" s="59">
        <v>1799</v>
      </c>
      <c r="D3549" s="59" t="s">
        <v>803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ht="15.2" spans="1:10">
      <c r="A3550" s="58" t="s">
        <v>4213</v>
      </c>
      <c r="B3550" s="59">
        <v>1177.98</v>
      </c>
      <c r="C3550" s="59">
        <v>1999</v>
      </c>
      <c r="D3550" s="59" t="s">
        <v>803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ht="15.2" spans="1:10">
      <c r="A3551" s="58" t="s">
        <v>4214</v>
      </c>
      <c r="B3551" s="59">
        <v>590.71</v>
      </c>
      <c r="C3551" s="59">
        <v>899</v>
      </c>
      <c r="D3551" s="59" t="s">
        <v>803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ht="15.2" spans="1:10">
      <c r="A3552" s="58" t="s">
        <v>4215</v>
      </c>
      <c r="B3552" s="59">
        <v>685</v>
      </c>
      <c r="C3552" s="59">
        <v>1439</v>
      </c>
      <c r="D3552" s="59" t="s">
        <v>801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9065.7</v>
      </c>
    </row>
    <row r="3553" ht="15.2" spans="1:10">
      <c r="A3553" s="58" t="s">
        <v>4216</v>
      </c>
      <c r="B3553" s="59">
        <v>1517.25</v>
      </c>
      <c r="C3553" s="59">
        <v>2499</v>
      </c>
      <c r="D3553" s="59" t="s">
        <v>803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ht="15.2" spans="1:10">
      <c r="A3554" s="58" t="s">
        <v>4217</v>
      </c>
      <c r="B3554" s="59">
        <v>1177.98</v>
      </c>
      <c r="C3554" s="59">
        <v>1999</v>
      </c>
      <c r="D3554" s="59" t="s">
        <v>803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ht="15.2" spans="1:10">
      <c r="A3555" s="58" t="s">
        <v>4218</v>
      </c>
      <c r="B3555" s="59">
        <v>322</v>
      </c>
      <c r="C3555" s="59">
        <v>719</v>
      </c>
      <c r="D3555" s="59" t="s">
        <v>801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</v>
      </c>
      <c r="J3555" s="60">
        <f t="shared" si="168"/>
        <v>71.9</v>
      </c>
    </row>
    <row r="3556" ht="15.2" spans="1:10">
      <c r="A3556" s="58" t="s">
        <v>4219</v>
      </c>
      <c r="B3556" s="59">
        <v>1576.34</v>
      </c>
      <c r="C3556" s="59">
        <v>2399</v>
      </c>
      <c r="D3556" s="59" t="s">
        <v>803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ht="15.2" spans="1:10">
      <c r="A3557" s="58" t="s">
        <v>338</v>
      </c>
      <c r="B3557" s="59">
        <v>270</v>
      </c>
      <c r="C3557" s="59">
        <v>615</v>
      </c>
      <c r="D3557" s="59" t="s">
        <v>801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ht="15.2" spans="1:10">
      <c r="A3558" s="58" t="s">
        <v>4220</v>
      </c>
      <c r="B3558" s="59">
        <v>1395.82</v>
      </c>
      <c r="C3558" s="59">
        <v>2299</v>
      </c>
      <c r="D3558" s="59" t="s">
        <v>803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ht="15.2" spans="1:10">
      <c r="A3559" s="58" t="s">
        <v>4221</v>
      </c>
      <c r="B3559" s="59">
        <v>1092.25</v>
      </c>
      <c r="C3559" s="59">
        <v>1799</v>
      </c>
      <c r="D3559" s="59" t="s">
        <v>803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ht="15.2" spans="1:10">
      <c r="A3560" s="58" t="s">
        <v>4222</v>
      </c>
      <c r="B3560" s="59">
        <v>1152.96</v>
      </c>
      <c r="C3560" s="59">
        <v>1899</v>
      </c>
      <c r="D3560" s="59" t="s">
        <v>803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ht="15.2" spans="1:10">
      <c r="A3561" s="58" t="s">
        <v>4223</v>
      </c>
      <c r="B3561" s="59">
        <v>399</v>
      </c>
      <c r="C3561" s="59">
        <v>838</v>
      </c>
      <c r="D3561" s="59" t="s">
        <v>801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</v>
      </c>
      <c r="J3561" s="60">
        <f t="shared" si="168"/>
        <v>167.6</v>
      </c>
    </row>
    <row r="3562" ht="15.2" spans="1:10">
      <c r="A3562" s="58" t="s">
        <v>4224</v>
      </c>
      <c r="B3562" s="59">
        <v>853.55</v>
      </c>
      <c r="C3562" s="59">
        <v>1299</v>
      </c>
      <c r="D3562" s="59" t="s">
        <v>803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ht="15.2" spans="1:10">
      <c r="A3563" s="58" t="s">
        <v>4225</v>
      </c>
      <c r="B3563" s="59">
        <v>284</v>
      </c>
      <c r="C3563" s="59">
        <v>612</v>
      </c>
      <c r="D3563" s="59" t="s">
        <v>801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</v>
      </c>
    </row>
    <row r="3564" ht="15.2" spans="1:10">
      <c r="A3564" s="58" t="s">
        <v>4226</v>
      </c>
      <c r="B3564" s="59">
        <v>1274.39</v>
      </c>
      <c r="C3564" s="59">
        <v>2099</v>
      </c>
      <c r="D3564" s="59" t="s">
        <v>803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</v>
      </c>
      <c r="J3564" s="60">
        <f t="shared" si="168"/>
        <v>2099</v>
      </c>
    </row>
    <row r="3565" ht="15.2" spans="1:10">
      <c r="A3565" s="58" t="s">
        <v>4227</v>
      </c>
      <c r="B3565" s="59">
        <v>899</v>
      </c>
      <c r="C3565" s="59">
        <v>1888</v>
      </c>
      <c r="D3565" s="59" t="s">
        <v>801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ht="15.2" spans="1:10">
      <c r="A3566" s="58" t="s">
        <v>4228</v>
      </c>
      <c r="B3566" s="59">
        <v>1354.77</v>
      </c>
      <c r="C3566" s="59">
        <v>2299</v>
      </c>
      <c r="D3566" s="59" t="s">
        <v>803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ht="15.2" spans="1:10">
      <c r="A3567" s="58" t="s">
        <v>4229</v>
      </c>
      <c r="B3567" s="59">
        <v>449</v>
      </c>
      <c r="C3567" s="59">
        <v>943</v>
      </c>
      <c r="D3567" s="59" t="s">
        <v>801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</v>
      </c>
      <c r="J3567" s="60">
        <f t="shared" si="168"/>
        <v>94.3</v>
      </c>
    </row>
    <row r="3568" ht="15.2" spans="1:10">
      <c r="A3568" s="58" t="s">
        <v>4230</v>
      </c>
      <c r="B3568" s="59">
        <v>997.4</v>
      </c>
      <c r="C3568" s="59">
        <v>2472</v>
      </c>
      <c r="D3568" s="59" t="s">
        <v>801</v>
      </c>
      <c r="E3568" s="59">
        <v>4.4</v>
      </c>
      <c r="F3568" s="59">
        <v>4.4</v>
      </c>
      <c r="G3568" s="59">
        <v>0</v>
      </c>
      <c r="H3568" s="60">
        <f t="shared" si="169"/>
        <v>4.4</v>
      </c>
      <c r="I3568" s="60">
        <f t="shared" si="167"/>
        <v>4388.56</v>
      </c>
      <c r="J3568" s="60">
        <f t="shared" si="168"/>
        <v>10876.8</v>
      </c>
    </row>
    <row r="3569" ht="15.2" spans="1:10">
      <c r="A3569" s="58" t="s">
        <v>4231</v>
      </c>
      <c r="B3569" s="59">
        <v>499</v>
      </c>
      <c r="C3569" s="59">
        <v>1048</v>
      </c>
      <c r="D3569" s="59" t="s">
        <v>801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ht="15.2" spans="1:10">
      <c r="A3570" s="58" t="s">
        <v>4232</v>
      </c>
      <c r="B3570" s="59">
        <v>1030.08</v>
      </c>
      <c r="C3570" s="59">
        <v>1599</v>
      </c>
      <c r="D3570" s="59" t="s">
        <v>803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ht="15.2" spans="1:10">
      <c r="A3571" s="58" t="s">
        <v>4233</v>
      </c>
      <c r="B3571" s="59">
        <v>305</v>
      </c>
      <c r="C3571" s="59">
        <v>680</v>
      </c>
      <c r="D3571" s="59" t="s">
        <v>801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ht="15.2" spans="1:10">
      <c r="A3572" s="58" t="s">
        <v>4234</v>
      </c>
      <c r="B3572" s="59">
        <v>499</v>
      </c>
      <c r="C3572" s="59">
        <v>1048</v>
      </c>
      <c r="D3572" s="59" t="s">
        <v>801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ht="15.2" spans="1:10">
      <c r="A3573" s="58" t="s">
        <v>4235</v>
      </c>
      <c r="B3573" s="59">
        <v>1119.05</v>
      </c>
      <c r="C3573" s="59">
        <v>1899</v>
      </c>
      <c r="D3573" s="59" t="s">
        <v>803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ht="15.2" spans="1:10">
      <c r="A3574" s="58" t="s">
        <v>4236</v>
      </c>
      <c r="B3574" s="59">
        <v>1384</v>
      </c>
      <c r="C3574" s="59">
        <v>2754</v>
      </c>
      <c r="D3574" s="59" t="s">
        <v>801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ht="15.2" spans="1:10">
      <c r="A3575" s="58" t="s">
        <v>4237</v>
      </c>
      <c r="B3575" s="59">
        <v>2356.55</v>
      </c>
      <c r="C3575" s="59">
        <v>3999</v>
      </c>
      <c r="D3575" s="59" t="s">
        <v>803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</v>
      </c>
      <c r="J3575" s="60">
        <f t="shared" si="168"/>
        <v>3999</v>
      </c>
    </row>
    <row r="3576" ht="15.2" spans="1:10">
      <c r="A3576" s="58" t="s">
        <v>4238</v>
      </c>
      <c r="B3576" s="59">
        <v>1576.34</v>
      </c>
      <c r="C3576" s="59">
        <v>2399</v>
      </c>
      <c r="D3576" s="59" t="s">
        <v>803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ht="15.2" spans="1:10">
      <c r="A3577" s="58" t="s">
        <v>4239</v>
      </c>
      <c r="B3577" s="59">
        <v>2299.12</v>
      </c>
      <c r="C3577" s="59">
        <v>3499</v>
      </c>
      <c r="D3577" s="59" t="s">
        <v>803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ht="15.2" spans="1:10">
      <c r="A3578" s="58" t="s">
        <v>4240</v>
      </c>
      <c r="B3578" s="59">
        <v>0</v>
      </c>
      <c r="C3578" s="59">
        <v>0</v>
      </c>
      <c r="D3578" s="59" t="s">
        <v>815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ht="15.2" spans="1:10">
      <c r="A3579" s="58" t="s">
        <v>4241</v>
      </c>
      <c r="B3579" s="59">
        <v>518</v>
      </c>
      <c r="C3579" s="59">
        <v>1216</v>
      </c>
      <c r="D3579" s="59" t="s">
        <v>801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ht="15.2" spans="1:10">
      <c r="A3580" s="58" t="s">
        <v>4242</v>
      </c>
      <c r="B3580" s="59">
        <v>1545.44</v>
      </c>
      <c r="C3580" s="59">
        <v>2399</v>
      </c>
      <c r="D3580" s="59" t="s">
        <v>803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ht="15.2" spans="1:10">
      <c r="A3581" s="58" t="s">
        <v>4243</v>
      </c>
      <c r="B3581" s="59">
        <v>1760.11</v>
      </c>
      <c r="C3581" s="59">
        <v>2899</v>
      </c>
      <c r="D3581" s="59" t="s">
        <v>803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ht="15.2" spans="1:10">
      <c r="A3582" s="58" t="s">
        <v>4244</v>
      </c>
      <c r="B3582" s="59">
        <v>1416.6</v>
      </c>
      <c r="C3582" s="59">
        <v>2199</v>
      </c>
      <c r="D3582" s="59" t="s">
        <v>803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ht="15.2" spans="1:10">
      <c r="A3583" s="58" t="s">
        <v>4245</v>
      </c>
      <c r="B3583" s="59">
        <v>370</v>
      </c>
      <c r="C3583" s="59">
        <v>826</v>
      </c>
      <c r="D3583" s="59" t="s">
        <v>801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</v>
      </c>
    </row>
    <row r="3584" ht="15.2" spans="1:10">
      <c r="A3584" s="58" t="s">
        <v>4246</v>
      </c>
      <c r="B3584" s="59">
        <v>2124.39</v>
      </c>
      <c r="C3584" s="59">
        <v>3499</v>
      </c>
      <c r="D3584" s="59" t="s">
        <v>803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ht="15.2" spans="1:10">
      <c r="A3585" s="58" t="s">
        <v>4247</v>
      </c>
      <c r="B3585" s="59">
        <v>1178</v>
      </c>
      <c r="C3585" s="59">
        <v>2805</v>
      </c>
      <c r="D3585" s="59" t="s">
        <v>801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ht="15.2" spans="1:10">
      <c r="A3586" s="58" t="s">
        <v>4248</v>
      </c>
      <c r="B3586" s="59">
        <v>1456.54</v>
      </c>
      <c r="C3586" s="59">
        <v>2399</v>
      </c>
      <c r="D3586" s="59" t="s">
        <v>803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ht="15.2" spans="1:10">
      <c r="A3587" s="58" t="s">
        <v>4249</v>
      </c>
      <c r="B3587" s="59">
        <v>1799</v>
      </c>
      <c r="C3587" s="59">
        <v>3778</v>
      </c>
      <c r="D3587" s="59" t="s">
        <v>801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ht="15.2" spans="1:10">
      <c r="A3588" s="58" t="s">
        <v>4250</v>
      </c>
      <c r="B3588" s="59">
        <v>656.42</v>
      </c>
      <c r="C3588" s="59">
        <v>999</v>
      </c>
      <c r="D3588" s="59" t="s">
        <v>803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ht="15.2" spans="1:10">
      <c r="A3589" s="58" t="s">
        <v>4251</v>
      </c>
      <c r="B3589" s="59">
        <v>590.71</v>
      </c>
      <c r="C3589" s="59">
        <v>899</v>
      </c>
      <c r="D3589" s="59" t="s">
        <v>803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ht="15.2" spans="1:10">
      <c r="A3590" s="58" t="s">
        <v>4252</v>
      </c>
      <c r="B3590" s="59">
        <v>511.4</v>
      </c>
      <c r="C3590" s="59">
        <v>1546</v>
      </c>
      <c r="D3590" s="59" t="s">
        <v>801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715.96</v>
      </c>
      <c r="J3590" s="60">
        <f t="shared" si="171"/>
        <v>2164.4</v>
      </c>
    </row>
    <row r="3591" ht="15.2" spans="1:10">
      <c r="A3591" s="58" t="s">
        <v>4253</v>
      </c>
      <c r="B3591" s="59">
        <v>970.78</v>
      </c>
      <c r="C3591" s="59">
        <v>1499</v>
      </c>
      <c r="D3591" s="59" t="s">
        <v>803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ht="15.2" spans="1:10">
      <c r="A3592" s="58" t="s">
        <v>4254</v>
      </c>
      <c r="B3592" s="59">
        <v>8499.39</v>
      </c>
      <c r="C3592" s="59">
        <v>13999</v>
      </c>
      <c r="D3592" s="59" t="s">
        <v>803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ht="15.2" spans="1:10">
      <c r="A3593" s="58" t="s">
        <v>4255</v>
      </c>
      <c r="B3593" s="59">
        <v>306</v>
      </c>
      <c r="C3593" s="59">
        <v>660</v>
      </c>
      <c r="D3593" s="59" t="s">
        <v>801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ht="15.2" spans="1:10">
      <c r="A3594" s="58" t="s">
        <v>4256</v>
      </c>
      <c r="B3594" s="59">
        <v>5302.98</v>
      </c>
      <c r="C3594" s="59">
        <v>8999</v>
      </c>
      <c r="D3594" s="59" t="s">
        <v>803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ht="15.2" spans="1:10">
      <c r="A3595" s="58" t="s">
        <v>4257</v>
      </c>
      <c r="B3595" s="59">
        <v>787.84</v>
      </c>
      <c r="C3595" s="59">
        <v>1199</v>
      </c>
      <c r="D3595" s="59" t="s">
        <v>803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ht="15.2" spans="1:10">
      <c r="A3596" s="58" t="s">
        <v>4258</v>
      </c>
      <c r="B3596" s="59">
        <v>2913.68</v>
      </c>
      <c r="C3596" s="59">
        <v>4799</v>
      </c>
      <c r="D3596" s="59" t="s">
        <v>803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ht="15.2" spans="1:10">
      <c r="A3597" s="58" t="s">
        <v>4259</v>
      </c>
      <c r="B3597" s="59">
        <v>906.02</v>
      </c>
      <c r="C3597" s="59">
        <v>1399</v>
      </c>
      <c r="D3597" s="59" t="s">
        <v>803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ht="15.2" spans="1:10">
      <c r="A3598" s="58" t="s">
        <v>4260</v>
      </c>
      <c r="B3598" s="59">
        <v>1472.63</v>
      </c>
      <c r="C3598" s="59">
        <v>2499</v>
      </c>
      <c r="D3598" s="59" t="s">
        <v>803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ht="15.2" spans="1:10">
      <c r="A3599" s="58" t="s">
        <v>4261</v>
      </c>
      <c r="B3599" s="59">
        <v>525</v>
      </c>
      <c r="C3599" s="59">
        <v>799</v>
      </c>
      <c r="D3599" s="59" t="s">
        <v>803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ht="15.2" spans="1:10">
      <c r="A3600" s="58" t="s">
        <v>4262</v>
      </c>
      <c r="B3600" s="59">
        <v>295.02</v>
      </c>
      <c r="C3600" s="59">
        <v>449</v>
      </c>
      <c r="D3600" s="59" t="s">
        <v>803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ht="15.2" spans="1:10">
      <c r="A3601" s="58" t="s">
        <v>4263</v>
      </c>
      <c r="B3601" s="59">
        <v>1395.82</v>
      </c>
      <c r="C3601" s="59">
        <v>2299</v>
      </c>
      <c r="D3601" s="59" t="s">
        <v>803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ht="15.2" spans="1:10">
      <c r="A3602" s="58" t="s">
        <v>4264</v>
      </c>
      <c r="B3602" s="59">
        <v>604</v>
      </c>
      <c r="C3602" s="59">
        <v>1463</v>
      </c>
      <c r="D3602" s="59" t="s">
        <v>801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ht="15.2" spans="1:10">
      <c r="A3603" s="58" t="s">
        <v>4265</v>
      </c>
      <c r="B3603" s="59">
        <v>0</v>
      </c>
      <c r="C3603" s="59">
        <v>0</v>
      </c>
      <c r="D3603" s="59" t="s">
        <v>815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ht="15.2" spans="1:10">
      <c r="A3604" s="58" t="s">
        <v>4266</v>
      </c>
      <c r="B3604" s="59">
        <v>582.21</v>
      </c>
      <c r="C3604" s="59">
        <v>899</v>
      </c>
      <c r="D3604" s="59" t="s">
        <v>803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ht="15.2" spans="1:10">
      <c r="A3605" s="58" t="s">
        <v>4267</v>
      </c>
      <c r="B3605" s="59">
        <v>1182.09</v>
      </c>
      <c r="C3605" s="59">
        <v>1799</v>
      </c>
      <c r="D3605" s="59" t="s">
        <v>803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ht="15.2" spans="1:10">
      <c r="A3606" s="58" t="s">
        <v>4268</v>
      </c>
      <c r="B3606" s="59">
        <v>4249.39</v>
      </c>
      <c r="C3606" s="59">
        <v>6999</v>
      </c>
      <c r="D3606" s="59" t="s">
        <v>803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</v>
      </c>
      <c r="J3606" s="60">
        <f t="shared" si="171"/>
        <v>13998</v>
      </c>
    </row>
    <row r="3607" ht="15.2" spans="1:10">
      <c r="A3607" s="58" t="s">
        <v>4269</v>
      </c>
      <c r="B3607" s="59">
        <v>1247.8</v>
      </c>
      <c r="C3607" s="59">
        <v>1899</v>
      </c>
      <c r="D3607" s="59" t="s">
        <v>803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ht="15.2" spans="1:10">
      <c r="A3608" s="58" t="s">
        <v>4270</v>
      </c>
      <c r="B3608" s="59">
        <v>1820.82</v>
      </c>
      <c r="C3608" s="59">
        <v>2999</v>
      </c>
      <c r="D3608" s="59" t="s">
        <v>803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ht="15.2" spans="1:10">
      <c r="A3609" s="58" t="s">
        <v>4271</v>
      </c>
      <c r="B3609" s="59">
        <v>291.72</v>
      </c>
      <c r="C3609" s="59">
        <v>429</v>
      </c>
      <c r="D3609" s="59" t="s">
        <v>803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</v>
      </c>
      <c r="J3609" s="60">
        <f t="shared" si="171"/>
        <v>3861</v>
      </c>
    </row>
    <row r="3610" ht="15.2" spans="1:10">
      <c r="A3610" s="58" t="s">
        <v>4272</v>
      </c>
      <c r="B3610" s="59">
        <v>7892.25</v>
      </c>
      <c r="C3610" s="59">
        <v>12999</v>
      </c>
      <c r="D3610" s="59" t="s">
        <v>803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ht="15.2" spans="1:10">
      <c r="A3611" s="58" t="s">
        <v>4273</v>
      </c>
      <c r="B3611" s="59">
        <v>1287.76</v>
      </c>
      <c r="C3611" s="59">
        <v>1999</v>
      </c>
      <c r="D3611" s="59" t="s">
        <v>803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ht="15.2" spans="1:10">
      <c r="A3612" s="58" t="s">
        <v>4274</v>
      </c>
      <c r="B3612" s="59">
        <v>1354.77</v>
      </c>
      <c r="C3612" s="59">
        <v>2299</v>
      </c>
      <c r="D3612" s="59" t="s">
        <v>803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ht="15.2" spans="1:10">
      <c r="A3613" s="58" t="s">
        <v>4275</v>
      </c>
      <c r="B3613" s="59">
        <v>426</v>
      </c>
      <c r="C3613" s="59">
        <v>1016</v>
      </c>
      <c r="D3613" s="59" t="s">
        <v>801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ht="15.2" spans="1:10">
      <c r="A3614" s="58" t="s">
        <v>4276</v>
      </c>
      <c r="B3614" s="59">
        <v>153</v>
      </c>
      <c r="C3614" s="59">
        <v>225</v>
      </c>
      <c r="D3614" s="59" t="s">
        <v>803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ht="15.2" spans="1:10">
      <c r="A3615" s="58" t="s">
        <v>4277</v>
      </c>
      <c r="B3615" s="59">
        <v>1295.84</v>
      </c>
      <c r="C3615" s="59">
        <v>2199</v>
      </c>
      <c r="D3615" s="59" t="s">
        <v>803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1295.84</v>
      </c>
      <c r="J3615" s="60">
        <f t="shared" si="171"/>
        <v>2199</v>
      </c>
    </row>
    <row r="3616" ht="15.2" spans="1:10">
      <c r="A3616" s="58" t="s">
        <v>4278</v>
      </c>
      <c r="B3616" s="59">
        <v>1213.68</v>
      </c>
      <c r="C3616" s="59">
        <v>1999</v>
      </c>
      <c r="D3616" s="59" t="s">
        <v>803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ht="15.2" spans="1:10">
      <c r="A3617" s="58" t="s">
        <v>26</v>
      </c>
      <c r="B3617" s="59">
        <v>289</v>
      </c>
      <c r="C3617" s="59">
        <v>640</v>
      </c>
      <c r="D3617" s="59" t="s">
        <v>801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ht="15.2" spans="1:10">
      <c r="A3618" s="58" t="s">
        <v>4279</v>
      </c>
      <c r="B3618" s="59">
        <v>299</v>
      </c>
      <c r="C3618" s="59">
        <v>660</v>
      </c>
      <c r="D3618" s="59" t="s">
        <v>801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ht="15.2" spans="1:10">
      <c r="A3619" s="58" t="s">
        <v>4280</v>
      </c>
      <c r="B3619" s="59">
        <v>1119.05</v>
      </c>
      <c r="C3619" s="59">
        <v>1899</v>
      </c>
      <c r="D3619" s="59" t="s">
        <v>803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ht="15.2" spans="1:10">
      <c r="A3620" s="58" t="s">
        <v>4281</v>
      </c>
      <c r="B3620" s="59">
        <v>699</v>
      </c>
      <c r="C3620" s="59">
        <v>1560</v>
      </c>
      <c r="D3620" s="59" t="s">
        <v>801</v>
      </c>
      <c r="E3620" s="59">
        <v>8.2</v>
      </c>
      <c r="F3620" s="59">
        <v>8.2</v>
      </c>
      <c r="G3620" s="59">
        <v>0</v>
      </c>
      <c r="H3620" s="60">
        <f t="shared" si="172"/>
        <v>8.2</v>
      </c>
      <c r="I3620" s="60">
        <f t="shared" si="170"/>
        <v>5731.8</v>
      </c>
      <c r="J3620" s="60">
        <f t="shared" si="171"/>
        <v>12792</v>
      </c>
    </row>
    <row r="3621" ht="15.2" spans="1:10">
      <c r="A3621" s="58" t="s">
        <v>4282</v>
      </c>
      <c r="B3621" s="59">
        <v>485</v>
      </c>
      <c r="C3621" s="59">
        <v>1199</v>
      </c>
      <c r="D3621" s="59" t="s">
        <v>801</v>
      </c>
      <c r="E3621" s="59">
        <v>1.15</v>
      </c>
      <c r="F3621" s="59">
        <v>1.15</v>
      </c>
      <c r="G3621" s="59">
        <v>0</v>
      </c>
      <c r="H3621" s="60">
        <f t="shared" si="172"/>
        <v>1.15</v>
      </c>
      <c r="I3621" s="60">
        <f t="shared" si="170"/>
        <v>557.75</v>
      </c>
      <c r="J3621" s="60">
        <f t="shared" si="171"/>
        <v>1378.85</v>
      </c>
    </row>
    <row r="3622" ht="15.2" spans="1:10">
      <c r="A3622" s="58" t="s">
        <v>4283</v>
      </c>
      <c r="B3622" s="59">
        <v>1970.58</v>
      </c>
      <c r="C3622" s="59">
        <v>2999</v>
      </c>
      <c r="D3622" s="59" t="s">
        <v>803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ht="15.2" spans="1:10">
      <c r="A3623" s="58" t="s">
        <v>4284</v>
      </c>
      <c r="B3623" s="59">
        <v>812</v>
      </c>
      <c r="C3623" s="59">
        <v>1900</v>
      </c>
      <c r="D3623" s="59" t="s">
        <v>801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ht="15.2" spans="1:10">
      <c r="A3624" s="58" t="s">
        <v>4285</v>
      </c>
      <c r="B3624" s="59">
        <v>604.42</v>
      </c>
      <c r="C3624" s="59">
        <v>1338</v>
      </c>
      <c r="D3624" s="59" t="s">
        <v>801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6709.062</v>
      </c>
      <c r="J3624" s="60">
        <f t="shared" si="171"/>
        <v>14851.8</v>
      </c>
    </row>
    <row r="3625" ht="15.2" spans="1:10">
      <c r="A3625" s="58" t="s">
        <v>4286</v>
      </c>
      <c r="B3625" s="59">
        <v>1158.92</v>
      </c>
      <c r="C3625" s="59">
        <v>1799</v>
      </c>
      <c r="D3625" s="59" t="s">
        <v>803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ht="15.2" spans="1:10">
      <c r="A3626" s="58" t="s">
        <v>4287</v>
      </c>
      <c r="B3626" s="59">
        <v>984.96</v>
      </c>
      <c r="C3626" s="59">
        <v>1499</v>
      </c>
      <c r="D3626" s="59" t="s">
        <v>803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ht="15.2" spans="1:10">
      <c r="A3627" s="58" t="s">
        <v>4288</v>
      </c>
      <c r="B3627" s="59">
        <v>1767.27</v>
      </c>
      <c r="C3627" s="59">
        <v>2999</v>
      </c>
      <c r="D3627" s="59" t="s">
        <v>803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ht="15.2" spans="1:10">
      <c r="A3628" s="58" t="s">
        <v>4289</v>
      </c>
      <c r="B3628" s="59">
        <v>970.78</v>
      </c>
      <c r="C3628" s="59">
        <v>1499</v>
      </c>
      <c r="D3628" s="59" t="s">
        <v>803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ht="15.2" spans="1:10">
      <c r="A3629" s="58" t="s">
        <v>4290</v>
      </c>
      <c r="B3629" s="59">
        <v>630</v>
      </c>
      <c r="C3629" s="59">
        <v>1394</v>
      </c>
      <c r="D3629" s="59" t="s">
        <v>801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ht="15.2" spans="1:10">
      <c r="A3630" s="58" t="s">
        <v>4291</v>
      </c>
      <c r="B3630" s="59">
        <v>1395.82</v>
      </c>
      <c r="C3630" s="59">
        <v>2299</v>
      </c>
      <c r="D3630" s="59" t="s">
        <v>803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ht="15.2" spans="1:10">
      <c r="A3631" s="58" t="s">
        <v>4292</v>
      </c>
      <c r="B3631" s="59">
        <v>1576.34</v>
      </c>
      <c r="C3631" s="59">
        <v>2399</v>
      </c>
      <c r="D3631" s="59" t="s">
        <v>803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ht="15.2" spans="1:10">
      <c r="A3632" s="58" t="s">
        <v>4293</v>
      </c>
      <c r="B3632" s="59">
        <v>1395.82</v>
      </c>
      <c r="C3632" s="59">
        <v>2299</v>
      </c>
      <c r="D3632" s="59" t="s">
        <v>803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ht="15.2" spans="1:10">
      <c r="A3633" s="58" t="s">
        <v>4294</v>
      </c>
      <c r="B3633" s="59">
        <v>1313.5</v>
      </c>
      <c r="C3633" s="59">
        <v>1999</v>
      </c>
      <c r="D3633" s="59" t="s">
        <v>803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ht="15.2" spans="1:10">
      <c r="A3634" s="58" t="s">
        <v>4295</v>
      </c>
      <c r="B3634" s="59">
        <v>656.42</v>
      </c>
      <c r="C3634" s="59">
        <v>999</v>
      </c>
      <c r="D3634" s="59" t="s">
        <v>803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ht="15.2" spans="1:10">
      <c r="A3635" s="58" t="s">
        <v>4296</v>
      </c>
      <c r="B3635" s="59">
        <v>1177.98</v>
      </c>
      <c r="C3635" s="59">
        <v>1999</v>
      </c>
      <c r="D3635" s="59" t="s">
        <v>803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ht="15.2" spans="1:10">
      <c r="A3636" s="58" t="s">
        <v>4297</v>
      </c>
      <c r="B3636" s="59">
        <v>1213.68</v>
      </c>
      <c r="C3636" s="59">
        <v>1999</v>
      </c>
      <c r="D3636" s="59" t="s">
        <v>803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ht="15.2" spans="1:10">
      <c r="A3637" s="58" t="s">
        <v>4298</v>
      </c>
      <c r="B3637" s="59">
        <v>1517.25</v>
      </c>
      <c r="C3637" s="59">
        <v>2499</v>
      </c>
      <c r="D3637" s="59" t="s">
        <v>803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ht="15.2" spans="1:10">
      <c r="A3638" s="58" t="s">
        <v>4299</v>
      </c>
      <c r="B3638" s="59">
        <v>564</v>
      </c>
      <c r="C3638" s="59">
        <v>1336</v>
      </c>
      <c r="D3638" s="59" t="s">
        <v>801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</v>
      </c>
      <c r="J3638" s="60">
        <f t="shared" si="171"/>
        <v>133.6</v>
      </c>
    </row>
    <row r="3639" ht="15.2" spans="1:10">
      <c r="A3639" s="58" t="s">
        <v>4300</v>
      </c>
      <c r="B3639" s="59">
        <v>490</v>
      </c>
      <c r="C3639" s="59">
        <v>1181</v>
      </c>
      <c r="D3639" s="59" t="s">
        <v>801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</v>
      </c>
    </row>
    <row r="3640" ht="15.2" spans="1:10">
      <c r="A3640" s="58" t="s">
        <v>4301</v>
      </c>
      <c r="B3640" s="59">
        <v>1395.82</v>
      </c>
      <c r="C3640" s="59">
        <v>2299</v>
      </c>
      <c r="D3640" s="59" t="s">
        <v>803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ht="15.2" spans="1:10">
      <c r="A3641" s="58" t="s">
        <v>4302</v>
      </c>
      <c r="B3641" s="59">
        <v>1313.5</v>
      </c>
      <c r="C3641" s="59">
        <v>1999</v>
      </c>
      <c r="D3641" s="59" t="s">
        <v>803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ht="15.2" spans="1:10">
      <c r="A3642" s="58" t="s">
        <v>4303</v>
      </c>
      <c r="B3642" s="59">
        <v>970.78</v>
      </c>
      <c r="C3642" s="59">
        <v>1499</v>
      </c>
      <c r="D3642" s="59" t="s">
        <v>803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ht="15.2" spans="1:10">
      <c r="A3643" s="58" t="s">
        <v>4304</v>
      </c>
      <c r="B3643" s="59">
        <v>287</v>
      </c>
      <c r="C3643" s="59">
        <v>621</v>
      </c>
      <c r="D3643" s="59" t="s">
        <v>801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</v>
      </c>
      <c r="J3643" s="60">
        <f t="shared" si="171"/>
        <v>248.4</v>
      </c>
    </row>
    <row r="3644" ht="15.2" spans="1:10">
      <c r="A3644" s="58" t="s">
        <v>4305</v>
      </c>
      <c r="B3644" s="59">
        <v>1295.84</v>
      </c>
      <c r="C3644" s="59">
        <v>2199</v>
      </c>
      <c r="D3644" s="59" t="s">
        <v>803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1295.84</v>
      </c>
      <c r="J3644" s="60">
        <f t="shared" si="171"/>
        <v>2199</v>
      </c>
    </row>
    <row r="3645" ht="15.2" spans="1:10">
      <c r="A3645" s="58" t="s">
        <v>4306</v>
      </c>
      <c r="B3645" s="59">
        <v>405</v>
      </c>
      <c r="C3645" s="59">
        <v>946</v>
      </c>
      <c r="D3645" s="59" t="s">
        <v>801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ht="15.2" spans="1:10">
      <c r="A3646" s="58" t="s">
        <v>4307</v>
      </c>
      <c r="B3646" s="59">
        <v>1416.6</v>
      </c>
      <c r="C3646" s="59">
        <v>2199</v>
      </c>
      <c r="D3646" s="59" t="s">
        <v>803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ht="15.2" spans="1:10">
      <c r="A3647" s="58" t="s">
        <v>4308</v>
      </c>
      <c r="B3647" s="59">
        <v>1638.68</v>
      </c>
      <c r="C3647" s="59">
        <v>2699</v>
      </c>
      <c r="D3647" s="59" t="s">
        <v>803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ht="15.2" spans="1:10">
      <c r="A3648" s="58" t="s">
        <v>4309</v>
      </c>
      <c r="B3648" s="59">
        <v>1092.25</v>
      </c>
      <c r="C3648" s="59">
        <v>1799</v>
      </c>
      <c r="D3648" s="59" t="s">
        <v>803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ht="15.2" spans="1:10">
      <c r="A3649" s="58" t="s">
        <v>4310</v>
      </c>
      <c r="B3649" s="59">
        <v>830</v>
      </c>
      <c r="C3649" s="59">
        <v>1978</v>
      </c>
      <c r="D3649" s="59" t="s">
        <v>801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ht="15.2" spans="1:10">
      <c r="A3650" s="58" t="s">
        <v>4311</v>
      </c>
      <c r="B3650" s="59">
        <v>6677.96</v>
      </c>
      <c r="C3650" s="59">
        <v>10999</v>
      </c>
      <c r="D3650" s="59" t="s">
        <v>803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ht="15.2" spans="1:10">
      <c r="A3651" s="58" t="s">
        <v>4312</v>
      </c>
      <c r="B3651" s="59">
        <v>1354.77</v>
      </c>
      <c r="C3651" s="59">
        <v>2299</v>
      </c>
      <c r="D3651" s="59" t="s">
        <v>803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ht="15.2" spans="1:10">
      <c r="A3652" s="58" t="s">
        <v>4313</v>
      </c>
      <c r="B3652" s="59">
        <v>1162.63</v>
      </c>
      <c r="C3652" s="59">
        <v>1799</v>
      </c>
      <c r="D3652" s="59" t="s">
        <v>803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</v>
      </c>
      <c r="J3652" s="60">
        <f t="shared" si="174"/>
        <v>1799</v>
      </c>
    </row>
    <row r="3653" ht="15.2" spans="1:10">
      <c r="A3653" s="58" t="s">
        <v>4314</v>
      </c>
      <c r="B3653" s="59">
        <v>499</v>
      </c>
      <c r="C3653" s="59">
        <v>1117</v>
      </c>
      <c r="D3653" s="59" t="s">
        <v>801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1898.9</v>
      </c>
    </row>
    <row r="3654" ht="15.2" spans="1:10">
      <c r="A3654" s="58" t="s">
        <v>4315</v>
      </c>
      <c r="B3654" s="59">
        <v>1213.68</v>
      </c>
      <c r="C3654" s="59">
        <v>1999</v>
      </c>
      <c r="D3654" s="59" t="s">
        <v>803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ht="15.2" spans="1:10">
      <c r="A3655" s="58" t="s">
        <v>4316</v>
      </c>
      <c r="B3655" s="59">
        <v>2651.2</v>
      </c>
      <c r="C3655" s="59">
        <v>4499</v>
      </c>
      <c r="D3655" s="59" t="s">
        <v>803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ht="15.2" spans="1:10">
      <c r="A3656" s="58" t="s">
        <v>4317</v>
      </c>
      <c r="B3656" s="59">
        <v>487</v>
      </c>
      <c r="C3656" s="59">
        <v>1223</v>
      </c>
      <c r="D3656" s="59" t="s">
        <v>801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</v>
      </c>
    </row>
    <row r="3657" ht="15.2" spans="1:10">
      <c r="A3657" s="58" t="s">
        <v>4318</v>
      </c>
      <c r="B3657" s="59">
        <v>1773.46</v>
      </c>
      <c r="C3657" s="59">
        <v>2699</v>
      </c>
      <c r="D3657" s="59" t="s">
        <v>803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ht="15.2" spans="1:10">
      <c r="A3658" s="58" t="s">
        <v>4319</v>
      </c>
      <c r="B3658" s="59">
        <v>395</v>
      </c>
      <c r="C3658" s="59">
        <v>880</v>
      </c>
      <c r="D3658" s="59" t="s">
        <v>801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ht="15.2" spans="1:10">
      <c r="A3659" s="58" t="s">
        <v>4320</v>
      </c>
      <c r="B3659" s="59">
        <v>1999</v>
      </c>
      <c r="C3659" s="59">
        <v>5670</v>
      </c>
      <c r="D3659" s="59" t="s">
        <v>801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ht="15.2" spans="1:10">
      <c r="A3660" s="58" t="s">
        <v>4321</v>
      </c>
      <c r="B3660" s="59">
        <v>282</v>
      </c>
      <c r="C3660" s="59">
        <v>690</v>
      </c>
      <c r="D3660" s="59" t="s">
        <v>801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ht="15.2" spans="1:10">
      <c r="A3661" s="58" t="s">
        <v>4322</v>
      </c>
      <c r="B3661" s="59">
        <v>2005</v>
      </c>
      <c r="C3661" s="59">
        <v>4389</v>
      </c>
      <c r="D3661" s="59" t="s">
        <v>801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ht="15.2" spans="1:10">
      <c r="A3662" s="58" t="s">
        <v>4323</v>
      </c>
      <c r="B3662" s="59">
        <v>1444.92</v>
      </c>
      <c r="C3662" s="59">
        <v>2199</v>
      </c>
      <c r="D3662" s="59" t="s">
        <v>803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ht="15.2" spans="1:10">
      <c r="A3663" s="58" t="s">
        <v>4324</v>
      </c>
      <c r="B3663" s="59">
        <v>1213.68</v>
      </c>
      <c r="C3663" s="59">
        <v>1999</v>
      </c>
      <c r="D3663" s="59" t="s">
        <v>803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ht="15.2" spans="1:10">
      <c r="A3664" s="58" t="s">
        <v>212</v>
      </c>
      <c r="B3664" s="59">
        <v>265</v>
      </c>
      <c r="C3664" s="59">
        <v>575</v>
      </c>
      <c r="D3664" s="59" t="s">
        <v>801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ht="15.2" spans="1:10">
      <c r="A3665" s="58" t="s">
        <v>357</v>
      </c>
      <c r="B3665" s="59">
        <v>319</v>
      </c>
      <c r="C3665" s="59">
        <v>705</v>
      </c>
      <c r="D3665" s="59" t="s">
        <v>801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ht="15.2" spans="1:10">
      <c r="A3666" s="58" t="s">
        <v>4325</v>
      </c>
      <c r="B3666" s="59">
        <v>871</v>
      </c>
      <c r="C3666" s="59">
        <v>1870</v>
      </c>
      <c r="D3666" s="59" t="s">
        <v>801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ht="15.2" spans="1:10">
      <c r="A3667" s="58" t="s">
        <v>4326</v>
      </c>
      <c r="B3667" s="59">
        <v>1444.92</v>
      </c>
      <c r="C3667" s="59">
        <v>2199</v>
      </c>
      <c r="D3667" s="59" t="s">
        <v>803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ht="15.2" spans="1:10">
      <c r="A3668" s="58" t="s">
        <v>4327</v>
      </c>
      <c r="B3668" s="59">
        <v>1820.82</v>
      </c>
      <c r="C3668" s="59">
        <v>2899</v>
      </c>
      <c r="D3668" s="59" t="s">
        <v>803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ht="15.2" spans="1:10">
      <c r="A3669" s="58" t="s">
        <v>287</v>
      </c>
      <c r="B3669" s="59">
        <v>299</v>
      </c>
      <c r="C3669" s="59">
        <v>628</v>
      </c>
      <c r="D3669" s="59" t="s">
        <v>801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ht="15.2" spans="1:10">
      <c r="A3670" s="58" t="s">
        <v>4328</v>
      </c>
      <c r="B3670" s="59">
        <v>1313.5</v>
      </c>
      <c r="C3670" s="59">
        <v>1999</v>
      </c>
      <c r="D3670" s="59" t="s">
        <v>803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ht="15.2" spans="1:10">
      <c r="A3671" s="58" t="s">
        <v>4329</v>
      </c>
      <c r="B3671" s="59">
        <v>349</v>
      </c>
      <c r="C3671" s="59">
        <v>770</v>
      </c>
      <c r="D3671" s="59" t="s">
        <v>801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ht="15.2" spans="1:10">
      <c r="A3672" s="58" t="s">
        <v>4330</v>
      </c>
      <c r="B3672" s="59">
        <v>1119.05</v>
      </c>
      <c r="C3672" s="59">
        <v>1899</v>
      </c>
      <c r="D3672" s="59" t="s">
        <v>803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ht="15.2" spans="1:10">
      <c r="A3673" s="58" t="s">
        <v>4331</v>
      </c>
      <c r="B3673" s="59">
        <v>540</v>
      </c>
      <c r="C3673" s="59">
        <v>1170</v>
      </c>
      <c r="D3673" s="59" t="s">
        <v>801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ht="15.2" spans="1:10">
      <c r="A3674" s="58" t="s">
        <v>4332</v>
      </c>
      <c r="B3674" s="59">
        <v>1416.6</v>
      </c>
      <c r="C3674" s="59">
        <v>2199</v>
      </c>
      <c r="D3674" s="59" t="s">
        <v>803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ht="15.2" spans="1:10">
      <c r="A3675" s="58" t="s">
        <v>4333</v>
      </c>
      <c r="B3675" s="59">
        <v>1247.8</v>
      </c>
      <c r="C3675" s="59">
        <v>1899</v>
      </c>
      <c r="D3675" s="59" t="s">
        <v>803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ht="15.2" spans="1:10">
      <c r="A3676" s="58" t="s">
        <v>4334</v>
      </c>
      <c r="B3676" s="59">
        <v>375</v>
      </c>
      <c r="C3676" s="59">
        <v>830</v>
      </c>
      <c r="D3676" s="59" t="s">
        <v>801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ht="15.2" spans="1:10">
      <c r="A3677" s="58" t="s">
        <v>4335</v>
      </c>
      <c r="B3677" s="59">
        <v>1674.28</v>
      </c>
      <c r="C3677" s="59">
        <v>2599</v>
      </c>
      <c r="D3677" s="59" t="s">
        <v>803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ht="15.2" spans="1:10">
      <c r="A3678" s="58" t="s">
        <v>4336</v>
      </c>
      <c r="B3678" s="59">
        <v>1092.25</v>
      </c>
      <c r="C3678" s="59">
        <v>1799</v>
      </c>
      <c r="D3678" s="59" t="s">
        <v>803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ht="15.2" spans="1:10">
      <c r="A3679" s="58" t="s">
        <v>4337</v>
      </c>
      <c r="B3679" s="59">
        <v>1395.82</v>
      </c>
      <c r="C3679" s="59">
        <v>2299</v>
      </c>
      <c r="D3679" s="59" t="s">
        <v>803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ht="15.2" spans="1:10">
      <c r="A3680" s="58" t="s">
        <v>4338</v>
      </c>
      <c r="B3680" s="59">
        <v>1092.25</v>
      </c>
      <c r="C3680" s="59">
        <v>1799</v>
      </c>
      <c r="D3680" s="59" t="s">
        <v>803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ht="15.2" spans="1:10">
      <c r="A3681" s="58" t="s">
        <v>4339</v>
      </c>
      <c r="B3681" s="59">
        <v>1295.84</v>
      </c>
      <c r="C3681" s="59">
        <v>2199</v>
      </c>
      <c r="D3681" s="59" t="s">
        <v>803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ht="15.2" spans="1:10">
      <c r="A3682" s="58" t="s">
        <v>4340</v>
      </c>
      <c r="B3682" s="59">
        <v>317</v>
      </c>
      <c r="C3682" s="59">
        <v>735</v>
      </c>
      <c r="D3682" s="59" t="s">
        <v>801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ht="15.2" spans="1:10">
      <c r="A3683" s="58" t="s">
        <v>4341</v>
      </c>
      <c r="B3683" s="59">
        <v>1649.41</v>
      </c>
      <c r="C3683" s="59">
        <v>2799</v>
      </c>
      <c r="D3683" s="59" t="s">
        <v>803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ht="15.2" spans="1:10">
      <c r="A3684" s="58" t="s">
        <v>4342</v>
      </c>
      <c r="B3684" s="59">
        <v>1638.68</v>
      </c>
      <c r="C3684" s="59">
        <v>2699</v>
      </c>
      <c r="D3684" s="59" t="s">
        <v>803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ht="15.2" spans="1:10">
      <c r="A3685" s="58" t="s">
        <v>4343</v>
      </c>
      <c r="B3685" s="59">
        <v>1116.38</v>
      </c>
      <c r="C3685" s="59">
        <v>1699</v>
      </c>
      <c r="D3685" s="59" t="s">
        <v>803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</v>
      </c>
      <c r="J3685" s="60">
        <f t="shared" si="174"/>
        <v>1699</v>
      </c>
    </row>
    <row r="3686" ht="15.2" spans="1:10">
      <c r="A3686" s="58" t="s">
        <v>4344</v>
      </c>
      <c r="B3686" s="59">
        <v>599</v>
      </c>
      <c r="C3686" s="59">
        <v>1407</v>
      </c>
      <c r="D3686" s="59" t="s">
        <v>801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ht="15.2" spans="1:10">
      <c r="A3687" s="58" t="s">
        <v>4345</v>
      </c>
      <c r="B3687" s="59">
        <v>555</v>
      </c>
      <c r="C3687" s="59">
        <v>1241</v>
      </c>
      <c r="D3687" s="59" t="s">
        <v>801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ht="15.2" spans="1:10">
      <c r="A3688" s="58" t="s">
        <v>4346</v>
      </c>
      <c r="B3688" s="59">
        <v>1576.34</v>
      </c>
      <c r="C3688" s="59">
        <v>2399</v>
      </c>
      <c r="D3688" s="59" t="s">
        <v>803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ht="15.2" spans="1:10">
      <c r="A3689" s="58" t="s">
        <v>4347</v>
      </c>
      <c r="B3689" s="59">
        <v>1049</v>
      </c>
      <c r="C3689" s="59">
        <v>2365</v>
      </c>
      <c r="D3689" s="59" t="s">
        <v>801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ht="15.2" spans="1:10">
      <c r="A3690" s="58" t="s">
        <v>4348</v>
      </c>
      <c r="B3690" s="59">
        <v>1213.68</v>
      </c>
      <c r="C3690" s="59">
        <v>1999</v>
      </c>
      <c r="D3690" s="59" t="s">
        <v>803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ht="15.2" spans="1:10">
      <c r="A3691" s="58" t="s">
        <v>4349</v>
      </c>
      <c r="B3691" s="59">
        <v>784</v>
      </c>
      <c r="C3691" s="59">
        <v>1867</v>
      </c>
      <c r="D3691" s="59" t="s">
        <v>801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ht="15.2" spans="1:10">
      <c r="A3692" s="58" t="s">
        <v>4350</v>
      </c>
      <c r="B3692" s="59">
        <v>1510.63</v>
      </c>
      <c r="C3692" s="59">
        <v>2299</v>
      </c>
      <c r="D3692" s="59" t="s">
        <v>803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ht="15.2" spans="1:10">
      <c r="A3693" s="58" t="s">
        <v>4351</v>
      </c>
      <c r="B3693" s="59">
        <v>1313.5</v>
      </c>
      <c r="C3693" s="59">
        <v>1999</v>
      </c>
      <c r="D3693" s="59" t="s">
        <v>803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ht="15.2" spans="1:10">
      <c r="A3694" s="58" t="s">
        <v>4352</v>
      </c>
      <c r="B3694" s="59">
        <v>374</v>
      </c>
      <c r="C3694" s="59">
        <v>951</v>
      </c>
      <c r="D3694" s="59" t="s">
        <v>801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ht="15.2" spans="1:10">
      <c r="A3695" s="58" t="s">
        <v>4353</v>
      </c>
      <c r="B3695" s="59">
        <v>699</v>
      </c>
      <c r="C3695" s="59">
        <v>1468</v>
      </c>
      <c r="D3695" s="59" t="s">
        <v>801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ht="15.2" spans="1:10">
      <c r="A3696" s="58" t="s">
        <v>4354</v>
      </c>
      <c r="B3696" s="59">
        <v>0</v>
      </c>
      <c r="C3696" s="59">
        <v>0</v>
      </c>
      <c r="D3696" s="59" t="s">
        <v>815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ht="15.2" spans="1:10">
      <c r="A3697" s="58" t="s">
        <v>4355</v>
      </c>
      <c r="B3697" s="59">
        <v>594</v>
      </c>
      <c r="C3697" s="59">
        <v>1392</v>
      </c>
      <c r="D3697" s="59" t="s">
        <v>801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ht="15.2" spans="1:10">
      <c r="A3698" s="58" t="s">
        <v>4356</v>
      </c>
      <c r="B3698" s="59">
        <v>529</v>
      </c>
      <c r="C3698" s="59">
        <v>1157</v>
      </c>
      <c r="D3698" s="59" t="s">
        <v>801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ht="15.2" spans="1:10">
      <c r="A3699" s="58" t="s">
        <v>4357</v>
      </c>
      <c r="B3699" s="59">
        <v>425</v>
      </c>
      <c r="C3699" s="59">
        <v>951</v>
      </c>
      <c r="D3699" s="59" t="s">
        <v>801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1569.15</v>
      </c>
    </row>
    <row r="3700" ht="15.2" spans="1:10">
      <c r="A3700" s="58" t="s">
        <v>4358</v>
      </c>
      <c r="B3700" s="59">
        <v>2367.25</v>
      </c>
      <c r="C3700" s="59">
        <v>3899</v>
      </c>
      <c r="D3700" s="59" t="s">
        <v>803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ht="15.2" spans="1:10">
      <c r="A3701" s="58" t="s">
        <v>4359</v>
      </c>
      <c r="B3701" s="59">
        <v>1416.6</v>
      </c>
      <c r="C3701" s="59">
        <v>2199</v>
      </c>
      <c r="D3701" s="59" t="s">
        <v>803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ht="15.2" spans="1:10">
      <c r="A3702" s="58" t="s">
        <v>4360</v>
      </c>
      <c r="B3702" s="59">
        <v>1274.39</v>
      </c>
      <c r="C3702" s="59">
        <v>2099</v>
      </c>
      <c r="D3702" s="59" t="s">
        <v>803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</v>
      </c>
      <c r="J3702" s="60">
        <f t="shared" si="174"/>
        <v>2099</v>
      </c>
    </row>
    <row r="3703" ht="15.2" spans="1:10">
      <c r="A3703" s="58" t="s">
        <v>4361</v>
      </c>
      <c r="B3703" s="59">
        <v>306</v>
      </c>
      <c r="C3703" s="59">
        <v>694</v>
      </c>
      <c r="D3703" s="59" t="s">
        <v>801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ht="15.2" spans="1:10">
      <c r="A3704" s="58" t="s">
        <v>4362</v>
      </c>
      <c r="B3704" s="59">
        <v>1354.77</v>
      </c>
      <c r="C3704" s="59">
        <v>2299</v>
      </c>
      <c r="D3704" s="59" t="s">
        <v>803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ht="15.2" spans="1:10">
      <c r="A3705" s="58" t="s">
        <v>4363</v>
      </c>
      <c r="B3705" s="59">
        <v>2610.11</v>
      </c>
      <c r="C3705" s="59">
        <v>4299</v>
      </c>
      <c r="D3705" s="59" t="s">
        <v>803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ht="15.2" spans="1:10">
      <c r="A3706" s="58" t="s">
        <v>4364</v>
      </c>
      <c r="B3706" s="59">
        <v>1472.63</v>
      </c>
      <c r="C3706" s="59">
        <v>2499</v>
      </c>
      <c r="D3706" s="59" t="s">
        <v>803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ht="15.2" spans="1:10">
      <c r="A3707" s="58" t="s">
        <v>4365</v>
      </c>
      <c r="B3707" s="59">
        <v>1395.82</v>
      </c>
      <c r="C3707" s="59">
        <v>2299</v>
      </c>
      <c r="D3707" s="59" t="s">
        <v>803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ht="15.2" spans="1:10">
      <c r="A3708" s="58" t="s">
        <v>4366</v>
      </c>
      <c r="B3708" s="59">
        <v>425</v>
      </c>
      <c r="C3708" s="59">
        <v>907</v>
      </c>
      <c r="D3708" s="59" t="s">
        <v>801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ht="15.2" spans="1:10">
      <c r="A3709" s="58" t="s">
        <v>4367</v>
      </c>
      <c r="B3709" s="59">
        <v>1904.87</v>
      </c>
      <c r="C3709" s="59">
        <v>2899</v>
      </c>
      <c r="D3709" s="59" t="s">
        <v>803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ht="15.2" spans="1:10">
      <c r="A3710" s="58" t="s">
        <v>4368</v>
      </c>
      <c r="B3710" s="59">
        <v>970.82</v>
      </c>
      <c r="C3710" s="59">
        <v>1599</v>
      </c>
      <c r="D3710" s="59" t="s">
        <v>803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ht="15.2" spans="1:10">
      <c r="A3711" s="58" t="s">
        <v>4369</v>
      </c>
      <c r="B3711" s="59">
        <v>853.55</v>
      </c>
      <c r="C3711" s="59">
        <v>1299</v>
      </c>
      <c r="D3711" s="59" t="s">
        <v>803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ht="15.2" spans="1:10">
      <c r="A3712" s="58" t="s">
        <v>4370</v>
      </c>
      <c r="B3712" s="59">
        <v>1092.25</v>
      </c>
      <c r="C3712" s="59">
        <v>1799</v>
      </c>
      <c r="D3712" s="59" t="s">
        <v>803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ht="15.2" spans="1:10">
      <c r="A3713" s="58" t="s">
        <v>4371</v>
      </c>
      <c r="B3713" s="59">
        <v>1354.77</v>
      </c>
      <c r="C3713" s="59">
        <v>2299</v>
      </c>
      <c r="D3713" s="59" t="s">
        <v>803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ht="15.2" spans="1:10">
      <c r="A3714" s="58" t="s">
        <v>4372</v>
      </c>
      <c r="B3714" s="59">
        <v>1030.08</v>
      </c>
      <c r="C3714" s="59">
        <v>1599</v>
      </c>
      <c r="D3714" s="59" t="s">
        <v>803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ht="15.2" spans="1:10">
      <c r="A3715" s="58" t="s">
        <v>4373</v>
      </c>
      <c r="B3715" s="59">
        <v>1116.38</v>
      </c>
      <c r="C3715" s="59">
        <v>1699</v>
      </c>
      <c r="D3715" s="59" t="s">
        <v>803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</v>
      </c>
      <c r="J3715" s="60">
        <f t="shared" si="177"/>
        <v>1699</v>
      </c>
    </row>
    <row r="3716" ht="15.2" spans="1:10">
      <c r="A3716" s="58" t="s">
        <v>4374</v>
      </c>
      <c r="B3716" s="59">
        <v>525</v>
      </c>
      <c r="C3716" s="59">
        <v>1172</v>
      </c>
      <c r="D3716" s="59" t="s">
        <v>801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</v>
      </c>
    </row>
    <row r="3717" ht="15.2" spans="1:10">
      <c r="A3717" s="58" t="s">
        <v>4375</v>
      </c>
      <c r="B3717" s="59">
        <v>1247.8</v>
      </c>
      <c r="C3717" s="59">
        <v>1899</v>
      </c>
      <c r="D3717" s="59" t="s">
        <v>803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ht="15.2" spans="1:10">
      <c r="A3718" s="58" t="s">
        <v>4376</v>
      </c>
      <c r="B3718" s="59">
        <v>1395.82</v>
      </c>
      <c r="C3718" s="59">
        <v>2299</v>
      </c>
      <c r="D3718" s="59" t="s">
        <v>803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ht="15.2" spans="1:10">
      <c r="A3719" s="58" t="s">
        <v>4377</v>
      </c>
      <c r="B3719" s="59">
        <v>787.84</v>
      </c>
      <c r="C3719" s="59">
        <v>1199</v>
      </c>
      <c r="D3719" s="59" t="s">
        <v>803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ht="15.2" spans="1:10">
      <c r="A3720" s="58" t="s">
        <v>4378</v>
      </c>
      <c r="B3720" s="59">
        <v>1352.18</v>
      </c>
      <c r="C3720" s="59">
        <v>2099</v>
      </c>
      <c r="D3720" s="59" t="s">
        <v>803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ht="15.2" spans="1:10">
      <c r="A3721" s="58" t="s">
        <v>4379</v>
      </c>
      <c r="B3721" s="59">
        <v>350.9</v>
      </c>
      <c r="C3721" s="59">
        <v>1091</v>
      </c>
      <c r="D3721" s="59" t="s">
        <v>801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70.18</v>
      </c>
      <c r="J3721" s="60">
        <f t="shared" si="177"/>
        <v>218.2</v>
      </c>
    </row>
    <row r="3722" ht="15.2" spans="1:10">
      <c r="A3722" s="58" t="s">
        <v>4380</v>
      </c>
      <c r="B3722" s="59">
        <v>384</v>
      </c>
      <c r="C3722" s="59">
        <v>966</v>
      </c>
      <c r="D3722" s="59" t="s">
        <v>801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</v>
      </c>
      <c r="J3722" s="60">
        <f t="shared" si="177"/>
        <v>9080.4</v>
      </c>
    </row>
    <row r="3723" ht="15.2" spans="1:10">
      <c r="A3723" s="58" t="s">
        <v>4381</v>
      </c>
      <c r="B3723" s="59">
        <v>595</v>
      </c>
      <c r="C3723" s="59">
        <v>1393</v>
      </c>
      <c r="D3723" s="59" t="s">
        <v>801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ht="15.2" spans="1:10">
      <c r="A3724" s="58" t="s">
        <v>4382</v>
      </c>
      <c r="B3724" s="59">
        <v>1236.91</v>
      </c>
      <c r="C3724" s="59">
        <v>2099</v>
      </c>
      <c r="D3724" s="59" t="s">
        <v>803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</v>
      </c>
      <c r="J3724" s="60">
        <f t="shared" si="177"/>
        <v>4198</v>
      </c>
    </row>
    <row r="3725" ht="15.2" spans="1:10">
      <c r="A3725" s="58" t="s">
        <v>4383</v>
      </c>
      <c r="B3725" s="59">
        <v>973</v>
      </c>
      <c r="C3725" s="59">
        <v>2305</v>
      </c>
      <c r="D3725" s="59" t="s">
        <v>801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ht="15.2" spans="1:10">
      <c r="A3726" s="58" t="s">
        <v>4384</v>
      </c>
      <c r="B3726" s="59">
        <v>1444.92</v>
      </c>
      <c r="C3726" s="59">
        <v>2199</v>
      </c>
      <c r="D3726" s="59" t="s">
        <v>803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ht="15.2" spans="1:10">
      <c r="A3727" s="58" t="s">
        <v>4385</v>
      </c>
      <c r="B3727" s="59">
        <v>1092.25</v>
      </c>
      <c r="C3727" s="59">
        <v>1799</v>
      </c>
      <c r="D3727" s="59" t="s">
        <v>803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ht="15.2" spans="1:10">
      <c r="A3728" s="58" t="s">
        <v>4386</v>
      </c>
      <c r="B3728" s="59">
        <v>646.97</v>
      </c>
      <c r="C3728" s="59">
        <v>999</v>
      </c>
      <c r="D3728" s="59" t="s">
        <v>803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ht="15.2" spans="1:10">
      <c r="A3729" s="58" t="s">
        <v>4387</v>
      </c>
      <c r="B3729" s="59">
        <v>410</v>
      </c>
      <c r="C3729" s="59">
        <v>1040</v>
      </c>
      <c r="D3729" s="59" t="s">
        <v>801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ht="15.2" spans="1:10">
      <c r="A3730" s="58" t="s">
        <v>4388</v>
      </c>
      <c r="B3730" s="59">
        <v>769</v>
      </c>
      <c r="C3730" s="59">
        <v>1825</v>
      </c>
      <c r="D3730" s="59" t="s">
        <v>801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ht="15.2" spans="1:10">
      <c r="A3731" s="58" t="s">
        <v>4389</v>
      </c>
      <c r="B3731" s="59">
        <v>229.32</v>
      </c>
      <c r="C3731" s="59">
        <v>349</v>
      </c>
      <c r="D3731" s="59" t="s">
        <v>803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ht="15.2" spans="1:10">
      <c r="A3732" s="58" t="s">
        <v>4390</v>
      </c>
      <c r="B3732" s="59">
        <v>608</v>
      </c>
      <c r="C3732" s="59">
        <v>1271</v>
      </c>
      <c r="D3732" s="59" t="s">
        <v>801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</v>
      </c>
      <c r="J3732" s="60">
        <f t="shared" si="177"/>
        <v>254.2</v>
      </c>
    </row>
    <row r="3733" ht="15.2" spans="1:10">
      <c r="A3733" s="58" t="s">
        <v>4391</v>
      </c>
      <c r="B3733" s="59">
        <v>1444.92</v>
      </c>
      <c r="C3733" s="59">
        <v>2199</v>
      </c>
      <c r="D3733" s="59" t="s">
        <v>803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ht="15.2" spans="1:10">
      <c r="A3734" s="58" t="s">
        <v>4392</v>
      </c>
      <c r="B3734" s="59">
        <v>646</v>
      </c>
      <c r="C3734" s="59">
        <v>1358</v>
      </c>
      <c r="D3734" s="59" t="s">
        <v>801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ht="15.2" spans="1:10">
      <c r="A3735" s="58" t="s">
        <v>4393</v>
      </c>
      <c r="B3735" s="59">
        <v>298</v>
      </c>
      <c r="C3735" s="59">
        <v>710</v>
      </c>
      <c r="D3735" s="59" t="s">
        <v>801</v>
      </c>
      <c r="E3735" s="59">
        <v>1.1</v>
      </c>
      <c r="F3735" s="59">
        <v>1.1</v>
      </c>
      <c r="G3735" s="59">
        <v>0</v>
      </c>
      <c r="H3735" s="60">
        <f t="shared" si="175"/>
        <v>1.1</v>
      </c>
      <c r="I3735" s="60">
        <f t="shared" si="176"/>
        <v>327.8</v>
      </c>
      <c r="J3735" s="60">
        <f t="shared" si="177"/>
        <v>781</v>
      </c>
    </row>
    <row r="3736" ht="15.2" spans="1:10">
      <c r="A3736" s="58" t="s">
        <v>4394</v>
      </c>
      <c r="B3736" s="59">
        <v>517.45</v>
      </c>
      <c r="C3736" s="59">
        <v>799</v>
      </c>
      <c r="D3736" s="59" t="s">
        <v>803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ht="15.2" spans="1:10">
      <c r="A3737" s="58" t="s">
        <v>4395</v>
      </c>
      <c r="B3737" s="59">
        <v>1444.92</v>
      </c>
      <c r="C3737" s="59">
        <v>2199</v>
      </c>
      <c r="D3737" s="59" t="s">
        <v>803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ht="15.2" spans="1:10">
      <c r="A3738" s="58" t="s">
        <v>4396</v>
      </c>
      <c r="B3738" s="59">
        <v>1354.77</v>
      </c>
      <c r="C3738" s="59">
        <v>2299</v>
      </c>
      <c r="D3738" s="59" t="s">
        <v>803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ht="15.2" spans="1:10">
      <c r="A3739" s="58" t="s">
        <v>4397</v>
      </c>
      <c r="B3739" s="59">
        <v>497</v>
      </c>
      <c r="C3739" s="59">
        <v>1331</v>
      </c>
      <c r="D3739" s="59" t="s">
        <v>801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ht="15.2" spans="1:10">
      <c r="A3740" s="58" t="s">
        <v>4398</v>
      </c>
      <c r="B3740" s="59">
        <v>1379.21</v>
      </c>
      <c r="C3740" s="59">
        <v>2099</v>
      </c>
      <c r="D3740" s="59" t="s">
        <v>803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ht="15.2" spans="1:10">
      <c r="A3741" s="58" t="s">
        <v>4399</v>
      </c>
      <c r="B3741" s="59">
        <v>409</v>
      </c>
      <c r="C3741" s="59">
        <v>913</v>
      </c>
      <c r="D3741" s="59" t="s">
        <v>801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</v>
      </c>
      <c r="J3741" s="60">
        <f t="shared" si="177"/>
        <v>2921.6</v>
      </c>
    </row>
    <row r="3742" ht="15.2" spans="1:10">
      <c r="A3742" s="58" t="s">
        <v>4400</v>
      </c>
      <c r="B3742" s="59">
        <v>1773.46</v>
      </c>
      <c r="C3742" s="59">
        <v>2699</v>
      </c>
      <c r="D3742" s="59" t="s">
        <v>803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ht="15.2" spans="1:10">
      <c r="A3743" s="58" t="s">
        <v>4401</v>
      </c>
      <c r="B3743" s="59">
        <v>1444.92</v>
      </c>
      <c r="C3743" s="59">
        <v>2199</v>
      </c>
      <c r="D3743" s="59" t="s">
        <v>803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ht="15.2" spans="1:10">
      <c r="A3744" s="58" t="s">
        <v>4402</v>
      </c>
      <c r="B3744" s="59">
        <v>367</v>
      </c>
      <c r="C3744" s="59">
        <v>830</v>
      </c>
      <c r="D3744" s="59" t="s">
        <v>801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ht="15.2" spans="1:10">
      <c r="A3745" s="58" t="s">
        <v>4403</v>
      </c>
      <c r="B3745" s="59">
        <v>1092.25</v>
      </c>
      <c r="C3745" s="59">
        <v>1799</v>
      </c>
      <c r="D3745" s="59" t="s">
        <v>803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ht="15.2" spans="1:10">
      <c r="A3746" s="58" t="s">
        <v>4404</v>
      </c>
      <c r="B3746" s="59">
        <v>1092.25</v>
      </c>
      <c r="C3746" s="59">
        <v>1799</v>
      </c>
      <c r="D3746" s="59" t="s">
        <v>803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ht="15.2" spans="1:10">
      <c r="A3747" s="58" t="s">
        <v>4405</v>
      </c>
      <c r="B3747" s="59">
        <v>1576.34</v>
      </c>
      <c r="C3747" s="59">
        <v>2399</v>
      </c>
      <c r="D3747" s="59" t="s">
        <v>803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ht="15.2" spans="1:10">
      <c r="A3748" s="58" t="s">
        <v>4406</v>
      </c>
      <c r="B3748" s="59">
        <v>156.9</v>
      </c>
      <c r="C3748" s="59">
        <v>461</v>
      </c>
      <c r="D3748" s="59" t="s">
        <v>801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ht="15.2" spans="1:10">
      <c r="A3749" s="58" t="s">
        <v>186</v>
      </c>
      <c r="B3749" s="59">
        <v>299</v>
      </c>
      <c r="C3749" s="59">
        <v>660</v>
      </c>
      <c r="D3749" s="59" t="s">
        <v>801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ht="15.2" spans="1:10">
      <c r="A3750" s="58" t="s">
        <v>4407</v>
      </c>
      <c r="B3750" s="59">
        <v>1247.8</v>
      </c>
      <c r="C3750" s="59">
        <v>1899</v>
      </c>
      <c r="D3750" s="59" t="s">
        <v>803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ht="15.2" spans="1:10">
      <c r="A3751" s="58" t="s">
        <v>4408</v>
      </c>
      <c r="B3751" s="59">
        <v>582.21</v>
      </c>
      <c r="C3751" s="59">
        <v>899</v>
      </c>
      <c r="D3751" s="59" t="s">
        <v>803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ht="15.2" spans="1:10">
      <c r="A3752" s="58" t="s">
        <v>4409</v>
      </c>
      <c r="B3752" s="59">
        <v>295.02</v>
      </c>
      <c r="C3752" s="59">
        <v>449</v>
      </c>
      <c r="D3752" s="59" t="s">
        <v>803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ht="15.2" spans="1:10">
      <c r="A3753" s="58" t="s">
        <v>4410</v>
      </c>
      <c r="B3753" s="59">
        <v>229.32</v>
      </c>
      <c r="C3753" s="59">
        <v>349</v>
      </c>
      <c r="D3753" s="59" t="s">
        <v>803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ht="15.2" spans="1:10">
      <c r="A3754" s="58" t="s">
        <v>270</v>
      </c>
      <c r="B3754" s="59">
        <v>385</v>
      </c>
      <c r="C3754" s="59">
        <v>913</v>
      </c>
      <c r="D3754" s="59" t="s">
        <v>801</v>
      </c>
      <c r="E3754" s="59">
        <v>1.1</v>
      </c>
      <c r="F3754" s="59">
        <v>1.1</v>
      </c>
      <c r="G3754" s="59">
        <v>0</v>
      </c>
      <c r="H3754" s="60">
        <f t="shared" si="178"/>
        <v>1.1</v>
      </c>
      <c r="I3754" s="60">
        <f t="shared" si="176"/>
        <v>423.5</v>
      </c>
      <c r="J3754" s="60">
        <f t="shared" si="177"/>
        <v>1004.3</v>
      </c>
    </row>
    <row r="3755" ht="15.2" spans="1:10">
      <c r="A3755" s="58" t="s">
        <v>4411</v>
      </c>
      <c r="B3755" s="59">
        <v>718</v>
      </c>
      <c r="C3755" s="59">
        <v>1699</v>
      </c>
      <c r="D3755" s="59" t="s">
        <v>801</v>
      </c>
      <c r="E3755" s="59">
        <v>16.35</v>
      </c>
      <c r="F3755" s="59">
        <v>16.35</v>
      </c>
      <c r="G3755" s="59">
        <v>0</v>
      </c>
      <c r="H3755" s="60">
        <f t="shared" si="178"/>
        <v>16.35</v>
      </c>
      <c r="I3755" s="60">
        <f t="shared" si="176"/>
        <v>11739.3</v>
      </c>
      <c r="J3755" s="60">
        <f t="shared" si="177"/>
        <v>27778.65</v>
      </c>
    </row>
    <row r="3756" ht="15.2" spans="1:10">
      <c r="A3756" s="58" t="s">
        <v>4412</v>
      </c>
      <c r="B3756" s="59">
        <v>1638.68</v>
      </c>
      <c r="C3756" s="59">
        <v>2699</v>
      </c>
      <c r="D3756" s="59" t="s">
        <v>803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ht="15.2" spans="1:10">
      <c r="A3757" s="58" t="s">
        <v>4413</v>
      </c>
      <c r="B3757" s="59">
        <v>776.5</v>
      </c>
      <c r="C3757" s="59">
        <v>1199</v>
      </c>
      <c r="D3757" s="59" t="s">
        <v>803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ht="15.2" spans="1:10">
      <c r="A3758" s="58" t="s">
        <v>4414</v>
      </c>
      <c r="B3758" s="59">
        <v>1177.98</v>
      </c>
      <c r="C3758" s="59">
        <v>1999</v>
      </c>
      <c r="D3758" s="59" t="s">
        <v>803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ht="15.2" spans="1:10">
      <c r="A3759" s="58" t="s">
        <v>4415</v>
      </c>
      <c r="B3759" s="59">
        <v>1517.25</v>
      </c>
      <c r="C3759" s="59">
        <v>2499</v>
      </c>
      <c r="D3759" s="59" t="s">
        <v>803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ht="15.2" spans="1:10">
      <c r="A3760" s="58" t="s">
        <v>4416</v>
      </c>
      <c r="B3760" s="59">
        <v>288</v>
      </c>
      <c r="C3760" s="59">
        <v>735</v>
      </c>
      <c r="D3760" s="59" t="s">
        <v>801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489.6</v>
      </c>
      <c r="J3760" s="60">
        <f t="shared" si="177"/>
        <v>1249.5</v>
      </c>
    </row>
    <row r="3761" ht="15.2" spans="1:10">
      <c r="A3761" s="58" t="s">
        <v>4417</v>
      </c>
      <c r="B3761" s="59">
        <v>666</v>
      </c>
      <c r="C3761" s="59">
        <v>1658</v>
      </c>
      <c r="D3761" s="59" t="s">
        <v>801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965.7</v>
      </c>
      <c r="J3761" s="60">
        <f t="shared" si="177"/>
        <v>2404.1</v>
      </c>
    </row>
    <row r="3762" ht="15.2" spans="1:10">
      <c r="A3762" s="58" t="s">
        <v>4418</v>
      </c>
      <c r="B3762" s="59">
        <v>1456.54</v>
      </c>
      <c r="C3762" s="59">
        <v>2399</v>
      </c>
      <c r="D3762" s="59" t="s">
        <v>803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ht="15.2" spans="1:10">
      <c r="A3763" s="58" t="s">
        <v>4419</v>
      </c>
      <c r="B3763" s="59">
        <v>614.59</v>
      </c>
      <c r="C3763" s="59">
        <v>949</v>
      </c>
      <c r="D3763" s="59" t="s">
        <v>803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ht="15.2" spans="1:10">
      <c r="A3764" s="58" t="s">
        <v>4420</v>
      </c>
      <c r="B3764" s="59">
        <v>499</v>
      </c>
      <c r="C3764" s="59">
        <v>1092</v>
      </c>
      <c r="D3764" s="59" t="s">
        <v>801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</v>
      </c>
    </row>
    <row r="3765" ht="15.2" spans="1:10">
      <c r="A3765" s="58" t="s">
        <v>4421</v>
      </c>
      <c r="B3765" s="59">
        <v>1213.68</v>
      </c>
      <c r="C3765" s="59">
        <v>1999</v>
      </c>
      <c r="D3765" s="59" t="s">
        <v>803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ht="15.2" spans="1:10">
      <c r="A3766" s="58" t="s">
        <v>252</v>
      </c>
      <c r="B3766" s="59">
        <v>399</v>
      </c>
      <c r="C3766" s="59">
        <v>838</v>
      </c>
      <c r="D3766" s="59" t="s">
        <v>801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ht="15.2" spans="1:10">
      <c r="A3767" s="58" t="s">
        <v>4422</v>
      </c>
      <c r="B3767" s="59">
        <v>193</v>
      </c>
      <c r="C3767" s="59">
        <v>406</v>
      </c>
      <c r="D3767" s="59" t="s">
        <v>801</v>
      </c>
      <c r="E3767" s="59">
        <v>2.2</v>
      </c>
      <c r="F3767" s="59">
        <v>2.2</v>
      </c>
      <c r="G3767" s="59">
        <v>0</v>
      </c>
      <c r="H3767" s="60">
        <f t="shared" si="178"/>
        <v>2.2</v>
      </c>
      <c r="I3767" s="60">
        <f t="shared" si="176"/>
        <v>424.6</v>
      </c>
      <c r="J3767" s="60">
        <f t="shared" si="177"/>
        <v>893.2</v>
      </c>
    </row>
    <row r="3768" ht="15.2" spans="1:10">
      <c r="A3768" s="58" t="s">
        <v>4423</v>
      </c>
      <c r="B3768" s="59">
        <v>305</v>
      </c>
      <c r="C3768" s="59">
        <v>711</v>
      </c>
      <c r="D3768" s="59" t="s">
        <v>801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ht="15.2" spans="1:10">
      <c r="A3769" s="58" t="s">
        <v>4424</v>
      </c>
      <c r="B3769" s="59">
        <v>1416.6</v>
      </c>
      <c r="C3769" s="59">
        <v>2199</v>
      </c>
      <c r="D3769" s="59" t="s">
        <v>803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ht="15.2" spans="1:10">
      <c r="A3770" s="58" t="s">
        <v>4425</v>
      </c>
      <c r="B3770" s="59">
        <v>656.42</v>
      </c>
      <c r="C3770" s="59">
        <v>999</v>
      </c>
      <c r="D3770" s="59" t="s">
        <v>803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ht="15.2" spans="1:10">
      <c r="A3771" s="58" t="s">
        <v>4426</v>
      </c>
      <c r="B3771" s="59">
        <v>906.02</v>
      </c>
      <c r="C3771" s="59">
        <v>1399</v>
      </c>
      <c r="D3771" s="59" t="s">
        <v>803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ht="15.2" spans="1:10">
      <c r="A3772" s="58" t="s">
        <v>4427</v>
      </c>
      <c r="B3772" s="59">
        <v>699</v>
      </c>
      <c r="C3772" s="59">
        <v>1468</v>
      </c>
      <c r="D3772" s="59" t="s">
        <v>801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</v>
      </c>
      <c r="J3772" s="60">
        <f t="shared" si="177"/>
        <v>17322.4</v>
      </c>
    </row>
    <row r="3773" ht="15.2" spans="1:10">
      <c r="A3773" s="58" t="s">
        <v>4428</v>
      </c>
      <c r="B3773" s="59">
        <v>1274.39</v>
      </c>
      <c r="C3773" s="59">
        <v>2099</v>
      </c>
      <c r="D3773" s="59" t="s">
        <v>803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ht="15.2" spans="1:10">
      <c r="A3774" s="58" t="s">
        <v>4429</v>
      </c>
      <c r="B3774" s="59">
        <v>1881.54</v>
      </c>
      <c r="C3774" s="59">
        <v>3099</v>
      </c>
      <c r="D3774" s="59" t="s">
        <v>803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ht="15.2" spans="1:10">
      <c r="A3775" s="58" t="s">
        <v>4430</v>
      </c>
      <c r="B3775" s="59">
        <v>737</v>
      </c>
      <c r="C3775" s="59">
        <v>1658</v>
      </c>
      <c r="D3775" s="59" t="s">
        <v>801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ht="15.2" spans="1:10">
      <c r="A3776" s="58" t="s">
        <v>4431</v>
      </c>
      <c r="B3776" s="59">
        <v>278</v>
      </c>
      <c r="C3776" s="59">
        <v>623</v>
      </c>
      <c r="D3776" s="59" t="s">
        <v>801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</v>
      </c>
      <c r="J3776" s="60">
        <f t="shared" si="177"/>
        <v>4485.6</v>
      </c>
    </row>
    <row r="3777" ht="15.2" spans="1:10">
      <c r="A3777" s="58" t="s">
        <v>4432</v>
      </c>
      <c r="B3777" s="59">
        <v>1247.8</v>
      </c>
      <c r="C3777" s="59">
        <v>1899</v>
      </c>
      <c r="D3777" s="59" t="s">
        <v>803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ht="15.2" spans="1:10">
      <c r="A3778" s="58" t="s">
        <v>4433</v>
      </c>
      <c r="B3778" s="59">
        <v>379</v>
      </c>
      <c r="C3778" s="59">
        <v>847</v>
      </c>
      <c r="D3778" s="59" t="s">
        <v>801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ht="15.2" spans="1:10">
      <c r="A3779" s="58" t="s">
        <v>4434</v>
      </c>
      <c r="B3779" s="59">
        <v>1444.92</v>
      </c>
      <c r="C3779" s="59">
        <v>2199</v>
      </c>
      <c r="D3779" s="59" t="s">
        <v>803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ht="15.2" spans="1:10">
      <c r="A3780" s="58" t="s">
        <v>341</v>
      </c>
      <c r="B3780" s="59">
        <v>502</v>
      </c>
      <c r="C3780" s="59">
        <v>1263</v>
      </c>
      <c r="D3780" s="59" t="s">
        <v>801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1768.2</v>
      </c>
    </row>
    <row r="3781" ht="15.2" spans="1:10">
      <c r="A3781" s="58" t="s">
        <v>4435</v>
      </c>
      <c r="B3781" s="59">
        <v>1444.92</v>
      </c>
      <c r="C3781" s="59">
        <v>2199</v>
      </c>
      <c r="D3781" s="59" t="s">
        <v>803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ht="15.2" spans="1:10">
      <c r="A3782" s="58" t="s">
        <v>4436</v>
      </c>
      <c r="B3782" s="59">
        <v>221.3</v>
      </c>
      <c r="C3782" s="59">
        <v>745</v>
      </c>
      <c r="D3782" s="59" t="s">
        <v>801</v>
      </c>
      <c r="E3782" s="59">
        <v>2.05</v>
      </c>
      <c r="F3782" s="59">
        <v>2.05</v>
      </c>
      <c r="G3782" s="59">
        <v>0</v>
      </c>
      <c r="H3782" s="60">
        <f t="shared" si="178"/>
        <v>2.05</v>
      </c>
      <c r="I3782" s="60">
        <f t="shared" si="179"/>
        <v>453.665</v>
      </c>
      <c r="J3782" s="60">
        <f t="shared" si="180"/>
        <v>1527.25</v>
      </c>
    </row>
    <row r="3783" ht="15.2" spans="1:10">
      <c r="A3783" s="58" t="s">
        <v>4437</v>
      </c>
      <c r="B3783" s="59">
        <v>1274.39</v>
      </c>
      <c r="C3783" s="59">
        <v>2099</v>
      </c>
      <c r="D3783" s="59" t="s">
        <v>803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ht="15.2" spans="1:10">
      <c r="A3784" s="58" t="s">
        <v>4438</v>
      </c>
      <c r="B3784" s="59">
        <v>1295.84</v>
      </c>
      <c r="C3784" s="59">
        <v>2199</v>
      </c>
      <c r="D3784" s="59" t="s">
        <v>803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ht="15.2" spans="1:10">
      <c r="A3785" s="58" t="s">
        <v>4439</v>
      </c>
      <c r="B3785" s="59">
        <v>449</v>
      </c>
      <c r="C3785" s="59">
        <v>943</v>
      </c>
      <c r="D3785" s="59" t="s">
        <v>801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314.3</v>
      </c>
      <c r="J3785" s="60">
        <f t="shared" si="180"/>
        <v>660.1</v>
      </c>
    </row>
    <row r="3786" ht="15.2" spans="1:10">
      <c r="A3786" s="58" t="s">
        <v>4440</v>
      </c>
      <c r="B3786" s="59">
        <v>1287.76</v>
      </c>
      <c r="C3786" s="59">
        <v>1999</v>
      </c>
      <c r="D3786" s="59" t="s">
        <v>803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ht="15.2" spans="1:10">
      <c r="A3787" s="58" t="s">
        <v>4441</v>
      </c>
      <c r="B3787" s="59">
        <v>906.02</v>
      </c>
      <c r="C3787" s="59">
        <v>1399</v>
      </c>
      <c r="D3787" s="59" t="s">
        <v>803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ht="15.2" spans="1:10">
      <c r="A3788" s="58" t="s">
        <v>4442</v>
      </c>
      <c r="B3788" s="59">
        <v>1395.82</v>
      </c>
      <c r="C3788" s="59">
        <v>2299</v>
      </c>
      <c r="D3788" s="59" t="s">
        <v>803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ht="15.2" spans="1:10">
      <c r="A3789" s="58" t="s">
        <v>4443</v>
      </c>
      <c r="B3789" s="59">
        <v>2063.68</v>
      </c>
      <c r="C3789" s="59">
        <v>3399</v>
      </c>
      <c r="D3789" s="59" t="s">
        <v>803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4127.36</v>
      </c>
      <c r="J3789" s="60">
        <f t="shared" si="180"/>
        <v>6798</v>
      </c>
    </row>
    <row r="3790" ht="15.2" spans="1:10">
      <c r="A3790" s="58" t="s">
        <v>4444</v>
      </c>
      <c r="B3790" s="59">
        <v>590.71</v>
      </c>
      <c r="C3790" s="59">
        <v>899</v>
      </c>
      <c r="D3790" s="59" t="s">
        <v>803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ht="15.2" spans="1:10">
      <c r="A3791" s="58" t="s">
        <v>4445</v>
      </c>
      <c r="B3791" s="59">
        <v>1213.68</v>
      </c>
      <c r="C3791" s="59">
        <v>1999</v>
      </c>
      <c r="D3791" s="59" t="s">
        <v>803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ht="15.2" spans="1:10">
      <c r="A3792" s="58" t="s">
        <v>4446</v>
      </c>
      <c r="B3792" s="59">
        <v>1517.25</v>
      </c>
      <c r="C3792" s="59">
        <v>2499</v>
      </c>
      <c r="D3792" s="59" t="s">
        <v>803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ht="15.2" spans="1:10">
      <c r="A3793" s="58" t="s">
        <v>4447</v>
      </c>
      <c r="B3793" s="59">
        <v>1298</v>
      </c>
      <c r="C3793" s="59">
        <v>2723</v>
      </c>
      <c r="D3793" s="59" t="s">
        <v>801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ht="15.2" spans="1:10">
      <c r="A3794" s="58" t="s">
        <v>4448</v>
      </c>
      <c r="B3794" s="59">
        <v>525</v>
      </c>
      <c r="C3794" s="59">
        <v>799</v>
      </c>
      <c r="D3794" s="59" t="s">
        <v>803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ht="15.2" spans="1:10">
      <c r="A3795" s="58" t="s">
        <v>4449</v>
      </c>
      <c r="B3795" s="59">
        <v>656.42</v>
      </c>
      <c r="C3795" s="59">
        <v>999</v>
      </c>
      <c r="D3795" s="59" t="s">
        <v>803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ht="15.2" spans="1:10">
      <c r="A3796" s="58" t="s">
        <v>4450</v>
      </c>
      <c r="B3796" s="59">
        <v>4552.96</v>
      </c>
      <c r="C3796" s="59">
        <v>7499</v>
      </c>
      <c r="D3796" s="59" t="s">
        <v>803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ht="15.2" spans="1:10">
      <c r="A3797" s="58" t="s">
        <v>4451</v>
      </c>
      <c r="B3797" s="59">
        <v>112</v>
      </c>
      <c r="C3797" s="59">
        <v>236</v>
      </c>
      <c r="D3797" s="59" t="s">
        <v>801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ht="15.2" spans="1:10">
      <c r="A3798" s="58" t="s">
        <v>4452</v>
      </c>
      <c r="B3798" s="59">
        <v>1395.82</v>
      </c>
      <c r="C3798" s="59">
        <v>2299</v>
      </c>
      <c r="D3798" s="59" t="s">
        <v>803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ht="15.2" spans="1:10">
      <c r="A3799" s="58" t="s">
        <v>4453</v>
      </c>
      <c r="B3799" s="59">
        <v>1576.34</v>
      </c>
      <c r="C3799" s="59">
        <v>2399</v>
      </c>
      <c r="D3799" s="59" t="s">
        <v>803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ht="15.2" spans="1:10">
      <c r="A3800" s="58" t="s">
        <v>4454</v>
      </c>
      <c r="B3800" s="59">
        <v>1699.39</v>
      </c>
      <c r="C3800" s="59">
        <v>2799</v>
      </c>
      <c r="D3800" s="59" t="s">
        <v>803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ht="15.2" spans="1:10">
      <c r="A3801" s="58" t="s">
        <v>4455</v>
      </c>
      <c r="B3801" s="59">
        <v>5463.68</v>
      </c>
      <c r="C3801" s="59">
        <v>8999</v>
      </c>
      <c r="D3801" s="59" t="s">
        <v>803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ht="15.2" spans="1:10">
      <c r="A3802" s="58" t="s">
        <v>4456</v>
      </c>
      <c r="B3802" s="59">
        <v>1247.8</v>
      </c>
      <c r="C3802" s="59">
        <v>1899</v>
      </c>
      <c r="D3802" s="59" t="s">
        <v>803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ht="15.2" spans="1:10">
      <c r="A3803" s="58" t="s">
        <v>4457</v>
      </c>
      <c r="B3803" s="59">
        <v>1213.68</v>
      </c>
      <c r="C3803" s="59">
        <v>1999</v>
      </c>
      <c r="D3803" s="59" t="s">
        <v>803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ht="15.2" spans="1:10">
      <c r="A3804" s="58" t="s">
        <v>4458</v>
      </c>
      <c r="B3804" s="59">
        <v>1444.92</v>
      </c>
      <c r="C3804" s="59">
        <v>2199</v>
      </c>
      <c r="D3804" s="59" t="s">
        <v>803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ht="15.2" spans="1:10">
      <c r="A3805" s="58" t="s">
        <v>4459</v>
      </c>
      <c r="B3805" s="59">
        <v>1295.84</v>
      </c>
      <c r="C3805" s="59">
        <v>2199</v>
      </c>
      <c r="D3805" s="59" t="s">
        <v>803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1295.84</v>
      </c>
      <c r="J3805" s="60">
        <f t="shared" si="180"/>
        <v>2199</v>
      </c>
    </row>
    <row r="3806" ht="15.2" spans="1:10">
      <c r="A3806" s="58" t="s">
        <v>4460</v>
      </c>
      <c r="B3806" s="59">
        <v>325</v>
      </c>
      <c r="C3806" s="59">
        <v>720</v>
      </c>
      <c r="D3806" s="59" t="s">
        <v>801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ht="15.2" spans="1:10">
      <c r="A3807" s="58" t="s">
        <v>4461</v>
      </c>
      <c r="B3807" s="59">
        <v>1517.25</v>
      </c>
      <c r="C3807" s="59">
        <v>2499</v>
      </c>
      <c r="D3807" s="59" t="s">
        <v>803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ht="15.2" spans="1:10">
      <c r="A3808" s="58" t="s">
        <v>4462</v>
      </c>
      <c r="B3808" s="59">
        <v>1263.59</v>
      </c>
      <c r="C3808" s="59">
        <v>1999</v>
      </c>
      <c r="D3808" s="59" t="s">
        <v>803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2527.18</v>
      </c>
      <c r="J3808" s="60">
        <f t="shared" si="180"/>
        <v>3998</v>
      </c>
    </row>
    <row r="3809" ht="15.2" spans="1:10">
      <c r="A3809" s="58" t="s">
        <v>4463</v>
      </c>
      <c r="B3809" s="59">
        <v>385</v>
      </c>
      <c r="C3809" s="59">
        <v>859</v>
      </c>
      <c r="D3809" s="59" t="s">
        <v>801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ht="15.2" spans="1:10">
      <c r="A3810" s="58" t="s">
        <v>4464</v>
      </c>
      <c r="B3810" s="59">
        <v>549</v>
      </c>
      <c r="C3810" s="59">
        <v>1153</v>
      </c>
      <c r="D3810" s="59" t="s">
        <v>801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ht="15.2" spans="1:10">
      <c r="A3811" s="58" t="s">
        <v>4465</v>
      </c>
      <c r="B3811" s="59">
        <v>608</v>
      </c>
      <c r="C3811" s="59">
        <v>1347</v>
      </c>
      <c r="D3811" s="59" t="s">
        <v>801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</v>
      </c>
      <c r="J3811" s="60">
        <f t="shared" si="180"/>
        <v>1212.3</v>
      </c>
    </row>
    <row r="3812" ht="15.2" spans="1:10">
      <c r="A3812" s="58" t="s">
        <v>4466</v>
      </c>
      <c r="B3812" s="59">
        <v>1213.68</v>
      </c>
      <c r="C3812" s="59">
        <v>1999</v>
      </c>
      <c r="D3812" s="59" t="s">
        <v>803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ht="15.2" spans="1:10">
      <c r="A3813" s="58" t="s">
        <v>4467</v>
      </c>
      <c r="B3813" s="59">
        <v>1031.54</v>
      </c>
      <c r="C3813" s="59">
        <v>1699</v>
      </c>
      <c r="D3813" s="59" t="s">
        <v>803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ht="15.2" spans="1:10">
      <c r="A3814" s="58" t="s">
        <v>4468</v>
      </c>
      <c r="B3814" s="59">
        <v>1213.68</v>
      </c>
      <c r="C3814" s="59">
        <v>1999</v>
      </c>
      <c r="D3814" s="59" t="s">
        <v>803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ht="15.2" spans="1:10">
      <c r="A3815" s="58" t="s">
        <v>4469</v>
      </c>
      <c r="B3815" s="59">
        <v>1517.25</v>
      </c>
      <c r="C3815" s="59">
        <v>2499</v>
      </c>
      <c r="D3815" s="59" t="s">
        <v>803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ht="15.2" spans="1:10">
      <c r="A3816" s="58" t="s">
        <v>4470</v>
      </c>
      <c r="B3816" s="59">
        <v>841.26</v>
      </c>
      <c r="C3816" s="59">
        <v>1299</v>
      </c>
      <c r="D3816" s="59" t="s">
        <v>803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ht="15.2" spans="1:10">
      <c r="A3817" s="58" t="s">
        <v>4471</v>
      </c>
      <c r="B3817" s="59">
        <v>449</v>
      </c>
      <c r="C3817" s="59">
        <v>943</v>
      </c>
      <c r="D3817" s="59" t="s">
        <v>801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</v>
      </c>
      <c r="J3817" s="60">
        <f t="shared" si="180"/>
        <v>377.2</v>
      </c>
    </row>
    <row r="3818" ht="15.2" spans="1:10">
      <c r="A3818" s="58" t="s">
        <v>4472</v>
      </c>
      <c r="B3818" s="59">
        <v>2102</v>
      </c>
      <c r="C3818" s="59">
        <v>3199</v>
      </c>
      <c r="D3818" s="59" t="s">
        <v>803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ht="15.2" spans="1:10">
      <c r="A3819" s="58" t="s">
        <v>4473</v>
      </c>
      <c r="B3819" s="59">
        <v>400</v>
      </c>
      <c r="C3819" s="59">
        <v>951</v>
      </c>
      <c r="D3819" s="59" t="s">
        <v>801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ht="15.2" spans="1:10">
      <c r="A3820" s="58" t="s">
        <v>4474</v>
      </c>
      <c r="B3820" s="59">
        <v>1295.84</v>
      </c>
      <c r="C3820" s="59">
        <v>2199</v>
      </c>
      <c r="D3820" s="59" t="s">
        <v>803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1295.84</v>
      </c>
      <c r="J3820" s="60">
        <f t="shared" si="180"/>
        <v>2199</v>
      </c>
    </row>
    <row r="3821" ht="15.2" spans="1:10">
      <c r="A3821" s="58" t="s">
        <v>4475</v>
      </c>
      <c r="B3821" s="59">
        <v>306</v>
      </c>
      <c r="C3821" s="59">
        <v>712</v>
      </c>
      <c r="D3821" s="59" t="s">
        <v>801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ht="15.2" spans="1:10">
      <c r="A3822" s="58" t="s">
        <v>4476</v>
      </c>
      <c r="B3822" s="59">
        <v>1295.84</v>
      </c>
      <c r="C3822" s="59">
        <v>2199</v>
      </c>
      <c r="D3822" s="59" t="s">
        <v>803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1295.84</v>
      </c>
      <c r="J3822" s="60">
        <f t="shared" si="180"/>
        <v>2199</v>
      </c>
    </row>
    <row r="3823" ht="15.2" spans="1:10">
      <c r="A3823" s="58" t="s">
        <v>4477</v>
      </c>
      <c r="B3823" s="59">
        <v>1177.98</v>
      </c>
      <c r="C3823" s="59">
        <v>1999</v>
      </c>
      <c r="D3823" s="59" t="s">
        <v>803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ht="15.2" spans="1:10">
      <c r="A3824" s="58" t="s">
        <v>4478</v>
      </c>
      <c r="B3824" s="59">
        <v>1105.44</v>
      </c>
      <c r="C3824" s="59">
        <v>1699</v>
      </c>
      <c r="D3824" s="59" t="s">
        <v>803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ht="15.2" spans="1:10">
      <c r="A3825" s="58" t="s">
        <v>4479</v>
      </c>
      <c r="B3825" s="59">
        <v>1472.63</v>
      </c>
      <c r="C3825" s="59">
        <v>2499</v>
      </c>
      <c r="D3825" s="59" t="s">
        <v>803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ht="15.2" spans="1:10">
      <c r="A3826" s="58" t="s">
        <v>4480</v>
      </c>
      <c r="B3826" s="59">
        <v>1517.25</v>
      </c>
      <c r="C3826" s="59">
        <v>2499</v>
      </c>
      <c r="D3826" s="59" t="s">
        <v>803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ht="15.2" spans="1:10">
      <c r="A3827" s="58" t="s">
        <v>4481</v>
      </c>
      <c r="B3827" s="59">
        <v>399</v>
      </c>
      <c r="C3827" s="59">
        <v>892</v>
      </c>
      <c r="D3827" s="59" t="s">
        <v>801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ht="15.2" spans="1:10">
      <c r="A3828" s="58" t="s">
        <v>4482</v>
      </c>
      <c r="B3828" s="59">
        <v>938.4</v>
      </c>
      <c r="C3828" s="59">
        <v>1449</v>
      </c>
      <c r="D3828" s="59" t="s">
        <v>803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ht="15.2" spans="1:10">
      <c r="A3829" s="58" t="s">
        <v>4483</v>
      </c>
      <c r="B3829" s="59">
        <v>287</v>
      </c>
      <c r="C3829" s="59">
        <v>655</v>
      </c>
      <c r="D3829" s="59" t="s">
        <v>801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ht="15.2" spans="1:10">
      <c r="A3830" s="58" t="s">
        <v>4484</v>
      </c>
      <c r="B3830" s="59">
        <v>1313.5</v>
      </c>
      <c r="C3830" s="59">
        <v>1999</v>
      </c>
      <c r="D3830" s="59" t="s">
        <v>803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ht="15.2" spans="1:10">
      <c r="A3831" s="58" t="s">
        <v>4485</v>
      </c>
      <c r="B3831" s="59">
        <v>1236.91</v>
      </c>
      <c r="C3831" s="59">
        <v>2099</v>
      </c>
      <c r="D3831" s="59" t="s">
        <v>803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ht="15.2" spans="1:10">
      <c r="A3832" s="58" t="s">
        <v>4486</v>
      </c>
      <c r="B3832" s="59">
        <v>1707.76</v>
      </c>
      <c r="C3832" s="59">
        <v>2599</v>
      </c>
      <c r="D3832" s="59" t="s">
        <v>803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ht="15.2" spans="1:10">
      <c r="A3833" s="58" t="s">
        <v>4487</v>
      </c>
      <c r="B3833" s="59">
        <v>1576.34</v>
      </c>
      <c r="C3833" s="59">
        <v>2399</v>
      </c>
      <c r="D3833" s="59" t="s">
        <v>803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ht="15.2" spans="1:10">
      <c r="A3834" s="58" t="s">
        <v>4488</v>
      </c>
      <c r="B3834" s="59">
        <v>589</v>
      </c>
      <c r="C3834" s="59">
        <v>1315</v>
      </c>
      <c r="D3834" s="59" t="s">
        <v>801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ht="15.2" spans="1:10">
      <c r="A3835" s="58" t="s">
        <v>4489</v>
      </c>
      <c r="B3835" s="59">
        <v>1299</v>
      </c>
      <c r="C3835" s="59">
        <v>2728</v>
      </c>
      <c r="D3835" s="59" t="s">
        <v>801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ht="15.2" spans="1:10">
      <c r="A3836" s="58" t="s">
        <v>4490</v>
      </c>
      <c r="B3836" s="59">
        <v>676</v>
      </c>
      <c r="C3836" s="59">
        <v>1569</v>
      </c>
      <c r="D3836" s="59" t="s">
        <v>801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</v>
      </c>
      <c r="J3836" s="60">
        <f t="shared" si="180"/>
        <v>1255.2</v>
      </c>
    </row>
    <row r="3837" ht="15.2" spans="1:10">
      <c r="A3837" s="58" t="s">
        <v>4491</v>
      </c>
      <c r="B3837" s="59">
        <v>475</v>
      </c>
      <c r="C3837" s="59">
        <v>998</v>
      </c>
      <c r="D3837" s="59" t="s">
        <v>801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</v>
      </c>
    </row>
    <row r="3838" ht="15.2" spans="1:10">
      <c r="A3838" s="58" t="s">
        <v>4492</v>
      </c>
      <c r="B3838" s="59">
        <v>1335.11</v>
      </c>
      <c r="C3838" s="59">
        <v>2199</v>
      </c>
      <c r="D3838" s="59" t="s">
        <v>803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ht="15.2" spans="1:10">
      <c r="A3839" s="58" t="s">
        <v>4493</v>
      </c>
      <c r="B3839" s="59">
        <v>507</v>
      </c>
      <c r="C3839" s="59">
        <v>1122</v>
      </c>
      <c r="D3839" s="59" t="s">
        <v>801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</v>
      </c>
    </row>
    <row r="3840" ht="15.2" spans="1:10">
      <c r="A3840" s="58" t="s">
        <v>4494</v>
      </c>
      <c r="B3840" s="59">
        <v>1395.82</v>
      </c>
      <c r="C3840" s="59">
        <v>2299</v>
      </c>
      <c r="D3840" s="59" t="s">
        <v>803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ht="15.2" spans="1:10">
      <c r="A3841" s="58" t="s">
        <v>4495</v>
      </c>
      <c r="B3841" s="59">
        <v>1576.34</v>
      </c>
      <c r="C3841" s="59">
        <v>2399</v>
      </c>
      <c r="D3841" s="59" t="s">
        <v>803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ht="15.2" spans="1:10">
      <c r="A3842" s="58" t="s">
        <v>4496</v>
      </c>
      <c r="B3842" s="59">
        <v>1112.47</v>
      </c>
      <c r="C3842" s="59">
        <v>2099</v>
      </c>
      <c r="D3842" s="59" t="s">
        <v>803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ht="15.2" spans="1:10">
      <c r="A3843" s="58" t="s">
        <v>4497</v>
      </c>
      <c r="B3843" s="59">
        <v>1295.84</v>
      </c>
      <c r="C3843" s="59">
        <v>2199</v>
      </c>
      <c r="D3843" s="59" t="s">
        <v>803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2591.68</v>
      </c>
      <c r="J3843" s="60">
        <f t="shared" si="183"/>
        <v>4398</v>
      </c>
    </row>
    <row r="3844" ht="15.2" spans="1:10">
      <c r="A3844" s="58" t="s">
        <v>4498</v>
      </c>
      <c r="B3844" s="59">
        <v>1456.54</v>
      </c>
      <c r="C3844" s="59">
        <v>2399</v>
      </c>
      <c r="D3844" s="59" t="s">
        <v>803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ht="15.2" spans="1:10">
      <c r="A3845" s="58" t="s">
        <v>4499</v>
      </c>
      <c r="B3845" s="59">
        <v>940.46</v>
      </c>
      <c r="C3845" s="59">
        <v>1549</v>
      </c>
      <c r="D3845" s="59" t="s">
        <v>803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ht="15.2" spans="1:10">
      <c r="A3846" s="58" t="s">
        <v>4500</v>
      </c>
      <c r="B3846" s="59">
        <v>1576.34</v>
      </c>
      <c r="C3846" s="59">
        <v>2399</v>
      </c>
      <c r="D3846" s="59" t="s">
        <v>803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ht="15.2" spans="1:10">
      <c r="A3847" s="58" t="s">
        <v>4501</v>
      </c>
      <c r="B3847" s="59">
        <v>265</v>
      </c>
      <c r="C3847" s="59">
        <v>575</v>
      </c>
      <c r="D3847" s="59" t="s">
        <v>801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ht="15.2" spans="1:10">
      <c r="A3848" s="58" t="s">
        <v>4502</v>
      </c>
      <c r="B3848" s="59">
        <v>1576.34</v>
      </c>
      <c r="C3848" s="59">
        <v>2399</v>
      </c>
      <c r="D3848" s="59" t="s">
        <v>803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ht="15.2" spans="1:10">
      <c r="A3849" s="58" t="s">
        <v>4503</v>
      </c>
      <c r="B3849" s="59">
        <v>204</v>
      </c>
      <c r="C3849" s="59">
        <v>484</v>
      </c>
      <c r="D3849" s="59" t="s">
        <v>801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ht="15.2" spans="1:10">
      <c r="A3850" s="58" t="s">
        <v>4504</v>
      </c>
      <c r="B3850" s="59">
        <v>661</v>
      </c>
      <c r="C3850" s="59">
        <v>1382</v>
      </c>
      <c r="D3850" s="59" t="s">
        <v>801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ht="15.2" spans="1:10">
      <c r="A3851" s="58" t="s">
        <v>4505</v>
      </c>
      <c r="B3851" s="59">
        <v>1456.54</v>
      </c>
      <c r="C3851" s="59">
        <v>2399</v>
      </c>
      <c r="D3851" s="59" t="s">
        <v>803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ht="15.2" spans="1:10">
      <c r="A3852" s="58" t="s">
        <v>4506</v>
      </c>
      <c r="B3852" s="59">
        <v>510</v>
      </c>
      <c r="C3852" s="59">
        <v>1071</v>
      </c>
      <c r="D3852" s="59" t="s">
        <v>801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749.7</v>
      </c>
    </row>
    <row r="3853" ht="15.2" spans="1:10">
      <c r="A3853" s="58" t="s">
        <v>4507</v>
      </c>
      <c r="B3853" s="59">
        <v>517.45</v>
      </c>
      <c r="C3853" s="59">
        <v>799</v>
      </c>
      <c r="D3853" s="59" t="s">
        <v>803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</v>
      </c>
      <c r="J3853" s="60">
        <f t="shared" si="183"/>
        <v>799</v>
      </c>
    </row>
    <row r="3854" ht="15.2" spans="1:10">
      <c r="A3854" s="58" t="s">
        <v>4508</v>
      </c>
      <c r="B3854" s="59">
        <v>906.02</v>
      </c>
      <c r="C3854" s="59">
        <v>1399</v>
      </c>
      <c r="D3854" s="59" t="s">
        <v>803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ht="15.2" spans="1:10">
      <c r="A3855" s="58" t="s">
        <v>4509</v>
      </c>
      <c r="B3855" s="59">
        <v>1295.84</v>
      </c>
      <c r="C3855" s="59">
        <v>2199</v>
      </c>
      <c r="D3855" s="59" t="s">
        <v>803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1295.84</v>
      </c>
      <c r="J3855" s="60">
        <f t="shared" si="183"/>
        <v>2199</v>
      </c>
    </row>
    <row r="3856" ht="15.2" spans="1:10">
      <c r="A3856" s="58" t="s">
        <v>4510</v>
      </c>
      <c r="B3856" s="59">
        <v>425</v>
      </c>
      <c r="C3856" s="59">
        <v>1071</v>
      </c>
      <c r="D3856" s="59" t="s">
        <v>801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ht="15.2" spans="1:10">
      <c r="A3857" s="58" t="s">
        <v>4511</v>
      </c>
      <c r="B3857" s="59">
        <v>1444.92</v>
      </c>
      <c r="C3857" s="59">
        <v>2199</v>
      </c>
      <c r="D3857" s="59" t="s">
        <v>803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ht="15.2" spans="1:10">
      <c r="A3858" s="58" t="s">
        <v>4512</v>
      </c>
      <c r="B3858" s="59">
        <v>590.71</v>
      </c>
      <c r="C3858" s="59">
        <v>899</v>
      </c>
      <c r="D3858" s="59" t="s">
        <v>803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ht="15.2" spans="1:10">
      <c r="A3859" s="58" t="s">
        <v>4513</v>
      </c>
      <c r="B3859" s="59">
        <v>525</v>
      </c>
      <c r="C3859" s="59">
        <v>799</v>
      </c>
      <c r="D3859" s="59" t="s">
        <v>803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ht="15.2" spans="1:10">
      <c r="A3860" s="58" t="s">
        <v>4514</v>
      </c>
      <c r="B3860" s="59">
        <v>4124.41</v>
      </c>
      <c r="C3860" s="59">
        <v>6999</v>
      </c>
      <c r="D3860" s="59" t="s">
        <v>803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ht="15.2" spans="1:10">
      <c r="A3861" s="58" t="s">
        <v>4515</v>
      </c>
      <c r="B3861" s="59">
        <v>299</v>
      </c>
      <c r="C3861" s="59">
        <v>660</v>
      </c>
      <c r="D3861" s="59" t="s">
        <v>801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</v>
      </c>
      <c r="J3861" s="60">
        <f t="shared" si="183"/>
        <v>66</v>
      </c>
    </row>
    <row r="3862" ht="15.2" spans="1:10">
      <c r="A3862" s="58" t="s">
        <v>4516</v>
      </c>
      <c r="B3862" s="59">
        <v>260</v>
      </c>
      <c r="C3862" s="59">
        <v>683</v>
      </c>
      <c r="D3862" s="59" t="s">
        <v>801</v>
      </c>
      <c r="E3862" s="59">
        <v>8.2</v>
      </c>
      <c r="F3862" s="59">
        <v>8.2</v>
      </c>
      <c r="G3862" s="59">
        <v>0</v>
      </c>
      <c r="H3862" s="60">
        <f t="shared" si="181"/>
        <v>8.2</v>
      </c>
      <c r="I3862" s="60">
        <f t="shared" si="182"/>
        <v>2132</v>
      </c>
      <c r="J3862" s="60">
        <f t="shared" si="183"/>
        <v>5600.6</v>
      </c>
    </row>
    <row r="3863" ht="15.2" spans="1:10">
      <c r="A3863" s="58" t="s">
        <v>4517</v>
      </c>
      <c r="B3863" s="59">
        <v>1295.84</v>
      </c>
      <c r="C3863" s="59">
        <v>2199</v>
      </c>
      <c r="D3863" s="59" t="s">
        <v>803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1295.84</v>
      </c>
      <c r="J3863" s="60">
        <f t="shared" si="183"/>
        <v>2199</v>
      </c>
    </row>
    <row r="3864" ht="15.2" spans="1:10">
      <c r="A3864" s="58" t="s">
        <v>4518</v>
      </c>
      <c r="B3864" s="59">
        <v>1707.76</v>
      </c>
      <c r="C3864" s="59">
        <v>2599</v>
      </c>
      <c r="D3864" s="59" t="s">
        <v>803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ht="15.2" spans="1:10">
      <c r="A3865" s="58" t="s">
        <v>4519</v>
      </c>
      <c r="B3865" s="59">
        <v>599</v>
      </c>
      <c r="C3865" s="59">
        <v>1338</v>
      </c>
      <c r="D3865" s="59" t="s">
        <v>801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</v>
      </c>
      <c r="J3865" s="60">
        <f t="shared" si="183"/>
        <v>1404.9</v>
      </c>
    </row>
    <row r="3866" ht="15.2" spans="1:10">
      <c r="A3866" s="58" t="s">
        <v>4520</v>
      </c>
      <c r="B3866" s="59">
        <v>1642.05</v>
      </c>
      <c r="C3866" s="59">
        <v>2499</v>
      </c>
      <c r="D3866" s="59" t="s">
        <v>803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ht="15.2" spans="1:10">
      <c r="A3867" s="58" t="s">
        <v>4521</v>
      </c>
      <c r="B3867" s="59">
        <v>1354.77</v>
      </c>
      <c r="C3867" s="59">
        <v>2299</v>
      </c>
      <c r="D3867" s="59" t="s">
        <v>803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ht="15.2" spans="1:10">
      <c r="A3868" s="58" t="s">
        <v>320</v>
      </c>
      <c r="B3868" s="59">
        <v>661</v>
      </c>
      <c r="C3868" s="59">
        <v>1362</v>
      </c>
      <c r="D3868" s="59" t="s">
        <v>801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ht="15.2" spans="1:10">
      <c r="A3869" s="58" t="s">
        <v>4522</v>
      </c>
      <c r="B3869" s="59">
        <v>4856.54</v>
      </c>
      <c r="C3869" s="59">
        <v>7999</v>
      </c>
      <c r="D3869" s="59" t="s">
        <v>803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ht="15.2" spans="1:10">
      <c r="A3870" s="58" t="s">
        <v>4523</v>
      </c>
      <c r="B3870" s="59">
        <v>1030.08</v>
      </c>
      <c r="C3870" s="59">
        <v>1599</v>
      </c>
      <c r="D3870" s="59" t="s">
        <v>803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ht="15.2" spans="1:10">
      <c r="A3871" s="58" t="s">
        <v>4524</v>
      </c>
      <c r="B3871" s="59">
        <v>908.13</v>
      </c>
      <c r="C3871" s="59">
        <v>1399</v>
      </c>
      <c r="D3871" s="59" t="s">
        <v>803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ht="15.2" spans="1:10">
      <c r="A3872" s="58" t="s">
        <v>4525</v>
      </c>
      <c r="B3872" s="59">
        <v>4124.41</v>
      </c>
      <c r="C3872" s="59">
        <v>6999</v>
      </c>
      <c r="D3872" s="59" t="s">
        <v>803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ht="15.2" spans="1:10">
      <c r="A3873" s="58" t="s">
        <v>4526</v>
      </c>
      <c r="B3873" s="59">
        <v>970.78</v>
      </c>
      <c r="C3873" s="59">
        <v>1499</v>
      </c>
      <c r="D3873" s="59" t="s">
        <v>803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ht="15.2" spans="1:10">
      <c r="A3874" s="58" t="s">
        <v>4527</v>
      </c>
      <c r="B3874" s="59">
        <v>1213.68</v>
      </c>
      <c r="C3874" s="59">
        <v>1999</v>
      </c>
      <c r="D3874" s="59" t="s">
        <v>803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ht="15.2" spans="1:10">
      <c r="A3875" s="58" t="s">
        <v>4528</v>
      </c>
      <c r="B3875" s="59">
        <v>4249.39</v>
      </c>
      <c r="C3875" s="59">
        <v>6999</v>
      </c>
      <c r="D3875" s="59" t="s">
        <v>803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</v>
      </c>
      <c r="J3875" s="60">
        <f t="shared" si="183"/>
        <v>13998</v>
      </c>
    </row>
    <row r="3876" ht="15.2" spans="1:10">
      <c r="A3876" s="58" t="s">
        <v>4529</v>
      </c>
      <c r="B3876" s="59">
        <v>656.42</v>
      </c>
      <c r="C3876" s="59">
        <v>999</v>
      </c>
      <c r="D3876" s="59" t="s">
        <v>803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ht="15.2" spans="1:10">
      <c r="A3877" s="58" t="s">
        <v>4530</v>
      </c>
      <c r="B3877" s="59">
        <v>984.96</v>
      </c>
      <c r="C3877" s="59">
        <v>1499</v>
      </c>
      <c r="D3877" s="59" t="s">
        <v>803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ht="15.2" spans="1:10">
      <c r="A3878" s="58" t="s">
        <v>4531</v>
      </c>
      <c r="B3878" s="59">
        <v>1456.54</v>
      </c>
      <c r="C3878" s="59">
        <v>2399</v>
      </c>
      <c r="D3878" s="59" t="s">
        <v>803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ht="15.2" spans="1:10">
      <c r="A3879" s="58" t="s">
        <v>4532</v>
      </c>
      <c r="B3879" s="59">
        <v>1274.39</v>
      </c>
      <c r="C3879" s="59">
        <v>2099</v>
      </c>
      <c r="D3879" s="59" t="s">
        <v>803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ht="15.2" spans="1:10">
      <c r="A3880" s="58" t="s">
        <v>4533</v>
      </c>
      <c r="B3880" s="59">
        <v>1760.11</v>
      </c>
      <c r="C3880" s="59">
        <v>2899</v>
      </c>
      <c r="D3880" s="59" t="s">
        <v>803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ht="15.2" spans="1:10">
      <c r="A3881" s="58" t="s">
        <v>4534</v>
      </c>
      <c r="B3881" s="59">
        <v>5463.68</v>
      </c>
      <c r="C3881" s="59">
        <v>8999</v>
      </c>
      <c r="D3881" s="59" t="s">
        <v>803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ht="15.2" spans="1:10">
      <c r="A3882" s="58" t="s">
        <v>4535</v>
      </c>
      <c r="B3882" s="59">
        <v>677</v>
      </c>
      <c r="C3882" s="59">
        <v>1495</v>
      </c>
      <c r="D3882" s="59" t="s">
        <v>801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ht="15.2" spans="1:10">
      <c r="A3883" s="58" t="s">
        <v>4536</v>
      </c>
      <c r="B3883" s="59">
        <v>270</v>
      </c>
      <c r="C3883" s="59">
        <v>588</v>
      </c>
      <c r="D3883" s="59" t="s">
        <v>801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ht="15.2" spans="1:10">
      <c r="A3884" s="58" t="s">
        <v>4537</v>
      </c>
      <c r="B3884" s="59">
        <v>1383</v>
      </c>
      <c r="C3884" s="59">
        <v>3549</v>
      </c>
      <c r="D3884" s="59" t="s">
        <v>801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2281.95</v>
      </c>
      <c r="J3884" s="60">
        <f t="shared" si="183"/>
        <v>5855.85</v>
      </c>
    </row>
    <row r="3885" ht="15.2" spans="1:10">
      <c r="A3885" s="58" t="s">
        <v>4538</v>
      </c>
      <c r="B3885" s="59">
        <v>2002.96</v>
      </c>
      <c r="C3885" s="59">
        <v>3299</v>
      </c>
      <c r="D3885" s="59" t="s">
        <v>803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ht="15.2" spans="1:10">
      <c r="A3886" s="58" t="s">
        <v>4539</v>
      </c>
      <c r="B3886" s="59">
        <v>1335.11</v>
      </c>
      <c r="C3886" s="59">
        <v>2199</v>
      </c>
      <c r="D3886" s="59" t="s">
        <v>803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ht="15.2" spans="1:10">
      <c r="A3887" s="58" t="s">
        <v>4540</v>
      </c>
      <c r="B3887" s="59">
        <v>296</v>
      </c>
      <c r="C3887" s="59">
        <v>638</v>
      </c>
      <c r="D3887" s="59" t="s">
        <v>801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</v>
      </c>
    </row>
    <row r="3888" ht="15.2" spans="1:10">
      <c r="A3888" s="58" t="s">
        <v>4541</v>
      </c>
      <c r="B3888" s="59">
        <v>1177.98</v>
      </c>
      <c r="C3888" s="59">
        <v>1999</v>
      </c>
      <c r="D3888" s="59" t="s">
        <v>803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ht="15.2" spans="1:10">
      <c r="A3889" s="58" t="s">
        <v>4542</v>
      </c>
      <c r="B3889" s="59">
        <v>350.58</v>
      </c>
      <c r="C3889" s="59">
        <v>698</v>
      </c>
      <c r="D3889" s="59" t="s">
        <v>801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3190.278</v>
      </c>
      <c r="J3889" s="60">
        <f t="shared" si="183"/>
        <v>6351.8</v>
      </c>
    </row>
    <row r="3890" ht="15.2" spans="1:10">
      <c r="A3890" s="58" t="s">
        <v>4543</v>
      </c>
      <c r="B3890" s="59">
        <v>1456.54</v>
      </c>
      <c r="C3890" s="59">
        <v>2399</v>
      </c>
      <c r="D3890" s="59" t="s">
        <v>803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ht="15.2" spans="1:10">
      <c r="A3891" s="58" t="s">
        <v>4544</v>
      </c>
      <c r="B3891" s="59">
        <v>744.11</v>
      </c>
      <c r="C3891" s="59">
        <v>1149</v>
      </c>
      <c r="D3891" s="59" t="s">
        <v>803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ht="15.2" spans="1:10">
      <c r="A3892" s="58" t="s">
        <v>4545</v>
      </c>
      <c r="B3892" s="59">
        <v>1472.63</v>
      </c>
      <c r="C3892" s="59">
        <v>2499</v>
      </c>
      <c r="D3892" s="59" t="s">
        <v>803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ht="15.2" spans="1:10">
      <c r="A3893" s="58" t="s">
        <v>4546</v>
      </c>
      <c r="B3893" s="59">
        <v>242</v>
      </c>
      <c r="C3893" s="59">
        <v>541</v>
      </c>
      <c r="D3893" s="59" t="s">
        <v>801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</v>
      </c>
      <c r="J3893" s="60">
        <f t="shared" si="183"/>
        <v>108.2</v>
      </c>
    </row>
    <row r="3894" ht="15.2" spans="1:10">
      <c r="A3894" s="58" t="s">
        <v>4547</v>
      </c>
      <c r="B3894" s="59">
        <v>599</v>
      </c>
      <c r="C3894" s="59">
        <v>1338</v>
      </c>
      <c r="D3894" s="59" t="s">
        <v>801</v>
      </c>
      <c r="E3894" s="59">
        <v>4.6</v>
      </c>
      <c r="F3894" s="59">
        <v>4.6</v>
      </c>
      <c r="G3894" s="59">
        <v>0</v>
      </c>
      <c r="H3894" s="60">
        <f t="shared" si="184"/>
        <v>4.6</v>
      </c>
      <c r="I3894" s="60">
        <f t="shared" si="182"/>
        <v>2755.4</v>
      </c>
      <c r="J3894" s="60">
        <f t="shared" si="183"/>
        <v>6154.8</v>
      </c>
    </row>
    <row r="3895" ht="15.2" spans="1:10">
      <c r="A3895" s="58" t="s">
        <v>4548</v>
      </c>
      <c r="B3895" s="59">
        <v>355</v>
      </c>
      <c r="C3895" s="59">
        <v>746</v>
      </c>
      <c r="D3895" s="59" t="s">
        <v>801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</v>
      </c>
    </row>
    <row r="3896" ht="15.2" spans="1:10">
      <c r="A3896" s="58" t="s">
        <v>4549</v>
      </c>
      <c r="B3896" s="59">
        <v>940.46</v>
      </c>
      <c r="C3896" s="59">
        <v>1549</v>
      </c>
      <c r="D3896" s="59" t="s">
        <v>803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ht="15.2" spans="1:10">
      <c r="A3897" s="58" t="s">
        <v>107</v>
      </c>
      <c r="B3897" s="59">
        <v>559.3</v>
      </c>
      <c r="C3897" s="59">
        <v>1678</v>
      </c>
      <c r="D3897" s="59" t="s">
        <v>801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ht="15.2" spans="1:10">
      <c r="A3898" s="58" t="s">
        <v>37</v>
      </c>
      <c r="B3898" s="59">
        <v>515</v>
      </c>
      <c r="C3898" s="59">
        <v>1271</v>
      </c>
      <c r="D3898" s="59" t="s">
        <v>801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</v>
      </c>
    </row>
    <row r="3899" ht="15.2" spans="1:10">
      <c r="A3899" s="58" t="s">
        <v>4550</v>
      </c>
      <c r="B3899" s="59">
        <v>509</v>
      </c>
      <c r="C3899" s="59">
        <v>1101</v>
      </c>
      <c r="D3899" s="59" t="s">
        <v>801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ht="15.2" spans="1:10">
      <c r="A3900" s="58" t="s">
        <v>4551</v>
      </c>
      <c r="B3900" s="59">
        <v>1116.38</v>
      </c>
      <c r="C3900" s="59">
        <v>1699</v>
      </c>
      <c r="D3900" s="59" t="s">
        <v>803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</v>
      </c>
      <c r="J3900" s="60">
        <f t="shared" si="183"/>
        <v>3398</v>
      </c>
    </row>
    <row r="3901" ht="15.2" spans="1:10">
      <c r="A3901" s="58" t="s">
        <v>4552</v>
      </c>
      <c r="B3901" s="59">
        <v>1517.25</v>
      </c>
      <c r="C3901" s="59">
        <v>2499</v>
      </c>
      <c r="D3901" s="59" t="s">
        <v>803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ht="15.2" spans="1:10">
      <c r="A3902" s="58" t="s">
        <v>4553</v>
      </c>
      <c r="B3902" s="59">
        <v>1247.8</v>
      </c>
      <c r="C3902" s="59">
        <v>1899</v>
      </c>
      <c r="D3902" s="59" t="s">
        <v>803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ht="15.2" spans="1:10">
      <c r="A3903" s="58" t="s">
        <v>4554</v>
      </c>
      <c r="B3903" s="59">
        <v>970.78</v>
      </c>
      <c r="C3903" s="59">
        <v>1499</v>
      </c>
      <c r="D3903" s="59" t="s">
        <v>803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ht="15.2" spans="1:10">
      <c r="A3904" s="58" t="s">
        <v>4555</v>
      </c>
      <c r="B3904" s="59">
        <v>1287.76</v>
      </c>
      <c r="C3904" s="59">
        <v>1999</v>
      </c>
      <c r="D3904" s="59" t="s">
        <v>803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ht="15.2" spans="1:10">
      <c r="A3905" s="58" t="s">
        <v>4556</v>
      </c>
      <c r="B3905" s="59">
        <v>1395.82</v>
      </c>
      <c r="C3905" s="59">
        <v>2299</v>
      </c>
      <c r="D3905" s="59" t="s">
        <v>803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ht="15.2" spans="1:10">
      <c r="A3906" s="58" t="s">
        <v>4557</v>
      </c>
      <c r="B3906" s="59">
        <v>970.78</v>
      </c>
      <c r="C3906" s="59">
        <v>1499</v>
      </c>
      <c r="D3906" s="59" t="s">
        <v>803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ht="15.2" spans="1:10">
      <c r="A3907" s="58" t="s">
        <v>4558</v>
      </c>
      <c r="B3907" s="59">
        <v>1119.05</v>
      </c>
      <c r="C3907" s="59">
        <v>1899</v>
      </c>
      <c r="D3907" s="59" t="s">
        <v>803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ht="15.2" spans="1:10">
      <c r="A3908" s="58" t="s">
        <v>4559</v>
      </c>
      <c r="B3908" s="59">
        <v>1379.21</v>
      </c>
      <c r="C3908" s="59">
        <v>2099</v>
      </c>
      <c r="D3908" s="59" t="s">
        <v>803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ht="15.2" spans="1:10">
      <c r="A3909" s="58" t="s">
        <v>4560</v>
      </c>
      <c r="B3909" s="59">
        <v>1274.39</v>
      </c>
      <c r="C3909" s="59">
        <v>2099</v>
      </c>
      <c r="D3909" s="59" t="s">
        <v>803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ht="15.2" spans="1:10">
      <c r="A3910" s="58" t="s">
        <v>4561</v>
      </c>
      <c r="B3910" s="59">
        <v>484</v>
      </c>
      <c r="C3910" s="59">
        <v>1057</v>
      </c>
      <c r="D3910" s="59" t="s">
        <v>801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</v>
      </c>
      <c r="J3910" s="60">
        <f t="shared" si="186"/>
        <v>8350.3</v>
      </c>
    </row>
    <row r="3911" ht="15.2" spans="1:10">
      <c r="A3911" s="58" t="s">
        <v>4562</v>
      </c>
      <c r="B3911" s="59">
        <v>1738.7</v>
      </c>
      <c r="C3911" s="59">
        <v>2699</v>
      </c>
      <c r="D3911" s="59" t="s">
        <v>803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ht="15.2" spans="1:10">
      <c r="A3912" s="58" t="s">
        <v>4563</v>
      </c>
      <c r="B3912" s="59">
        <v>290.78</v>
      </c>
      <c r="C3912" s="59">
        <v>449</v>
      </c>
      <c r="D3912" s="59" t="s">
        <v>803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290.78</v>
      </c>
      <c r="J3912" s="60">
        <f t="shared" si="186"/>
        <v>449</v>
      </c>
    </row>
    <row r="3913" ht="15.2" spans="1:10">
      <c r="A3913" s="58" t="s">
        <v>56</v>
      </c>
      <c r="B3913" s="59">
        <v>323</v>
      </c>
      <c r="C3913" s="59">
        <v>795</v>
      </c>
      <c r="D3913" s="59" t="s">
        <v>801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ht="15.2" spans="1:10">
      <c r="A3914" s="58" t="s">
        <v>4564</v>
      </c>
      <c r="B3914" s="59">
        <v>1699.39</v>
      </c>
      <c r="C3914" s="59">
        <v>2799</v>
      </c>
      <c r="D3914" s="59" t="s">
        <v>803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ht="15.2" spans="1:10">
      <c r="A3915" s="58" t="s">
        <v>4565</v>
      </c>
      <c r="B3915" s="59">
        <v>970.78</v>
      </c>
      <c r="C3915" s="59">
        <v>1499</v>
      </c>
      <c r="D3915" s="59" t="s">
        <v>803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ht="15.2" spans="1:10">
      <c r="A3916" s="58" t="s">
        <v>4566</v>
      </c>
      <c r="B3916" s="59">
        <v>1517.25</v>
      </c>
      <c r="C3916" s="59">
        <v>2499</v>
      </c>
      <c r="D3916" s="59" t="s">
        <v>803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ht="15.2" spans="1:10">
      <c r="A3917" s="58" t="s">
        <v>4567</v>
      </c>
      <c r="B3917" s="59">
        <v>1820.82</v>
      </c>
      <c r="C3917" s="59">
        <v>2999</v>
      </c>
      <c r="D3917" s="59" t="s">
        <v>803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ht="15.2" spans="1:10">
      <c r="A3918" s="58" t="s">
        <v>4568</v>
      </c>
      <c r="B3918" s="59">
        <v>1213.68</v>
      </c>
      <c r="C3918" s="59">
        <v>1999</v>
      </c>
      <c r="D3918" s="59" t="s">
        <v>803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ht="15.2" spans="1:10">
      <c r="A3919" s="58" t="s">
        <v>4569</v>
      </c>
      <c r="B3919" s="59">
        <v>1472.63</v>
      </c>
      <c r="C3919" s="59">
        <v>2499</v>
      </c>
      <c r="D3919" s="59" t="s">
        <v>803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ht="15.2" spans="1:10">
      <c r="A3920" s="58" t="s">
        <v>4570</v>
      </c>
      <c r="B3920" s="59">
        <v>1545.44</v>
      </c>
      <c r="C3920" s="59">
        <v>2399</v>
      </c>
      <c r="D3920" s="59" t="s">
        <v>803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ht="15.2" spans="1:10">
      <c r="A3921" s="58" t="s">
        <v>4571</v>
      </c>
      <c r="B3921" s="59">
        <v>1354.77</v>
      </c>
      <c r="C3921" s="59">
        <v>2299</v>
      </c>
      <c r="D3921" s="59" t="s">
        <v>803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ht="15.2" spans="1:10">
      <c r="A3922" s="58" t="s">
        <v>4572</v>
      </c>
      <c r="B3922" s="59">
        <v>1444.92</v>
      </c>
      <c r="C3922" s="59">
        <v>2199</v>
      </c>
      <c r="D3922" s="59" t="s">
        <v>803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ht="15.2" spans="1:10">
      <c r="A3923" s="58" t="s">
        <v>4573</v>
      </c>
      <c r="B3923" s="59">
        <v>1119.05</v>
      </c>
      <c r="C3923" s="59">
        <v>1899</v>
      </c>
      <c r="D3923" s="59" t="s">
        <v>803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ht="15.2" spans="1:10">
      <c r="A3924" s="58" t="s">
        <v>4574</v>
      </c>
      <c r="B3924" s="59">
        <v>1177.98</v>
      </c>
      <c r="C3924" s="59">
        <v>1999</v>
      </c>
      <c r="D3924" s="59" t="s">
        <v>803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ht="15.2" spans="1:10">
      <c r="A3925" s="58" t="s">
        <v>4575</v>
      </c>
      <c r="B3925" s="59">
        <v>970.78</v>
      </c>
      <c r="C3925" s="59">
        <v>1499</v>
      </c>
      <c r="D3925" s="59" t="s">
        <v>803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ht="15.2" spans="1:10">
      <c r="A3926" s="58" t="s">
        <v>4576</v>
      </c>
      <c r="B3926" s="59">
        <v>1456.54</v>
      </c>
      <c r="C3926" s="59">
        <v>2399</v>
      </c>
      <c r="D3926" s="59" t="s">
        <v>803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ht="15.2" spans="1:10">
      <c r="A3927" s="58" t="s">
        <v>4577</v>
      </c>
      <c r="B3927" s="59">
        <v>970.78</v>
      </c>
      <c r="C3927" s="59">
        <v>1499</v>
      </c>
      <c r="D3927" s="59" t="s">
        <v>803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ht="15.2" spans="1:10">
      <c r="A3928" s="58" t="s">
        <v>4578</v>
      </c>
      <c r="B3928" s="59">
        <v>1177.98</v>
      </c>
      <c r="C3928" s="59">
        <v>1999</v>
      </c>
      <c r="D3928" s="59" t="s">
        <v>803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ht="15.2" spans="1:10">
      <c r="A3929" s="58" t="s">
        <v>4579</v>
      </c>
      <c r="B3929" s="59">
        <v>699</v>
      </c>
      <c r="C3929" s="59">
        <v>1468</v>
      </c>
      <c r="D3929" s="59" t="s">
        <v>801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ht="15.2" spans="1:10">
      <c r="A3930" s="58" t="s">
        <v>4580</v>
      </c>
      <c r="B3930" s="59">
        <v>349</v>
      </c>
      <c r="C3930" s="59">
        <v>770</v>
      </c>
      <c r="D3930" s="59" t="s">
        <v>801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ht="15.2" spans="1:10">
      <c r="A3931" s="58" t="s">
        <v>4581</v>
      </c>
      <c r="B3931" s="59">
        <v>374</v>
      </c>
      <c r="C3931" s="59">
        <v>803</v>
      </c>
      <c r="D3931" s="59" t="s">
        <v>801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ht="15.2" spans="1:10">
      <c r="A3932" s="58" t="s">
        <v>4582</v>
      </c>
      <c r="B3932" s="59">
        <v>396</v>
      </c>
      <c r="C3932" s="59">
        <v>924</v>
      </c>
      <c r="D3932" s="59" t="s">
        <v>801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ht="15.2" spans="1:10">
      <c r="A3933" s="58" t="s">
        <v>4583</v>
      </c>
      <c r="B3933" s="59">
        <v>8499.39</v>
      </c>
      <c r="C3933" s="59">
        <v>13999</v>
      </c>
      <c r="D3933" s="59" t="s">
        <v>803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ht="15.2" spans="1:10">
      <c r="A3934" s="58" t="s">
        <v>4584</v>
      </c>
      <c r="B3934" s="59">
        <v>1577.96</v>
      </c>
      <c r="C3934" s="59">
        <v>2599</v>
      </c>
      <c r="D3934" s="59" t="s">
        <v>803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ht="15.2" spans="1:10">
      <c r="A3935" s="58" t="s">
        <v>4585</v>
      </c>
      <c r="B3935" s="59">
        <v>2102</v>
      </c>
      <c r="C3935" s="59">
        <v>3199</v>
      </c>
      <c r="D3935" s="59" t="s">
        <v>803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ht="15.2" spans="1:10">
      <c r="A3936" s="58" t="s">
        <v>4586</v>
      </c>
      <c r="B3936" s="59">
        <v>1649.41</v>
      </c>
      <c r="C3936" s="59">
        <v>2799</v>
      </c>
      <c r="D3936" s="59" t="s">
        <v>803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ht="15.2" spans="1:10">
      <c r="A3937" s="58" t="s">
        <v>4587</v>
      </c>
      <c r="B3937" s="59">
        <v>901.24</v>
      </c>
      <c r="C3937" s="59">
        <v>1399</v>
      </c>
      <c r="D3937" s="59" t="s">
        <v>803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ht="15.2" spans="1:10">
      <c r="A3938" s="58" t="s">
        <v>4588</v>
      </c>
      <c r="B3938" s="59">
        <v>1287.76</v>
      </c>
      <c r="C3938" s="59">
        <v>1999</v>
      </c>
      <c r="D3938" s="59" t="s">
        <v>803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ht="15.2" spans="1:10">
      <c r="A3939" s="58" t="s">
        <v>4589</v>
      </c>
      <c r="B3939" s="59">
        <v>386</v>
      </c>
      <c r="C3939" s="59">
        <v>919</v>
      </c>
      <c r="D3939" s="59" t="s">
        <v>801</v>
      </c>
      <c r="E3939" s="59">
        <v>2.05</v>
      </c>
      <c r="F3939" s="59">
        <v>2.05</v>
      </c>
      <c r="G3939" s="59">
        <v>0</v>
      </c>
      <c r="H3939" s="60">
        <f t="shared" si="187"/>
        <v>2.05</v>
      </c>
      <c r="I3939" s="60">
        <f t="shared" si="185"/>
        <v>791.3</v>
      </c>
      <c r="J3939" s="60">
        <f t="shared" si="186"/>
        <v>1883.95</v>
      </c>
    </row>
    <row r="3940" ht="15.2" spans="1:10">
      <c r="A3940" s="58" t="s">
        <v>4590</v>
      </c>
      <c r="B3940" s="59">
        <v>1128</v>
      </c>
      <c r="C3940" s="59">
        <v>2492</v>
      </c>
      <c r="D3940" s="59" t="s">
        <v>801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ht="15.2" spans="1:10">
      <c r="A3941" s="58" t="s">
        <v>4591</v>
      </c>
      <c r="B3941" s="59">
        <v>224</v>
      </c>
      <c r="C3941" s="59">
        <v>460</v>
      </c>
      <c r="D3941" s="59" t="s">
        <v>801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ht="15.2" spans="1:10">
      <c r="A3942" s="58" t="s">
        <v>4592</v>
      </c>
      <c r="B3942" s="59">
        <v>312</v>
      </c>
      <c r="C3942" s="59">
        <v>735</v>
      </c>
      <c r="D3942" s="59" t="s">
        <v>801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ht="15.2" spans="1:10">
      <c r="A3943" s="58" t="s">
        <v>4593</v>
      </c>
      <c r="B3943" s="59">
        <v>910.24</v>
      </c>
      <c r="C3943" s="59">
        <v>1399</v>
      </c>
      <c r="D3943" s="59" t="s">
        <v>803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ht="15.2" spans="1:10">
      <c r="A3944" s="58" t="s">
        <v>4594</v>
      </c>
      <c r="B3944" s="59">
        <v>1213.68</v>
      </c>
      <c r="C3944" s="59">
        <v>1999</v>
      </c>
      <c r="D3944" s="59" t="s">
        <v>803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ht="15.2" spans="1:10">
      <c r="A3945" s="58" t="s">
        <v>4595</v>
      </c>
      <c r="B3945" s="59">
        <v>906.75</v>
      </c>
      <c r="C3945" s="59">
        <v>1399</v>
      </c>
      <c r="D3945" s="59" t="s">
        <v>803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ht="15.2" spans="1:10">
      <c r="A3946" s="58" t="s">
        <v>4596</v>
      </c>
      <c r="B3946" s="59">
        <v>1803.12</v>
      </c>
      <c r="C3946" s="59">
        <v>2799</v>
      </c>
      <c r="D3946" s="59" t="s">
        <v>803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ht="15.2" spans="1:10">
      <c r="A3947" s="58" t="s">
        <v>4597</v>
      </c>
      <c r="B3947" s="59">
        <v>1299</v>
      </c>
      <c r="C3947" s="59">
        <v>2947</v>
      </c>
      <c r="D3947" s="59" t="s">
        <v>801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ht="15.2" spans="1:10">
      <c r="A3948" s="58" t="s">
        <v>4598</v>
      </c>
      <c r="B3948" s="59">
        <v>1456.54</v>
      </c>
      <c r="C3948" s="59">
        <v>2399</v>
      </c>
      <c r="D3948" s="59" t="s">
        <v>803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ht="15.2" spans="1:10">
      <c r="A3949" s="58" t="s">
        <v>4599</v>
      </c>
      <c r="B3949" s="59">
        <v>354</v>
      </c>
      <c r="C3949" s="59">
        <v>843</v>
      </c>
      <c r="D3949" s="59" t="s">
        <v>801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ht="15.2" spans="1:10">
      <c r="A3950" s="58" t="s">
        <v>4600</v>
      </c>
      <c r="B3950" s="59">
        <v>1092.25</v>
      </c>
      <c r="C3950" s="59">
        <v>1799</v>
      </c>
      <c r="D3950" s="59" t="s">
        <v>803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ht="15.2" spans="1:10">
      <c r="A3951" s="58" t="s">
        <v>4601</v>
      </c>
      <c r="B3951" s="59">
        <v>1274.4</v>
      </c>
      <c r="C3951" s="59">
        <v>2099</v>
      </c>
      <c r="D3951" s="59" t="s">
        <v>803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</v>
      </c>
      <c r="J3951" s="60">
        <f t="shared" si="186"/>
        <v>2099</v>
      </c>
    </row>
    <row r="3952" ht="15.2" spans="1:10">
      <c r="A3952" s="58" t="s">
        <v>4602</v>
      </c>
      <c r="B3952" s="59">
        <v>313.74</v>
      </c>
      <c r="C3952" s="59">
        <v>660</v>
      </c>
      <c r="D3952" s="59" t="s">
        <v>801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</v>
      </c>
      <c r="J3952" s="60">
        <f t="shared" si="186"/>
        <v>8514</v>
      </c>
    </row>
    <row r="3953" ht="15.2" spans="1:10">
      <c r="A3953" s="58" t="s">
        <v>4603</v>
      </c>
      <c r="B3953" s="59">
        <v>1354.77</v>
      </c>
      <c r="C3953" s="59">
        <v>2299</v>
      </c>
      <c r="D3953" s="59" t="s">
        <v>803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ht="15.2" spans="1:10">
      <c r="A3954" s="58" t="s">
        <v>154</v>
      </c>
      <c r="B3954" s="59">
        <v>464</v>
      </c>
      <c r="C3954" s="59">
        <v>1099</v>
      </c>
      <c r="D3954" s="59" t="s">
        <v>801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3758.4</v>
      </c>
      <c r="J3954" s="60">
        <f t="shared" si="186"/>
        <v>8901.9</v>
      </c>
    </row>
    <row r="3955" ht="15.2" spans="1:10">
      <c r="A3955" s="58" t="s">
        <v>4604</v>
      </c>
      <c r="B3955" s="59">
        <v>919</v>
      </c>
      <c r="C3955" s="59">
        <v>1</v>
      </c>
      <c r="D3955" s="59" t="s">
        <v>815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ht="15.2" spans="1:10">
      <c r="A3956" s="58" t="s">
        <v>4605</v>
      </c>
      <c r="B3956" s="59">
        <v>608</v>
      </c>
      <c r="C3956" s="59">
        <v>1347</v>
      </c>
      <c r="D3956" s="59" t="s">
        <v>801</v>
      </c>
      <c r="E3956" s="59">
        <v>1.15</v>
      </c>
      <c r="F3956" s="59">
        <v>1.15</v>
      </c>
      <c r="G3956" s="59">
        <v>0</v>
      </c>
      <c r="H3956" s="60">
        <f t="shared" si="187"/>
        <v>1.15</v>
      </c>
      <c r="I3956" s="60">
        <f t="shared" si="185"/>
        <v>699.2</v>
      </c>
      <c r="J3956" s="60">
        <f t="shared" si="186"/>
        <v>1549.05</v>
      </c>
    </row>
    <row r="3957" ht="15.2" spans="1:10">
      <c r="A3957" s="58" t="s">
        <v>4606</v>
      </c>
      <c r="B3957" s="59">
        <v>374</v>
      </c>
      <c r="C3957" s="59">
        <v>891</v>
      </c>
      <c r="D3957" s="59" t="s">
        <v>801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ht="15.2" spans="1:10">
      <c r="A3958" s="58" t="s">
        <v>4607</v>
      </c>
      <c r="B3958" s="59">
        <v>693</v>
      </c>
      <c r="C3958" s="59">
        <v>1575</v>
      </c>
      <c r="D3958" s="59" t="s">
        <v>801</v>
      </c>
      <c r="E3958" s="59">
        <v>0.55</v>
      </c>
      <c r="F3958" s="59">
        <v>0.55</v>
      </c>
      <c r="G3958" s="59">
        <v>0</v>
      </c>
      <c r="H3958" s="60">
        <f t="shared" si="187"/>
        <v>0.55</v>
      </c>
      <c r="I3958" s="60">
        <f t="shared" si="185"/>
        <v>381.15</v>
      </c>
      <c r="J3958" s="60">
        <f t="shared" si="186"/>
        <v>866.25</v>
      </c>
    </row>
    <row r="3959" ht="15.2" spans="1:10">
      <c r="A3959" s="58" t="s">
        <v>4608</v>
      </c>
      <c r="B3959" s="59">
        <v>374</v>
      </c>
      <c r="C3959" s="59">
        <v>943</v>
      </c>
      <c r="D3959" s="59" t="s">
        <v>801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ht="15.2" spans="1:10">
      <c r="A3960" s="58" t="s">
        <v>4609</v>
      </c>
      <c r="B3960" s="59">
        <v>509</v>
      </c>
      <c r="C3960" s="59">
        <v>1101</v>
      </c>
      <c r="D3960" s="59" t="s">
        <v>801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</v>
      </c>
      <c r="J3960" s="60">
        <f t="shared" si="186"/>
        <v>15193.8</v>
      </c>
    </row>
    <row r="3961" ht="15.2" spans="1:10">
      <c r="A3961" s="58" t="s">
        <v>4610</v>
      </c>
      <c r="B3961" s="59">
        <v>646.97</v>
      </c>
      <c r="C3961" s="59">
        <v>999</v>
      </c>
      <c r="D3961" s="59" t="s">
        <v>803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ht="15.2" spans="1:10">
      <c r="A3962" s="58" t="s">
        <v>4611</v>
      </c>
      <c r="B3962" s="59">
        <v>1510.63</v>
      </c>
      <c r="C3962" s="59">
        <v>2299</v>
      </c>
      <c r="D3962" s="59" t="s">
        <v>803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ht="15.2" spans="1:10">
      <c r="A3963" s="58" t="s">
        <v>4612</v>
      </c>
      <c r="B3963" s="59">
        <v>984.96</v>
      </c>
      <c r="C3963" s="59">
        <v>1499</v>
      </c>
      <c r="D3963" s="59" t="s">
        <v>803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ht="15.2" spans="1:10">
      <c r="A3964" s="58" t="s">
        <v>4613</v>
      </c>
      <c r="B3964" s="59">
        <v>292</v>
      </c>
      <c r="C3964" s="59">
        <v>690</v>
      </c>
      <c r="D3964" s="59" t="s">
        <v>801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ht="15.2" spans="1:10">
      <c r="A3965" s="58" t="s">
        <v>4614</v>
      </c>
      <c r="B3965" s="59">
        <v>2399.2</v>
      </c>
      <c r="C3965" s="59">
        <v>7659</v>
      </c>
      <c r="D3965" s="59" t="s">
        <v>801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ht="15.2" spans="1:10">
      <c r="A3966" s="58" t="s">
        <v>4615</v>
      </c>
      <c r="B3966" s="59">
        <v>1274.39</v>
      </c>
      <c r="C3966" s="59">
        <v>2099</v>
      </c>
      <c r="D3966" s="59" t="s">
        <v>803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</v>
      </c>
      <c r="J3966" s="60">
        <f t="shared" si="186"/>
        <v>2099</v>
      </c>
    </row>
    <row r="3967" ht="15.2" spans="1:10">
      <c r="A3967" s="58" t="s">
        <v>4616</v>
      </c>
      <c r="B3967" s="59">
        <v>295.02</v>
      </c>
      <c r="C3967" s="59">
        <v>449</v>
      </c>
      <c r="D3967" s="59" t="s">
        <v>803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ht="15.2" spans="1:10">
      <c r="A3968" s="58" t="s">
        <v>4617</v>
      </c>
      <c r="B3968" s="59">
        <v>409</v>
      </c>
      <c r="C3968" s="59">
        <v>1032</v>
      </c>
      <c r="D3968" s="59" t="s">
        <v>801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ht="15.2" spans="1:10">
      <c r="A3969" s="58" t="s">
        <v>4618</v>
      </c>
      <c r="B3969" s="59">
        <v>1094.5</v>
      </c>
      <c r="C3969" s="59">
        <v>1699</v>
      </c>
      <c r="D3969" s="59" t="s">
        <v>803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ht="15.2" spans="1:10">
      <c r="A3970" s="58" t="s">
        <v>4619</v>
      </c>
      <c r="B3970" s="59">
        <v>1379.21</v>
      </c>
      <c r="C3970" s="59">
        <v>2099</v>
      </c>
      <c r="D3970" s="59" t="s">
        <v>803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ht="15.2" spans="1:10">
      <c r="A3971" s="58" t="s">
        <v>4620</v>
      </c>
      <c r="B3971" s="59">
        <v>1517.25</v>
      </c>
      <c r="C3971" s="59">
        <v>2499</v>
      </c>
      <c r="D3971" s="59" t="s">
        <v>803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ht="15.2" spans="1:10">
      <c r="A3972" s="58" t="s">
        <v>4621</v>
      </c>
      <c r="B3972" s="59">
        <v>907.24</v>
      </c>
      <c r="C3972" s="59">
        <v>1399</v>
      </c>
      <c r="D3972" s="59" t="s">
        <v>803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ht="15.2" spans="1:10">
      <c r="A3973" s="58" t="s">
        <v>4622</v>
      </c>
      <c r="B3973" s="59">
        <v>1092.25</v>
      </c>
      <c r="C3973" s="59">
        <v>1799</v>
      </c>
      <c r="D3973" s="59" t="s">
        <v>803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ht="15.2" spans="1:10">
      <c r="A3974" s="58" t="s">
        <v>4623</v>
      </c>
      <c r="B3974" s="59">
        <v>5463.68</v>
      </c>
      <c r="C3974" s="59">
        <v>8999</v>
      </c>
      <c r="D3974" s="59" t="s">
        <v>803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ht="15.2" spans="1:10">
      <c r="A3975" s="58" t="s">
        <v>4624</v>
      </c>
      <c r="B3975" s="59">
        <v>841.26</v>
      </c>
      <c r="C3975" s="59">
        <v>1299</v>
      </c>
      <c r="D3975" s="59" t="s">
        <v>803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ht="15.2" spans="1:10">
      <c r="A3976" s="58" t="s">
        <v>69</v>
      </c>
      <c r="B3976" s="59">
        <v>497</v>
      </c>
      <c r="C3976" s="59">
        <v>1331</v>
      </c>
      <c r="D3976" s="59" t="s">
        <v>801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ht="15.2" spans="1:10">
      <c r="A3977" s="58" t="s">
        <v>4625</v>
      </c>
      <c r="B3977" s="59">
        <v>394</v>
      </c>
      <c r="C3977" s="59">
        <v>913</v>
      </c>
      <c r="D3977" s="59" t="s">
        <v>801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</v>
      </c>
      <c r="J3977" s="60">
        <f t="shared" si="189"/>
        <v>2830.3</v>
      </c>
    </row>
    <row r="3978" ht="15.2" spans="1:10">
      <c r="A3978" s="58" t="s">
        <v>4626</v>
      </c>
      <c r="B3978" s="59">
        <v>1116.38</v>
      </c>
      <c r="C3978" s="59">
        <v>1699</v>
      </c>
      <c r="D3978" s="59" t="s">
        <v>803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</v>
      </c>
      <c r="J3978" s="60">
        <f t="shared" si="189"/>
        <v>1699</v>
      </c>
    </row>
    <row r="3979" ht="15.2" spans="1:10">
      <c r="A3979" s="58" t="s">
        <v>4627</v>
      </c>
      <c r="B3979" s="59">
        <v>252</v>
      </c>
      <c r="C3979" s="59">
        <v>588</v>
      </c>
      <c r="D3979" s="59" t="s">
        <v>801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</v>
      </c>
      <c r="J3979" s="60">
        <f t="shared" si="189"/>
        <v>58.8</v>
      </c>
    </row>
    <row r="3980" ht="15.2" spans="1:10">
      <c r="A3980" s="58" t="s">
        <v>4628</v>
      </c>
      <c r="B3980" s="59">
        <v>580</v>
      </c>
      <c r="C3980" s="59">
        <v>1218</v>
      </c>
      <c r="D3980" s="59" t="s">
        <v>801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ht="15.2" spans="1:10">
      <c r="A3981" s="58" t="s">
        <v>4629</v>
      </c>
      <c r="B3981" s="59">
        <v>1182.09</v>
      </c>
      <c r="C3981" s="59">
        <v>1799</v>
      </c>
      <c r="D3981" s="59" t="s">
        <v>803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1182.09</v>
      </c>
      <c r="J3981" s="60">
        <f t="shared" si="189"/>
        <v>1799</v>
      </c>
    </row>
    <row r="3982" ht="15.2" spans="1:10">
      <c r="A3982" s="58" t="s">
        <v>4630</v>
      </c>
      <c r="B3982" s="59">
        <v>5892.27</v>
      </c>
      <c r="C3982" s="59">
        <v>9999</v>
      </c>
      <c r="D3982" s="59" t="s">
        <v>803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ht="15.2" spans="1:10">
      <c r="A3983" s="58" t="s">
        <v>4631</v>
      </c>
      <c r="B3983" s="59">
        <v>970.78</v>
      </c>
      <c r="C3983" s="59">
        <v>1499</v>
      </c>
      <c r="D3983" s="59" t="s">
        <v>803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ht="15.2" spans="1:10">
      <c r="A3984" s="58" t="s">
        <v>4632</v>
      </c>
      <c r="B3984" s="59">
        <v>206</v>
      </c>
      <c r="C3984" s="59">
        <v>461</v>
      </c>
      <c r="D3984" s="59" t="s">
        <v>801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ht="15.2" spans="1:10">
      <c r="A3985" s="58" t="s">
        <v>4633</v>
      </c>
      <c r="B3985" s="59">
        <v>2731.54</v>
      </c>
      <c r="C3985" s="59">
        <v>4499</v>
      </c>
      <c r="D3985" s="59" t="s">
        <v>803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ht="15.2" spans="1:10">
      <c r="A3986" s="58" t="s">
        <v>4634</v>
      </c>
      <c r="B3986" s="59">
        <v>699</v>
      </c>
      <c r="C3986" s="59">
        <v>1468</v>
      </c>
      <c r="D3986" s="59" t="s">
        <v>801</v>
      </c>
      <c r="E3986" s="59">
        <v>9.2</v>
      </c>
      <c r="F3986" s="59">
        <v>9.2</v>
      </c>
      <c r="G3986" s="59">
        <v>0</v>
      </c>
      <c r="H3986" s="60">
        <f t="shared" si="187"/>
        <v>9.2</v>
      </c>
      <c r="I3986" s="60">
        <f t="shared" si="188"/>
        <v>6430.8</v>
      </c>
      <c r="J3986" s="60">
        <f t="shared" si="189"/>
        <v>13505.6</v>
      </c>
    </row>
    <row r="3987" ht="15.2" spans="1:10">
      <c r="A3987" s="58" t="s">
        <v>4635</v>
      </c>
      <c r="B3987" s="59">
        <v>1213.68</v>
      </c>
      <c r="C3987" s="59">
        <v>1999</v>
      </c>
      <c r="D3987" s="59" t="s">
        <v>803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ht="15.2" spans="1:10">
      <c r="A3988" s="58" t="s">
        <v>4636</v>
      </c>
      <c r="B3988" s="59">
        <v>351</v>
      </c>
      <c r="C3988" s="59">
        <v>796</v>
      </c>
      <c r="D3988" s="59" t="s">
        <v>801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ht="15.2" spans="1:10">
      <c r="A3989" s="58" t="s">
        <v>4637</v>
      </c>
      <c r="B3989" s="59">
        <v>646.97</v>
      </c>
      <c r="C3989" s="59">
        <v>999</v>
      </c>
      <c r="D3989" s="59" t="s">
        <v>803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ht="15.2" spans="1:10">
      <c r="A3990" s="58" t="s">
        <v>4638</v>
      </c>
      <c r="B3990" s="59">
        <v>1295.84</v>
      </c>
      <c r="C3990" s="59">
        <v>2199</v>
      </c>
      <c r="D3990" s="59" t="s">
        <v>803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2591.68</v>
      </c>
      <c r="J3990" s="60">
        <f t="shared" si="189"/>
        <v>4398</v>
      </c>
    </row>
    <row r="3991" ht="15.2" spans="1:10">
      <c r="A3991" s="58" t="s">
        <v>4639</v>
      </c>
      <c r="B3991" s="59">
        <v>440</v>
      </c>
      <c r="C3991" s="59">
        <v>1057</v>
      </c>
      <c r="D3991" s="59" t="s">
        <v>801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</v>
      </c>
    </row>
    <row r="3992" ht="15.2" spans="1:10">
      <c r="A3992" s="58" t="s">
        <v>4640</v>
      </c>
      <c r="B3992" s="59">
        <v>1153</v>
      </c>
      <c r="C3992" s="59">
        <v>3060</v>
      </c>
      <c r="D3992" s="59" t="s">
        <v>801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ht="15.2" spans="1:10">
      <c r="A3993" s="58" t="s">
        <v>4641</v>
      </c>
      <c r="B3993" s="59">
        <v>1313.5</v>
      </c>
      <c r="C3993" s="59">
        <v>1999</v>
      </c>
      <c r="D3993" s="59" t="s">
        <v>803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ht="15.2" spans="1:10">
      <c r="A3994" s="58" t="s">
        <v>4642</v>
      </c>
      <c r="B3994" s="59">
        <v>1119.05</v>
      </c>
      <c r="C3994" s="59">
        <v>1899</v>
      </c>
      <c r="D3994" s="59" t="s">
        <v>803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ht="15.2" spans="1:10">
      <c r="A3995" s="58" t="s">
        <v>4643</v>
      </c>
      <c r="B3995" s="59">
        <v>1576.34</v>
      </c>
      <c r="C3995" s="59">
        <v>2499</v>
      </c>
      <c r="D3995" s="59" t="s">
        <v>803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ht="15.2" spans="1:10">
      <c r="A3996" s="58" t="s">
        <v>4644</v>
      </c>
      <c r="B3996" s="59">
        <v>2356.55</v>
      </c>
      <c r="C3996" s="59">
        <v>3999</v>
      </c>
      <c r="D3996" s="59" t="s">
        <v>803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ht="15.2" spans="1:10">
      <c r="A3997" s="58" t="s">
        <v>4645</v>
      </c>
      <c r="B3997" s="59">
        <v>1379.21</v>
      </c>
      <c r="C3997" s="59">
        <v>2099</v>
      </c>
      <c r="D3997" s="59" t="s">
        <v>803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ht="15.2" spans="1:10">
      <c r="A3998" s="58" t="s">
        <v>4646</v>
      </c>
      <c r="B3998" s="59">
        <v>1395.82</v>
      </c>
      <c r="C3998" s="59">
        <v>2299</v>
      </c>
      <c r="D3998" s="59" t="s">
        <v>803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ht="15.2" spans="1:10">
      <c r="A3999" s="58" t="s">
        <v>4647</v>
      </c>
      <c r="B3999" s="59">
        <v>1456.54</v>
      </c>
      <c r="C3999" s="59">
        <v>2399</v>
      </c>
      <c r="D3999" s="59" t="s">
        <v>803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ht="15.2" spans="1:10">
      <c r="A4000" s="58" t="s">
        <v>4648</v>
      </c>
      <c r="B4000" s="59">
        <v>836.82</v>
      </c>
      <c r="C4000" s="59">
        <v>1299</v>
      </c>
      <c r="D4000" s="59" t="s">
        <v>803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ht="15.2" spans="1:10">
      <c r="A4001" s="58" t="s">
        <v>4649</v>
      </c>
      <c r="B4001" s="59">
        <v>450</v>
      </c>
      <c r="C4001" s="59">
        <v>975</v>
      </c>
      <c r="D4001" s="59" t="s">
        <v>801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ht="15.2" spans="1:10">
      <c r="A4002" s="58" t="s">
        <v>4650</v>
      </c>
      <c r="B4002" s="59">
        <v>370</v>
      </c>
      <c r="C4002" s="59">
        <v>880</v>
      </c>
      <c r="D4002" s="59" t="s">
        <v>801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ht="15.2" spans="1:10">
      <c r="A4003" s="58" t="s">
        <v>4651</v>
      </c>
      <c r="B4003" s="59">
        <v>970.82</v>
      </c>
      <c r="C4003" s="59">
        <v>1599</v>
      </c>
      <c r="D4003" s="59" t="s">
        <v>803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ht="15.2" spans="1:10">
      <c r="A4004" s="58" t="s">
        <v>4652</v>
      </c>
      <c r="B4004" s="59">
        <v>409</v>
      </c>
      <c r="C4004" s="59">
        <v>1032</v>
      </c>
      <c r="D4004" s="59" t="s">
        <v>801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</v>
      </c>
      <c r="J4004" s="60">
        <f t="shared" si="189"/>
        <v>1341.6</v>
      </c>
    </row>
    <row r="4005" ht="15.2" spans="1:10">
      <c r="A4005" s="58" t="s">
        <v>4653</v>
      </c>
      <c r="B4005" s="59">
        <v>399</v>
      </c>
      <c r="C4005" s="59">
        <v>892</v>
      </c>
      <c r="D4005" s="59" t="s">
        <v>801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</v>
      </c>
    </row>
    <row r="4006" ht="15.2" spans="1:10">
      <c r="A4006" s="58" t="s">
        <v>4654</v>
      </c>
      <c r="B4006" s="59">
        <v>1116.38</v>
      </c>
      <c r="C4006" s="59">
        <v>1699</v>
      </c>
      <c r="D4006" s="59" t="s">
        <v>803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ht="15.2" spans="1:10">
      <c r="A4007" s="58" t="s">
        <v>4655</v>
      </c>
      <c r="B4007" s="59">
        <v>1510.63</v>
      </c>
      <c r="C4007" s="59">
        <v>2299</v>
      </c>
      <c r="D4007" s="59" t="s">
        <v>803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ht="15.2" spans="1:10">
      <c r="A4008" s="58" t="s">
        <v>4656</v>
      </c>
      <c r="B4008" s="59">
        <v>281</v>
      </c>
      <c r="C4008" s="59">
        <v>620</v>
      </c>
      <c r="D4008" s="59" t="s">
        <v>801</v>
      </c>
      <c r="E4008" s="59">
        <v>4.6</v>
      </c>
      <c r="F4008" s="59">
        <v>4.6</v>
      </c>
      <c r="G4008" s="59">
        <v>0</v>
      </c>
      <c r="H4008" s="60">
        <f t="shared" si="190"/>
        <v>4.6</v>
      </c>
      <c r="I4008" s="60">
        <f t="shared" si="188"/>
        <v>1292.6</v>
      </c>
      <c r="J4008" s="60">
        <f t="shared" si="189"/>
        <v>2852</v>
      </c>
    </row>
    <row r="4009" ht="15.2" spans="1:10">
      <c r="A4009" s="58" t="s">
        <v>4657</v>
      </c>
      <c r="B4009" s="59">
        <v>1444.92</v>
      </c>
      <c r="C4009" s="59">
        <v>2199</v>
      </c>
      <c r="D4009" s="59" t="s">
        <v>803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ht="15.2" spans="1:10">
      <c r="A4010" s="58" t="s">
        <v>4658</v>
      </c>
      <c r="B4010" s="59">
        <v>521</v>
      </c>
      <c r="C4010" s="59">
        <v>1141</v>
      </c>
      <c r="D4010" s="59" t="s">
        <v>801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ht="15.2" spans="1:10">
      <c r="A4011" s="58" t="s">
        <v>4659</v>
      </c>
      <c r="B4011" s="59">
        <v>577</v>
      </c>
      <c r="C4011" s="59">
        <v>1314</v>
      </c>
      <c r="D4011" s="59" t="s">
        <v>801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ht="15.2" spans="1:10">
      <c r="A4012" s="58" t="s">
        <v>4660</v>
      </c>
      <c r="B4012" s="59">
        <v>525</v>
      </c>
      <c r="C4012" s="59">
        <v>799</v>
      </c>
      <c r="D4012" s="59" t="s">
        <v>803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ht="15.2" spans="1:10">
      <c r="A4013" s="58" t="s">
        <v>4661</v>
      </c>
      <c r="B4013" s="59">
        <v>646.97</v>
      </c>
      <c r="C4013" s="59">
        <v>999</v>
      </c>
      <c r="D4013" s="59" t="s">
        <v>803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ht="15.2" spans="1:10">
      <c r="A4014" s="58" t="s">
        <v>4662</v>
      </c>
      <c r="B4014" s="59">
        <v>294</v>
      </c>
      <c r="C4014" s="59">
        <v>720</v>
      </c>
      <c r="D4014" s="59" t="s">
        <v>801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ht="15.2" spans="1:10">
      <c r="A4015" s="58" t="s">
        <v>4663</v>
      </c>
      <c r="B4015" s="59">
        <v>351.7</v>
      </c>
      <c r="C4015" s="59">
        <v>1093</v>
      </c>
      <c r="D4015" s="59" t="s">
        <v>801</v>
      </c>
      <c r="E4015" s="59">
        <v>0.55</v>
      </c>
      <c r="F4015" s="59">
        <v>0.55</v>
      </c>
      <c r="G4015" s="59">
        <v>0</v>
      </c>
      <c r="H4015" s="60">
        <f t="shared" si="190"/>
        <v>0.55</v>
      </c>
      <c r="I4015" s="60">
        <f t="shared" si="188"/>
        <v>193.435</v>
      </c>
      <c r="J4015" s="60">
        <f t="shared" si="189"/>
        <v>601.15</v>
      </c>
    </row>
    <row r="4016" ht="15.2" spans="1:10">
      <c r="A4016" s="58" t="s">
        <v>4664</v>
      </c>
      <c r="B4016" s="59">
        <v>409</v>
      </c>
      <c r="C4016" s="59">
        <v>970</v>
      </c>
      <c r="D4016" s="59" t="s">
        <v>801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</v>
      </c>
      <c r="J4016" s="60">
        <f t="shared" si="189"/>
        <v>97</v>
      </c>
    </row>
    <row r="4017" ht="15.2" spans="1:10">
      <c r="A4017" s="58" t="s">
        <v>4665</v>
      </c>
      <c r="B4017" s="59">
        <v>1092.25</v>
      </c>
      <c r="C4017" s="59">
        <v>1799</v>
      </c>
      <c r="D4017" s="59" t="s">
        <v>803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ht="15.2" spans="1:10">
      <c r="A4018" s="58" t="s">
        <v>4666</v>
      </c>
      <c r="B4018" s="59">
        <v>776.49</v>
      </c>
      <c r="C4018" s="59">
        <v>1199</v>
      </c>
      <c r="D4018" s="59" t="s">
        <v>803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ht="15.2" spans="1:10">
      <c r="A4019" s="58" t="s">
        <v>4667</v>
      </c>
      <c r="B4019" s="59">
        <v>908.83</v>
      </c>
      <c r="C4019" s="59">
        <v>1399</v>
      </c>
      <c r="D4019" s="59" t="s">
        <v>803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ht="15.2" spans="1:10">
      <c r="A4020" s="58" t="s">
        <v>4668</v>
      </c>
      <c r="B4020" s="59">
        <v>307</v>
      </c>
      <c r="C4020" s="59">
        <v>745</v>
      </c>
      <c r="D4020" s="59" t="s">
        <v>801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</v>
      </c>
      <c r="J4020" s="60">
        <f t="shared" si="189"/>
        <v>1192</v>
      </c>
    </row>
    <row r="4021" ht="15.2" spans="1:10">
      <c r="A4021" s="58" t="s">
        <v>4669</v>
      </c>
      <c r="B4021" s="59">
        <v>449</v>
      </c>
      <c r="C4021" s="59">
        <v>943</v>
      </c>
      <c r="D4021" s="59" t="s">
        <v>801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134.7</v>
      </c>
      <c r="J4021" s="60">
        <f t="shared" si="189"/>
        <v>282.9</v>
      </c>
    </row>
    <row r="4022" ht="15.2" spans="1:10">
      <c r="A4022" s="58" t="s">
        <v>200</v>
      </c>
      <c r="B4022" s="59">
        <v>409</v>
      </c>
      <c r="C4022" s="59">
        <v>1032</v>
      </c>
      <c r="D4022" s="59" t="s">
        <v>801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4580.8</v>
      </c>
      <c r="J4022" s="60">
        <f t="shared" si="189"/>
        <v>11558.4</v>
      </c>
    </row>
    <row r="4023" ht="15.2" spans="1:10">
      <c r="A4023" s="58" t="s">
        <v>4670</v>
      </c>
      <c r="B4023" s="59">
        <v>819</v>
      </c>
      <c r="C4023" s="59">
        <v>2049</v>
      </c>
      <c r="D4023" s="59" t="s">
        <v>801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</v>
      </c>
    </row>
    <row r="4024" ht="15.2" spans="1:10">
      <c r="A4024" s="58" t="s">
        <v>174</v>
      </c>
      <c r="B4024" s="59">
        <v>299</v>
      </c>
      <c r="C4024" s="59">
        <v>660</v>
      </c>
      <c r="D4024" s="59" t="s">
        <v>801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ht="15.2" spans="1:10">
      <c r="A4025" s="58" t="s">
        <v>4671</v>
      </c>
      <c r="B4025" s="59">
        <v>3199</v>
      </c>
      <c r="C4025" s="59">
        <v>8398</v>
      </c>
      <c r="D4025" s="59" t="s">
        <v>801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ht="15.2" spans="1:10">
      <c r="A4026" s="58" t="s">
        <v>4672</v>
      </c>
      <c r="B4026" s="59">
        <v>1577.96</v>
      </c>
      <c r="C4026" s="59">
        <v>2599</v>
      </c>
      <c r="D4026" s="59" t="s">
        <v>803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ht="15.2" spans="1:10">
      <c r="A4027" s="58" t="s">
        <v>28</v>
      </c>
      <c r="B4027" s="59">
        <v>799</v>
      </c>
      <c r="C4027" s="59">
        <v>1799</v>
      </c>
      <c r="D4027" s="59" t="s">
        <v>801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</v>
      </c>
    </row>
    <row r="4028" ht="15.2" spans="1:10">
      <c r="A4028" s="58" t="s">
        <v>4673</v>
      </c>
      <c r="B4028" s="59">
        <v>1295.84</v>
      </c>
      <c r="C4028" s="59">
        <v>2199</v>
      </c>
      <c r="D4028" s="59" t="s">
        <v>803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2591.68</v>
      </c>
      <c r="J4028" s="60">
        <f t="shared" si="189"/>
        <v>4398</v>
      </c>
    </row>
    <row r="4029" ht="15.2" spans="1:10">
      <c r="A4029" s="58" t="s">
        <v>4674</v>
      </c>
      <c r="B4029" s="59">
        <v>1699.39</v>
      </c>
      <c r="C4029" s="59">
        <v>2799</v>
      </c>
      <c r="D4029" s="59" t="s">
        <v>803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ht="15.2" spans="1:10">
      <c r="A4030" s="58" t="s">
        <v>4675</v>
      </c>
      <c r="B4030" s="59">
        <v>3535.13</v>
      </c>
      <c r="C4030" s="59">
        <v>5999</v>
      </c>
      <c r="D4030" s="59" t="s">
        <v>803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ht="15.2" spans="1:10">
      <c r="A4031" s="58" t="s">
        <v>4676</v>
      </c>
      <c r="B4031" s="59">
        <v>2167.7</v>
      </c>
      <c r="C4031" s="59">
        <v>3299</v>
      </c>
      <c r="D4031" s="59" t="s">
        <v>803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ht="15.2" spans="1:10">
      <c r="A4032" s="58" t="s">
        <v>4677</v>
      </c>
      <c r="B4032" s="59">
        <v>1152.96</v>
      </c>
      <c r="C4032" s="59">
        <v>1899</v>
      </c>
      <c r="D4032" s="59" t="s">
        <v>803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ht="15.2" spans="1:10">
      <c r="A4033" s="58" t="s">
        <v>4678</v>
      </c>
      <c r="B4033" s="59">
        <v>349</v>
      </c>
      <c r="C4033" s="59">
        <v>770</v>
      </c>
      <c r="D4033" s="59" t="s">
        <v>801</v>
      </c>
      <c r="E4033" s="59">
        <v>8.2</v>
      </c>
      <c r="F4033" s="59">
        <v>8.2</v>
      </c>
      <c r="G4033" s="59">
        <v>0</v>
      </c>
      <c r="H4033" s="60">
        <f t="shared" si="190"/>
        <v>8.2</v>
      </c>
      <c r="I4033" s="60">
        <f t="shared" si="188"/>
        <v>2861.8</v>
      </c>
      <c r="J4033" s="60">
        <f t="shared" si="189"/>
        <v>6314</v>
      </c>
    </row>
    <row r="4034" ht="15.2" spans="1:10">
      <c r="A4034" s="58" t="s">
        <v>4679</v>
      </c>
      <c r="B4034" s="59">
        <v>270</v>
      </c>
      <c r="C4034" s="59">
        <v>615</v>
      </c>
      <c r="D4034" s="59" t="s">
        <v>801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ht="15.2" spans="1:10">
      <c r="A4035" s="58" t="s">
        <v>4680</v>
      </c>
      <c r="B4035" s="59">
        <v>289</v>
      </c>
      <c r="C4035" s="59">
        <v>665</v>
      </c>
      <c r="D4035" s="59" t="s">
        <v>801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ht="15.2" spans="1:10">
      <c r="A4036" s="58" t="s">
        <v>4681</v>
      </c>
      <c r="B4036" s="59">
        <v>1517.25</v>
      </c>
      <c r="C4036" s="59">
        <v>2499</v>
      </c>
      <c r="D4036" s="59" t="s">
        <v>803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ht="15.2" spans="1:10">
      <c r="A4037" s="58" t="s">
        <v>4682</v>
      </c>
      <c r="B4037" s="59">
        <v>590.71</v>
      </c>
      <c r="C4037" s="59">
        <v>899</v>
      </c>
      <c r="D4037" s="59" t="s">
        <v>803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ht="15.2" spans="1:10">
      <c r="A4038" s="58" t="s">
        <v>4683</v>
      </c>
      <c r="B4038" s="59">
        <v>1116.38</v>
      </c>
      <c r="C4038" s="59">
        <v>1699</v>
      </c>
      <c r="D4038" s="59" t="s">
        <v>803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</v>
      </c>
      <c r="J4038" s="60">
        <f t="shared" si="192"/>
        <v>3398</v>
      </c>
    </row>
    <row r="4039" ht="15.2" spans="1:10">
      <c r="A4039" s="58" t="s">
        <v>4684</v>
      </c>
      <c r="B4039" s="59">
        <v>1274.39</v>
      </c>
      <c r="C4039" s="59">
        <v>2099</v>
      </c>
      <c r="D4039" s="59" t="s">
        <v>803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ht="15.2" spans="1:10">
      <c r="A4040" s="58" t="s">
        <v>4685</v>
      </c>
      <c r="B4040" s="59">
        <v>532</v>
      </c>
      <c r="C4040" s="59">
        <v>1096</v>
      </c>
      <c r="D4040" s="59" t="s">
        <v>801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ht="15.2" spans="1:10">
      <c r="A4041" s="58" t="s">
        <v>4686</v>
      </c>
      <c r="B4041" s="59">
        <v>1867.54</v>
      </c>
      <c r="C4041" s="59">
        <v>2899</v>
      </c>
      <c r="D4041" s="59" t="s">
        <v>803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ht="15.2" spans="1:10">
      <c r="A4042" s="58" t="s">
        <v>4687</v>
      </c>
      <c r="B4042" s="59">
        <v>260</v>
      </c>
      <c r="C4042" s="59">
        <v>715</v>
      </c>
      <c r="D4042" s="59" t="s">
        <v>801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8008</v>
      </c>
    </row>
    <row r="4043" ht="15.2" spans="1:10">
      <c r="A4043" s="58" t="s">
        <v>4688</v>
      </c>
      <c r="B4043" s="59">
        <v>2124.4</v>
      </c>
      <c r="C4043" s="59">
        <v>3499</v>
      </c>
      <c r="D4043" s="59" t="s">
        <v>803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ht="15.2" spans="1:10">
      <c r="A4044" s="58" t="s">
        <v>4689</v>
      </c>
      <c r="B4044" s="59">
        <v>7892.25</v>
      </c>
      <c r="C4044" s="59">
        <v>12999</v>
      </c>
      <c r="D4044" s="59" t="s">
        <v>803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ht="15.2" spans="1:10">
      <c r="A4045" s="58" t="s">
        <v>47</v>
      </c>
      <c r="B4045" s="59">
        <v>299</v>
      </c>
      <c r="C4045" s="59">
        <v>660</v>
      </c>
      <c r="D4045" s="59" t="s">
        <v>801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ht="15.2" spans="1:10">
      <c r="A4046" s="58" t="s">
        <v>4690</v>
      </c>
      <c r="B4046" s="59">
        <v>1313.5</v>
      </c>
      <c r="C4046" s="59">
        <v>1999</v>
      </c>
      <c r="D4046" s="59" t="s">
        <v>803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ht="15.2" spans="1:10">
      <c r="A4047" s="58" t="s">
        <v>4691</v>
      </c>
      <c r="B4047" s="59">
        <v>1313.5</v>
      </c>
      <c r="C4047" s="59">
        <v>1999</v>
      </c>
      <c r="D4047" s="59" t="s">
        <v>803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ht="15.2" spans="1:10">
      <c r="A4048" s="58" t="s">
        <v>4692</v>
      </c>
      <c r="B4048" s="59">
        <v>1094.5</v>
      </c>
      <c r="C4048" s="59">
        <v>1699</v>
      </c>
      <c r="D4048" s="59" t="s">
        <v>803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ht="15.2" spans="1:10">
      <c r="A4049" s="58" t="s">
        <v>4693</v>
      </c>
      <c r="B4049" s="59">
        <v>1119.05</v>
      </c>
      <c r="C4049" s="59">
        <v>1899</v>
      </c>
      <c r="D4049" s="59" t="s">
        <v>803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ht="15.2" spans="1:10">
      <c r="A4050" s="58" t="s">
        <v>4694</v>
      </c>
      <c r="B4050" s="59">
        <v>1313.5</v>
      </c>
      <c r="C4050" s="59">
        <v>1999</v>
      </c>
      <c r="D4050" s="59" t="s">
        <v>803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ht="15.2" spans="1:10">
      <c r="A4051" s="58" t="s">
        <v>4695</v>
      </c>
      <c r="B4051" s="59">
        <v>2233.41</v>
      </c>
      <c r="C4051" s="59">
        <v>3399</v>
      </c>
      <c r="D4051" s="59" t="s">
        <v>803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ht="15.2" spans="1:10">
      <c r="A4052" s="58" t="s">
        <v>4696</v>
      </c>
      <c r="B4052" s="59">
        <v>1152.96</v>
      </c>
      <c r="C4052" s="59">
        <v>1899</v>
      </c>
      <c r="D4052" s="59" t="s">
        <v>803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ht="15.2" spans="1:10">
      <c r="A4053" s="58" t="s">
        <v>4697</v>
      </c>
      <c r="B4053" s="59">
        <v>384</v>
      </c>
      <c r="C4053" s="59">
        <v>966</v>
      </c>
      <c r="D4053" s="59" t="s">
        <v>801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ht="15.2" spans="1:10">
      <c r="A4054" s="58" t="s">
        <v>4698</v>
      </c>
      <c r="B4054" s="59">
        <v>1769</v>
      </c>
      <c r="C4054" s="59">
        <v>3970</v>
      </c>
      <c r="D4054" s="59" t="s">
        <v>801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ht="15.2" spans="1:10">
      <c r="A4055" s="58" t="s">
        <v>4699</v>
      </c>
      <c r="B4055" s="59">
        <v>525</v>
      </c>
      <c r="C4055" s="59">
        <v>799</v>
      </c>
      <c r="D4055" s="59" t="s">
        <v>803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ht="15.2" spans="1:10">
      <c r="A4056" s="58" t="s">
        <v>4700</v>
      </c>
      <c r="B4056" s="59">
        <v>1638.68</v>
      </c>
      <c r="C4056" s="59">
        <v>2699</v>
      </c>
      <c r="D4056" s="59" t="s">
        <v>803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ht="15.2" spans="1:10">
      <c r="A4057" s="58" t="s">
        <v>4701</v>
      </c>
      <c r="B4057" s="59">
        <v>374</v>
      </c>
      <c r="C4057" s="59">
        <v>830</v>
      </c>
      <c r="D4057" s="59" t="s">
        <v>801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ht="15.2" spans="1:10">
      <c r="A4058" s="58" t="s">
        <v>4702</v>
      </c>
      <c r="B4058" s="59">
        <v>399</v>
      </c>
      <c r="C4058" s="59">
        <v>892</v>
      </c>
      <c r="D4058" s="59" t="s">
        <v>801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ht="15.2" spans="1:10">
      <c r="A4059" s="58" t="s">
        <v>4703</v>
      </c>
      <c r="B4059" s="59">
        <v>730</v>
      </c>
      <c r="C4059" s="59">
        <v>1258</v>
      </c>
      <c r="D4059" s="59" t="s">
        <v>801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</v>
      </c>
    </row>
    <row r="4060" ht="15.2" spans="1:10">
      <c r="A4060" s="58" t="s">
        <v>4704</v>
      </c>
      <c r="B4060" s="59">
        <v>1335.11</v>
      </c>
      <c r="C4060" s="59">
        <v>2199</v>
      </c>
      <c r="D4060" s="59" t="s">
        <v>803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ht="15.2" spans="1:10">
      <c r="A4061" s="58" t="s">
        <v>4705</v>
      </c>
      <c r="B4061" s="59">
        <v>3535.13</v>
      </c>
      <c r="C4061" s="59">
        <v>5999</v>
      </c>
      <c r="D4061" s="59" t="s">
        <v>803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ht="15.2" spans="1:10">
      <c r="A4062" s="58" t="s">
        <v>4706</v>
      </c>
      <c r="B4062" s="59">
        <v>906.02</v>
      </c>
      <c r="C4062" s="59">
        <v>1399</v>
      </c>
      <c r="D4062" s="59" t="s">
        <v>803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ht="15.2" spans="1:10">
      <c r="A4063" s="58" t="s">
        <v>4707</v>
      </c>
      <c r="B4063" s="59">
        <v>461</v>
      </c>
      <c r="C4063" s="59">
        <v>1094</v>
      </c>
      <c r="D4063" s="59" t="s">
        <v>801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ht="15.2" spans="1:10">
      <c r="A4064" s="58" t="s">
        <v>4708</v>
      </c>
      <c r="B4064" s="59">
        <v>1031.54</v>
      </c>
      <c r="C4064" s="59">
        <v>1699</v>
      </c>
      <c r="D4064" s="59" t="s">
        <v>803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ht="15.2" spans="1:10">
      <c r="A4065" s="58" t="s">
        <v>4709</v>
      </c>
      <c r="B4065" s="59">
        <v>841.26</v>
      </c>
      <c r="C4065" s="59">
        <v>1299</v>
      </c>
      <c r="D4065" s="59" t="s">
        <v>803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ht="15.2" spans="1:10">
      <c r="A4066" s="58" t="s">
        <v>4710</v>
      </c>
      <c r="B4066" s="59">
        <v>722.13</v>
      </c>
      <c r="C4066" s="59">
        <v>1099</v>
      </c>
      <c r="D4066" s="59" t="s">
        <v>803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ht="15.2" spans="1:10">
      <c r="A4067" s="58" t="s">
        <v>4711</v>
      </c>
      <c r="B4067" s="59">
        <v>319.2</v>
      </c>
      <c r="C4067" s="59">
        <v>838</v>
      </c>
      <c r="D4067" s="59" t="s">
        <v>801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3064.32</v>
      </c>
      <c r="J4067" s="60">
        <f t="shared" si="192"/>
        <v>8044.8</v>
      </c>
    </row>
    <row r="4068" ht="15.2" spans="1:10">
      <c r="A4068" s="58" t="s">
        <v>4712</v>
      </c>
      <c r="B4068" s="59">
        <v>5892.27</v>
      </c>
      <c r="C4068" s="59">
        <v>9999</v>
      </c>
      <c r="D4068" s="59" t="s">
        <v>803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ht="15.2" spans="1:10">
      <c r="A4069" s="58" t="s">
        <v>4713</v>
      </c>
      <c r="B4069" s="59">
        <v>906.02</v>
      </c>
      <c r="C4069" s="59">
        <v>1399</v>
      </c>
      <c r="D4069" s="59" t="s">
        <v>803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ht="15.2" spans="1:10">
      <c r="A4070" s="58" t="s">
        <v>4714</v>
      </c>
      <c r="B4070" s="59">
        <v>1577.96</v>
      </c>
      <c r="C4070" s="59">
        <v>2599</v>
      </c>
      <c r="D4070" s="59" t="s">
        <v>803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ht="15.2" spans="1:10">
      <c r="A4071" s="58" t="s">
        <v>4715</v>
      </c>
      <c r="B4071" s="59">
        <v>476</v>
      </c>
      <c r="C4071" s="59">
        <v>1025</v>
      </c>
      <c r="D4071" s="59" t="s">
        <v>801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</v>
      </c>
      <c r="J4071" s="60">
        <f t="shared" si="192"/>
        <v>461.25</v>
      </c>
    </row>
    <row r="4072" ht="15.2" spans="1:10">
      <c r="A4072" s="58" t="s">
        <v>4716</v>
      </c>
      <c r="B4072" s="59">
        <v>599</v>
      </c>
      <c r="C4072" s="59">
        <v>1338</v>
      </c>
      <c r="D4072" s="59" t="s">
        <v>801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ht="15.2" spans="1:10">
      <c r="A4073" s="58" t="s">
        <v>4717</v>
      </c>
      <c r="B4073" s="59">
        <v>405</v>
      </c>
      <c r="C4073" s="59">
        <v>999</v>
      </c>
      <c r="D4073" s="59" t="s">
        <v>801</v>
      </c>
      <c r="E4073" s="59">
        <v>2.2</v>
      </c>
      <c r="F4073" s="59">
        <v>2.2</v>
      </c>
      <c r="G4073" s="59">
        <v>0</v>
      </c>
      <c r="H4073" s="60">
        <f t="shared" si="193"/>
        <v>2.2</v>
      </c>
      <c r="I4073" s="60">
        <f t="shared" si="191"/>
        <v>891</v>
      </c>
      <c r="J4073" s="60">
        <f t="shared" si="192"/>
        <v>2197.8</v>
      </c>
    </row>
    <row r="4074" ht="15.2" spans="1:10">
      <c r="A4074" s="58" t="s">
        <v>4718</v>
      </c>
      <c r="B4074" s="59">
        <v>1609.86</v>
      </c>
      <c r="C4074" s="59">
        <v>2499</v>
      </c>
      <c r="D4074" s="59" t="s">
        <v>803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ht="15.2" spans="1:10">
      <c r="A4075" s="58" t="s">
        <v>4719</v>
      </c>
      <c r="B4075" s="59">
        <v>5892.27</v>
      </c>
      <c r="C4075" s="59">
        <v>9999</v>
      </c>
      <c r="D4075" s="59" t="s">
        <v>803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ht="15.2" spans="1:10">
      <c r="A4076" s="58" t="s">
        <v>4720</v>
      </c>
      <c r="B4076" s="59">
        <v>845.18</v>
      </c>
      <c r="C4076" s="59">
        <v>1299</v>
      </c>
      <c r="D4076" s="59" t="s">
        <v>803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ht="15.2" spans="1:10">
      <c r="A4077" s="58" t="s">
        <v>4721</v>
      </c>
      <c r="B4077" s="59">
        <v>293</v>
      </c>
      <c r="C4077" s="59">
        <v>665</v>
      </c>
      <c r="D4077" s="59" t="s">
        <v>801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ht="15.2" spans="1:10">
      <c r="A4078" s="58" t="s">
        <v>4722</v>
      </c>
      <c r="B4078" s="59">
        <v>1456.54</v>
      </c>
      <c r="C4078" s="59">
        <v>2399</v>
      </c>
      <c r="D4078" s="59" t="s">
        <v>803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ht="15.2" spans="1:10">
      <c r="A4079" s="58" t="s">
        <v>4723</v>
      </c>
      <c r="B4079" s="59">
        <v>633</v>
      </c>
      <c r="C4079" s="59">
        <v>1699</v>
      </c>
      <c r="D4079" s="59" t="s">
        <v>801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4927.1</v>
      </c>
    </row>
    <row r="4080" ht="15.2" spans="1:10">
      <c r="A4080" s="58" t="s">
        <v>4724</v>
      </c>
      <c r="B4080" s="59">
        <v>1395.82</v>
      </c>
      <c r="C4080" s="59">
        <v>2299</v>
      </c>
      <c r="D4080" s="59" t="s">
        <v>803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ht="15.2" spans="1:10">
      <c r="A4081" s="58" t="s">
        <v>4725</v>
      </c>
      <c r="B4081" s="59">
        <v>1116.38</v>
      </c>
      <c r="C4081" s="59">
        <v>1699</v>
      </c>
      <c r="D4081" s="59" t="s">
        <v>803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ht="15.2" spans="1:10">
      <c r="A4082" s="58" t="s">
        <v>4726</v>
      </c>
      <c r="B4082" s="59">
        <v>509</v>
      </c>
      <c r="C4082" s="59">
        <v>1172</v>
      </c>
      <c r="D4082" s="59" t="s">
        <v>801</v>
      </c>
      <c r="E4082" s="59">
        <v>18.15</v>
      </c>
      <c r="F4082" s="59">
        <v>18.15</v>
      </c>
      <c r="G4082" s="59">
        <v>0</v>
      </c>
      <c r="H4082" s="60">
        <f t="shared" si="193"/>
        <v>18.15</v>
      </c>
      <c r="I4082" s="60">
        <f t="shared" si="191"/>
        <v>9238.35</v>
      </c>
      <c r="J4082" s="60">
        <f t="shared" si="192"/>
        <v>21271.8</v>
      </c>
    </row>
    <row r="4083" ht="15.2" spans="1:10">
      <c r="A4083" s="58" t="s">
        <v>4727</v>
      </c>
      <c r="B4083" s="59">
        <v>1092.25</v>
      </c>
      <c r="C4083" s="59">
        <v>1799</v>
      </c>
      <c r="D4083" s="59" t="s">
        <v>803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ht="15.2" spans="1:10">
      <c r="A4084" s="58" t="s">
        <v>4728</v>
      </c>
      <c r="B4084" s="59">
        <v>1313.5</v>
      </c>
      <c r="C4084" s="59">
        <v>1999</v>
      </c>
      <c r="D4084" s="59" t="s">
        <v>803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ht="15.2" spans="1:10">
      <c r="A4085" s="58" t="s">
        <v>4729</v>
      </c>
      <c r="B4085" s="59">
        <v>5892.27</v>
      </c>
      <c r="C4085" s="59">
        <v>9999</v>
      </c>
      <c r="D4085" s="59" t="s">
        <v>803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ht="15.2" spans="1:10">
      <c r="A4086" s="58" t="s">
        <v>4730</v>
      </c>
      <c r="B4086" s="59">
        <v>517.45</v>
      </c>
      <c r="C4086" s="59">
        <v>799</v>
      </c>
      <c r="D4086" s="59" t="s">
        <v>803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</v>
      </c>
      <c r="J4086" s="60">
        <f t="shared" si="192"/>
        <v>1598</v>
      </c>
    </row>
    <row r="4087" ht="15.2" spans="1:10">
      <c r="A4087" s="58" t="s">
        <v>4731</v>
      </c>
      <c r="B4087" s="59">
        <v>1760.11</v>
      </c>
      <c r="C4087" s="59">
        <v>2899</v>
      </c>
      <c r="D4087" s="59" t="s">
        <v>803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ht="15.2" spans="1:10">
      <c r="A4088" s="58" t="s">
        <v>4732</v>
      </c>
      <c r="B4088" s="59">
        <v>1354.77</v>
      </c>
      <c r="C4088" s="59">
        <v>2299</v>
      </c>
      <c r="D4088" s="59" t="s">
        <v>803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ht="15.2" spans="1:10">
      <c r="A4089" s="58" t="s">
        <v>4733</v>
      </c>
      <c r="B4089" s="59">
        <v>649</v>
      </c>
      <c r="C4089" s="59">
        <v>1447</v>
      </c>
      <c r="D4089" s="59" t="s">
        <v>801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ht="15.2" spans="1:10">
      <c r="A4090" s="58" t="s">
        <v>4734</v>
      </c>
      <c r="B4090" s="59">
        <v>1517.25</v>
      </c>
      <c r="C4090" s="59">
        <v>2499</v>
      </c>
      <c r="D4090" s="59" t="s">
        <v>803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ht="15.2" spans="1:10">
      <c r="A4091" s="58" t="s">
        <v>4735</v>
      </c>
      <c r="B4091" s="59">
        <v>1517.25</v>
      </c>
      <c r="C4091" s="59">
        <v>2499</v>
      </c>
      <c r="D4091" s="59" t="s">
        <v>803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ht="15.2" spans="1:10">
      <c r="A4092" s="58" t="s">
        <v>4736</v>
      </c>
      <c r="B4092" s="59">
        <v>220</v>
      </c>
      <c r="C4092" s="59">
        <v>430</v>
      </c>
      <c r="D4092" s="59" t="s">
        <v>801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ht="15.2" spans="1:10">
      <c r="A4093" s="58" t="s">
        <v>4737</v>
      </c>
      <c r="B4093" s="59">
        <v>984.96</v>
      </c>
      <c r="C4093" s="59">
        <v>1499</v>
      </c>
      <c r="D4093" s="59" t="s">
        <v>803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ht="15.2" spans="1:10">
      <c r="A4094" s="58" t="s">
        <v>4738</v>
      </c>
      <c r="B4094" s="59">
        <v>242</v>
      </c>
      <c r="C4094" s="59">
        <v>570</v>
      </c>
      <c r="D4094" s="59" t="s">
        <v>801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ht="15.2" spans="1:10">
      <c r="A4095" s="58" t="s">
        <v>4739</v>
      </c>
      <c r="B4095" s="59">
        <v>1510.63</v>
      </c>
      <c r="C4095" s="59">
        <v>2299</v>
      </c>
      <c r="D4095" s="59" t="s">
        <v>803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ht="15.2" spans="1:10">
      <c r="A4096" s="58" t="s">
        <v>4740</v>
      </c>
      <c r="B4096" s="59">
        <v>2300</v>
      </c>
      <c r="C4096" s="59">
        <v>5118</v>
      </c>
      <c r="D4096" s="59" t="s">
        <v>801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ht="15.2" spans="1:10">
      <c r="A4097" s="58" t="s">
        <v>4741</v>
      </c>
      <c r="B4097" s="59">
        <v>649</v>
      </c>
      <c r="C4097" s="59">
        <v>1447</v>
      </c>
      <c r="D4097" s="59" t="s">
        <v>801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</v>
      </c>
    </row>
    <row r="4098" ht="15.2" spans="1:10">
      <c r="A4098" s="58" t="s">
        <v>4742</v>
      </c>
      <c r="B4098" s="59">
        <v>426</v>
      </c>
      <c r="C4098" s="59">
        <v>995</v>
      </c>
      <c r="D4098" s="59" t="s">
        <v>801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ht="15.2" spans="1:10">
      <c r="A4099" s="58" t="s">
        <v>4743</v>
      </c>
      <c r="B4099" s="59">
        <v>614</v>
      </c>
      <c r="C4099" s="59">
        <v>1485</v>
      </c>
      <c r="D4099" s="59" t="s">
        <v>801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ht="15.2" spans="1:10">
      <c r="A4100" s="58" t="s">
        <v>4744</v>
      </c>
      <c r="B4100" s="59">
        <v>442</v>
      </c>
      <c r="C4100" s="59">
        <v>1025</v>
      </c>
      <c r="D4100" s="59" t="s">
        <v>801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ht="15.2" spans="1:10">
      <c r="A4101" s="58" t="s">
        <v>4745</v>
      </c>
      <c r="B4101" s="59">
        <v>921</v>
      </c>
      <c r="C4101" s="59">
        <v>2338</v>
      </c>
      <c r="D4101" s="59" t="s">
        <v>801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3499.8</v>
      </c>
      <c r="J4101" s="60">
        <f t="shared" si="195"/>
        <v>8884.4</v>
      </c>
    </row>
    <row r="4102" ht="15.2" spans="1:10">
      <c r="A4102" s="58" t="s">
        <v>4746</v>
      </c>
      <c r="B4102" s="59">
        <v>296</v>
      </c>
      <c r="C4102" s="59">
        <v>675</v>
      </c>
      <c r="D4102" s="59" t="s">
        <v>801</v>
      </c>
      <c r="E4102" s="59">
        <v>1.1</v>
      </c>
      <c r="F4102" s="59">
        <v>1.1</v>
      </c>
      <c r="G4102" s="59">
        <v>0</v>
      </c>
      <c r="H4102" s="60">
        <f t="shared" si="193"/>
        <v>1.1</v>
      </c>
      <c r="I4102" s="60">
        <f t="shared" si="194"/>
        <v>325.6</v>
      </c>
      <c r="J4102" s="60">
        <f t="shared" si="195"/>
        <v>742.5</v>
      </c>
    </row>
    <row r="4103" ht="15.2" spans="1:10">
      <c r="A4103" s="58" t="s">
        <v>4747</v>
      </c>
      <c r="B4103" s="59">
        <v>399</v>
      </c>
      <c r="C4103" s="59">
        <v>798</v>
      </c>
      <c r="D4103" s="59" t="s">
        <v>801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ht="15.2" spans="1:10">
      <c r="A4104" s="58" t="s">
        <v>4748</v>
      </c>
      <c r="B4104" s="59">
        <v>1769</v>
      </c>
      <c r="C4104" s="59">
        <v>3950</v>
      </c>
      <c r="D4104" s="59" t="s">
        <v>801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</v>
      </c>
      <c r="J4104" s="60">
        <f t="shared" si="195"/>
        <v>1777.5</v>
      </c>
    </row>
    <row r="4105" ht="15.2" spans="1:10">
      <c r="A4105" s="58" t="s">
        <v>4749</v>
      </c>
      <c r="B4105" s="59">
        <v>1638.68</v>
      </c>
      <c r="C4105" s="59">
        <v>2699</v>
      </c>
      <c r="D4105" s="59" t="s">
        <v>803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ht="15.2" spans="1:10">
      <c r="A4106" s="58" t="s">
        <v>4750</v>
      </c>
      <c r="B4106" s="59">
        <v>1760.11</v>
      </c>
      <c r="C4106" s="59">
        <v>2899</v>
      </c>
      <c r="D4106" s="59" t="s">
        <v>803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ht="15.2" spans="1:10">
      <c r="A4107" s="58" t="s">
        <v>4751</v>
      </c>
      <c r="B4107" s="59">
        <v>1456.54</v>
      </c>
      <c r="C4107" s="59">
        <v>2399</v>
      </c>
      <c r="D4107" s="59" t="s">
        <v>803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ht="15.2" spans="1:10">
      <c r="A4108" s="58" t="s">
        <v>4752</v>
      </c>
      <c r="B4108" s="59">
        <v>1177.98</v>
      </c>
      <c r="C4108" s="59">
        <v>1999</v>
      </c>
      <c r="D4108" s="59" t="s">
        <v>803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ht="15.2" spans="1:10">
      <c r="A4109" s="58" t="s">
        <v>4753</v>
      </c>
      <c r="B4109" s="59">
        <v>1274.39</v>
      </c>
      <c r="C4109" s="59">
        <v>2099</v>
      </c>
      <c r="D4109" s="59" t="s">
        <v>803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</v>
      </c>
      <c r="J4109" s="60">
        <f t="shared" si="195"/>
        <v>2099</v>
      </c>
    </row>
    <row r="4110" ht="15.2" spans="1:10">
      <c r="A4110" s="58" t="s">
        <v>268</v>
      </c>
      <c r="B4110" s="59">
        <v>661</v>
      </c>
      <c r="C4110" s="59">
        <v>1471</v>
      </c>
      <c r="D4110" s="59" t="s">
        <v>801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1090.65</v>
      </c>
      <c r="J4110" s="60">
        <f t="shared" si="195"/>
        <v>2427.15</v>
      </c>
    </row>
    <row r="4111" ht="15.2" spans="1:10">
      <c r="A4111" s="58" t="s">
        <v>4754</v>
      </c>
      <c r="B4111" s="59">
        <v>1749</v>
      </c>
      <c r="C4111" s="59">
        <v>3975</v>
      </c>
      <c r="D4111" s="59" t="s">
        <v>801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ht="15.2" spans="1:10">
      <c r="A4112" s="58" t="s">
        <v>4755</v>
      </c>
      <c r="B4112" s="59">
        <v>1213.68</v>
      </c>
      <c r="C4112" s="59">
        <v>1999</v>
      </c>
      <c r="D4112" s="59" t="s">
        <v>803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ht="15.2" spans="1:10">
      <c r="A4113" s="58" t="s">
        <v>4756</v>
      </c>
      <c r="B4113" s="59">
        <v>1229</v>
      </c>
      <c r="C4113" s="59">
        <v>2883</v>
      </c>
      <c r="D4113" s="59" t="s">
        <v>801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</v>
      </c>
      <c r="J4113" s="60">
        <f t="shared" si="195"/>
        <v>1297.35</v>
      </c>
    </row>
    <row r="4114" ht="15.2" spans="1:10">
      <c r="A4114" s="58" t="s">
        <v>4757</v>
      </c>
      <c r="B4114" s="59">
        <v>582.21</v>
      </c>
      <c r="C4114" s="59">
        <v>899</v>
      </c>
      <c r="D4114" s="59" t="s">
        <v>803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ht="15.2" spans="1:10">
      <c r="A4115" s="58" t="s">
        <v>4758</v>
      </c>
      <c r="B4115" s="59">
        <v>1699.39</v>
      </c>
      <c r="C4115" s="59">
        <v>2799</v>
      </c>
      <c r="D4115" s="59" t="s">
        <v>803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ht="15.2" spans="1:10">
      <c r="A4116" s="58" t="s">
        <v>4759</v>
      </c>
      <c r="B4116" s="59">
        <v>405</v>
      </c>
      <c r="C4116" s="59">
        <v>999</v>
      </c>
      <c r="D4116" s="59" t="s">
        <v>801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ht="15.2" spans="1:10">
      <c r="A4117" s="58" t="s">
        <v>4760</v>
      </c>
      <c r="B4117" s="59">
        <v>7660.13</v>
      </c>
      <c r="C4117" s="59">
        <v>12999</v>
      </c>
      <c r="D4117" s="59" t="s">
        <v>803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ht="15.2" spans="1:10">
      <c r="A4118" s="58" t="s">
        <v>4761</v>
      </c>
      <c r="B4118" s="59">
        <v>1395.82</v>
      </c>
      <c r="C4118" s="59">
        <v>2299</v>
      </c>
      <c r="D4118" s="59" t="s">
        <v>803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ht="15.2" spans="1:10">
      <c r="A4119" s="58" t="s">
        <v>4762</v>
      </c>
      <c r="B4119" s="59">
        <v>399</v>
      </c>
      <c r="C4119" s="59">
        <v>838</v>
      </c>
      <c r="D4119" s="59" t="s">
        <v>801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</v>
      </c>
      <c r="J4119" s="60">
        <f t="shared" si="195"/>
        <v>167.6</v>
      </c>
    </row>
    <row r="4120" ht="15.2" spans="1:10">
      <c r="A4120" s="58" t="s">
        <v>4763</v>
      </c>
      <c r="B4120" s="59">
        <v>550</v>
      </c>
      <c r="C4120" s="59">
        <v>1393</v>
      </c>
      <c r="D4120" s="59" t="s">
        <v>801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ht="15.2" spans="1:10">
      <c r="A4121" s="58" t="s">
        <v>4764</v>
      </c>
      <c r="B4121" s="59">
        <v>502</v>
      </c>
      <c r="C4121" s="59">
        <v>1263</v>
      </c>
      <c r="D4121" s="59" t="s">
        <v>801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ht="15.2" spans="1:10">
      <c r="A4122" s="58" t="s">
        <v>4765</v>
      </c>
      <c r="B4122" s="59">
        <v>1456.54</v>
      </c>
      <c r="C4122" s="59">
        <v>2399</v>
      </c>
      <c r="D4122" s="59" t="s">
        <v>803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ht="15.2" spans="1:10">
      <c r="A4123" s="58" t="s">
        <v>4766</v>
      </c>
      <c r="B4123" s="59">
        <v>499</v>
      </c>
      <c r="C4123" s="59">
        <v>1048</v>
      </c>
      <c r="D4123" s="59" t="s">
        <v>801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ht="15.2" spans="1:10">
      <c r="A4124" s="58" t="s">
        <v>4767</v>
      </c>
      <c r="B4124" s="59">
        <v>395</v>
      </c>
      <c r="C4124" s="59">
        <v>935</v>
      </c>
      <c r="D4124" s="59" t="s">
        <v>801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ht="15.2" spans="1:10">
      <c r="A4125" s="58" t="s">
        <v>4768</v>
      </c>
      <c r="B4125" s="59">
        <v>970.78</v>
      </c>
      <c r="C4125" s="59">
        <v>1499</v>
      </c>
      <c r="D4125" s="59" t="s">
        <v>803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ht="15.2" spans="1:10">
      <c r="A4126" s="58" t="s">
        <v>4769</v>
      </c>
      <c r="B4126" s="59">
        <v>1395.82</v>
      </c>
      <c r="C4126" s="59">
        <v>2299</v>
      </c>
      <c r="D4126" s="59" t="s">
        <v>803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ht="15.2" spans="1:10">
      <c r="A4127" s="58" t="s">
        <v>4770</v>
      </c>
      <c r="B4127" s="59">
        <v>431</v>
      </c>
      <c r="C4127" s="59">
        <v>1086</v>
      </c>
      <c r="D4127" s="59" t="s">
        <v>801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</v>
      </c>
      <c r="J4127" s="60">
        <f t="shared" si="195"/>
        <v>1954.8</v>
      </c>
    </row>
    <row r="4128" ht="15.2" spans="1:10">
      <c r="A4128" s="58" t="s">
        <v>4771</v>
      </c>
      <c r="B4128" s="59">
        <v>390</v>
      </c>
      <c r="C4128" s="59">
        <v>966</v>
      </c>
      <c r="D4128" s="59" t="s">
        <v>801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464.1</v>
      </c>
      <c r="J4128" s="60">
        <f t="shared" si="195"/>
        <v>1149.54</v>
      </c>
    </row>
    <row r="4129" ht="15.2" spans="1:10">
      <c r="A4129" s="58" t="s">
        <v>4772</v>
      </c>
      <c r="B4129" s="59">
        <v>1213.68</v>
      </c>
      <c r="C4129" s="59">
        <v>1999</v>
      </c>
      <c r="D4129" s="59" t="s">
        <v>803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ht="15.2" spans="1:10">
      <c r="A4130" s="58" t="s">
        <v>4773</v>
      </c>
      <c r="B4130" s="59">
        <v>1444.92</v>
      </c>
      <c r="C4130" s="59">
        <v>2199</v>
      </c>
      <c r="D4130" s="59" t="s">
        <v>803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ht="15.2" spans="1:10">
      <c r="A4131" s="58" t="s">
        <v>710</v>
      </c>
      <c r="B4131" s="59">
        <v>525</v>
      </c>
      <c r="C4131" s="59">
        <v>1172</v>
      </c>
      <c r="D4131" s="59" t="s">
        <v>801</v>
      </c>
      <c r="E4131" s="59">
        <v>8.2</v>
      </c>
      <c r="F4131" s="59">
        <v>8.2</v>
      </c>
      <c r="G4131" s="59">
        <v>0</v>
      </c>
      <c r="H4131" s="60">
        <f t="shared" si="196"/>
        <v>8.2</v>
      </c>
      <c r="I4131" s="60">
        <f t="shared" si="194"/>
        <v>4305</v>
      </c>
      <c r="J4131" s="60">
        <f t="shared" si="195"/>
        <v>9610.4</v>
      </c>
    </row>
    <row r="4132" ht="15.2" spans="1:10">
      <c r="A4132" s="58" t="s">
        <v>4774</v>
      </c>
      <c r="B4132" s="59">
        <v>370</v>
      </c>
      <c r="C4132" s="59">
        <v>880</v>
      </c>
      <c r="D4132" s="59" t="s">
        <v>801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ht="15.2" spans="1:10">
      <c r="A4133" s="58" t="s">
        <v>4775</v>
      </c>
      <c r="B4133" s="59">
        <v>661</v>
      </c>
      <c r="C4133" s="59">
        <v>1348</v>
      </c>
      <c r="D4133" s="59" t="s">
        <v>801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ht="15.2" spans="1:10">
      <c r="A4134" s="58" t="s">
        <v>4776</v>
      </c>
      <c r="B4134" s="59">
        <v>294</v>
      </c>
      <c r="C4134" s="59">
        <v>682</v>
      </c>
      <c r="D4134" s="59" t="s">
        <v>801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</v>
      </c>
      <c r="J4134" s="60">
        <f t="shared" si="195"/>
        <v>613.8</v>
      </c>
    </row>
    <row r="4135" ht="15.2" spans="1:10">
      <c r="A4135" s="58" t="s">
        <v>4777</v>
      </c>
      <c r="B4135" s="59">
        <v>500</v>
      </c>
      <c r="C4135" s="59">
        <v>1050</v>
      </c>
      <c r="D4135" s="59" t="s">
        <v>801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ht="15.2" spans="1:10">
      <c r="A4136" s="58" t="s">
        <v>4778</v>
      </c>
      <c r="B4136" s="59">
        <v>1313.5</v>
      </c>
      <c r="C4136" s="59">
        <v>1999</v>
      </c>
      <c r="D4136" s="59" t="s">
        <v>803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ht="15.2" spans="1:10">
      <c r="A4137" s="58" t="s">
        <v>4779</v>
      </c>
      <c r="B4137" s="59">
        <v>533</v>
      </c>
      <c r="C4137" s="59">
        <v>1232</v>
      </c>
      <c r="D4137" s="59" t="s">
        <v>801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184.8</v>
      </c>
    </row>
    <row r="4138" ht="15.2" spans="1:10">
      <c r="A4138" s="58" t="s">
        <v>4780</v>
      </c>
      <c r="B4138" s="59">
        <v>1707.76</v>
      </c>
      <c r="C4138" s="59">
        <v>2599</v>
      </c>
      <c r="D4138" s="59" t="s">
        <v>803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ht="15.2" spans="1:10">
      <c r="A4139" s="58" t="s">
        <v>4781</v>
      </c>
      <c r="B4139" s="59">
        <v>1092.25</v>
      </c>
      <c r="C4139" s="59">
        <v>1799</v>
      </c>
      <c r="D4139" s="59" t="s">
        <v>803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ht="15.2" spans="1:10">
      <c r="A4140" s="58" t="s">
        <v>4782</v>
      </c>
      <c r="B4140" s="59">
        <v>258</v>
      </c>
      <c r="C4140" s="59">
        <v>615</v>
      </c>
      <c r="D4140" s="59" t="s">
        <v>801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ht="15.2" spans="1:10">
      <c r="A4141" s="58" t="s">
        <v>4783</v>
      </c>
      <c r="B4141" s="59">
        <v>1177.98</v>
      </c>
      <c r="C4141" s="59">
        <v>1999</v>
      </c>
      <c r="D4141" s="59" t="s">
        <v>803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ht="15.2" spans="1:10">
      <c r="A4142" s="58" t="s">
        <v>4784</v>
      </c>
      <c r="B4142" s="59">
        <v>420</v>
      </c>
      <c r="C4142" s="59">
        <v>1057</v>
      </c>
      <c r="D4142" s="59" t="s">
        <v>801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ht="15.2" spans="1:10">
      <c r="A4143" s="58" t="s">
        <v>4785</v>
      </c>
      <c r="B4143" s="59">
        <v>1116.38</v>
      </c>
      <c r="C4143" s="59">
        <v>1699</v>
      </c>
      <c r="D4143" s="59" t="s">
        <v>803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ht="15.2" spans="1:10">
      <c r="A4144" s="58" t="s">
        <v>4786</v>
      </c>
      <c r="B4144" s="59">
        <v>492</v>
      </c>
      <c r="C4144" s="59">
        <v>1157</v>
      </c>
      <c r="D4144" s="59" t="s">
        <v>801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ht="15.2" spans="1:10">
      <c r="A4145" s="58" t="s">
        <v>4787</v>
      </c>
      <c r="B4145" s="59">
        <v>1881.54</v>
      </c>
      <c r="C4145" s="59">
        <v>3099</v>
      </c>
      <c r="D4145" s="59" t="s">
        <v>803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ht="15.2" spans="1:10">
      <c r="A4146" s="58" t="s">
        <v>4788</v>
      </c>
      <c r="B4146" s="59">
        <v>4124.41</v>
      </c>
      <c r="C4146" s="59">
        <v>6999</v>
      </c>
      <c r="D4146" s="59" t="s">
        <v>803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ht="15.2" spans="1:10">
      <c r="A4147" s="58" t="s">
        <v>4789</v>
      </c>
      <c r="B4147" s="59">
        <v>1092.25</v>
      </c>
      <c r="C4147" s="59">
        <v>1799</v>
      </c>
      <c r="D4147" s="59" t="s">
        <v>803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ht="15.2" spans="1:10">
      <c r="A4148" s="58" t="s">
        <v>4790</v>
      </c>
      <c r="B4148" s="59">
        <v>398</v>
      </c>
      <c r="C4148" s="59">
        <v>861</v>
      </c>
      <c r="D4148" s="59" t="s">
        <v>801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</v>
      </c>
      <c r="J4148" s="60">
        <f t="shared" si="195"/>
        <v>344.4</v>
      </c>
    </row>
    <row r="4149" ht="15.2" spans="1:10">
      <c r="A4149" s="58" t="s">
        <v>4791</v>
      </c>
      <c r="B4149" s="59">
        <v>1576.34</v>
      </c>
      <c r="C4149" s="59">
        <v>2399</v>
      </c>
      <c r="D4149" s="59" t="s">
        <v>803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ht="15.2" spans="1:10">
      <c r="A4150" s="58" t="s">
        <v>4792</v>
      </c>
      <c r="B4150" s="59">
        <v>1444.92</v>
      </c>
      <c r="C4150" s="59">
        <v>2199</v>
      </c>
      <c r="D4150" s="59" t="s">
        <v>803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ht="15.2" spans="1:10">
      <c r="A4151" s="58" t="s">
        <v>4793</v>
      </c>
      <c r="B4151" s="59">
        <v>1456.54</v>
      </c>
      <c r="C4151" s="59">
        <v>2399</v>
      </c>
      <c r="D4151" s="59" t="s">
        <v>803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ht="15.2" spans="1:10">
      <c r="A4152" s="58" t="s">
        <v>4794</v>
      </c>
      <c r="B4152" s="59">
        <v>1379.21</v>
      </c>
      <c r="C4152" s="59">
        <v>2099</v>
      </c>
      <c r="D4152" s="59" t="s">
        <v>803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ht="15.2" spans="1:10">
      <c r="A4153" s="58" t="s">
        <v>4795</v>
      </c>
      <c r="B4153" s="59">
        <v>1444.92</v>
      </c>
      <c r="C4153" s="59">
        <v>2199</v>
      </c>
      <c r="D4153" s="59" t="s">
        <v>803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ht="15.2" spans="1:10">
      <c r="A4154" s="58" t="s">
        <v>4796</v>
      </c>
      <c r="B4154" s="59">
        <v>2356.55</v>
      </c>
      <c r="C4154" s="59">
        <v>3999</v>
      </c>
      <c r="D4154" s="59" t="s">
        <v>803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</v>
      </c>
      <c r="J4154" s="60">
        <f t="shared" si="195"/>
        <v>3999</v>
      </c>
    </row>
    <row r="4155" ht="15.2" spans="1:10">
      <c r="A4155" s="58" t="s">
        <v>4797</v>
      </c>
      <c r="B4155" s="59">
        <v>1881.54</v>
      </c>
      <c r="C4155" s="59">
        <v>3099</v>
      </c>
      <c r="D4155" s="59" t="s">
        <v>803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ht="15.2" spans="1:10">
      <c r="A4156" s="58" t="s">
        <v>4798</v>
      </c>
      <c r="B4156" s="59">
        <v>1274.39</v>
      </c>
      <c r="C4156" s="59">
        <v>2099</v>
      </c>
      <c r="D4156" s="59" t="s">
        <v>803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</v>
      </c>
      <c r="J4156" s="60">
        <f t="shared" si="195"/>
        <v>4198</v>
      </c>
    </row>
    <row r="4157" ht="15.2" spans="1:10">
      <c r="A4157" s="58" t="s">
        <v>4799</v>
      </c>
      <c r="B4157" s="59">
        <v>1295.84</v>
      </c>
      <c r="C4157" s="59">
        <v>2199</v>
      </c>
      <c r="D4157" s="59" t="s">
        <v>803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1295.84</v>
      </c>
      <c r="J4157" s="60">
        <f t="shared" si="195"/>
        <v>2199</v>
      </c>
    </row>
    <row r="4158" ht="15.2" spans="1:10">
      <c r="A4158" s="58" t="s">
        <v>4800</v>
      </c>
      <c r="B4158" s="59">
        <v>239.2</v>
      </c>
      <c r="C4158" s="59">
        <v>658</v>
      </c>
      <c r="D4158" s="59" t="s">
        <v>801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ht="15.2" spans="1:10">
      <c r="A4159" s="58" t="s">
        <v>4801</v>
      </c>
      <c r="B4159" s="59">
        <v>355.16</v>
      </c>
      <c r="C4159" s="59">
        <v>1049</v>
      </c>
      <c r="D4159" s="59" t="s">
        <v>801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ht="15.2" spans="1:10">
      <c r="A4160" s="58" t="s">
        <v>4802</v>
      </c>
      <c r="B4160" s="59">
        <v>1638.68</v>
      </c>
      <c r="C4160" s="59">
        <v>2699</v>
      </c>
      <c r="D4160" s="59" t="s">
        <v>803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ht="15.2" spans="1:10">
      <c r="A4161" s="58" t="s">
        <v>4803</v>
      </c>
      <c r="B4161" s="59">
        <v>1638.68</v>
      </c>
      <c r="C4161" s="59">
        <v>2699</v>
      </c>
      <c r="D4161" s="59" t="s">
        <v>803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ht="15.2" spans="1:10">
      <c r="A4162" s="58" t="s">
        <v>4804</v>
      </c>
      <c r="B4162" s="59">
        <v>1313.5</v>
      </c>
      <c r="C4162" s="59">
        <v>1999</v>
      </c>
      <c r="D4162" s="59" t="s">
        <v>803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ht="15.2" spans="1:10">
      <c r="A4163" s="58" t="s">
        <v>4805</v>
      </c>
      <c r="B4163" s="59">
        <v>1456.54</v>
      </c>
      <c r="C4163" s="59">
        <v>2399</v>
      </c>
      <c r="D4163" s="59" t="s">
        <v>803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ht="15.2" spans="1:10">
      <c r="A4164" s="58" t="s">
        <v>4806</v>
      </c>
      <c r="B4164" s="59">
        <v>1942.25</v>
      </c>
      <c r="C4164" s="59">
        <v>3199</v>
      </c>
      <c r="D4164" s="59" t="s">
        <v>803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ht="15.2" spans="1:10">
      <c r="A4165" s="58" t="s">
        <v>4807</v>
      </c>
      <c r="B4165" s="59">
        <v>399</v>
      </c>
      <c r="C4165" s="59">
        <v>989</v>
      </c>
      <c r="D4165" s="59" t="s">
        <v>801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</v>
      </c>
      <c r="J4165" s="60">
        <f t="shared" si="198"/>
        <v>1285.7</v>
      </c>
    </row>
    <row r="4166" ht="15.2" spans="1:10">
      <c r="A4166" s="58" t="s">
        <v>4808</v>
      </c>
      <c r="B4166" s="59">
        <v>410</v>
      </c>
      <c r="C4166" s="59">
        <v>976</v>
      </c>
      <c r="D4166" s="59" t="s">
        <v>801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ht="15.2" spans="1:10">
      <c r="A4167" s="58" t="s">
        <v>4809</v>
      </c>
      <c r="B4167" s="59">
        <v>410</v>
      </c>
      <c r="C4167" s="59">
        <v>861</v>
      </c>
      <c r="D4167" s="59" t="s">
        <v>801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ht="15.2" spans="1:10">
      <c r="A4168" s="58" t="s">
        <v>4810</v>
      </c>
      <c r="B4168" s="59">
        <v>1444.92</v>
      </c>
      <c r="C4168" s="59">
        <v>2199</v>
      </c>
      <c r="D4168" s="59" t="s">
        <v>803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ht="15.2" spans="1:10">
      <c r="A4169" s="58" t="s">
        <v>4811</v>
      </c>
      <c r="B4169" s="59">
        <v>906.02</v>
      </c>
      <c r="C4169" s="59">
        <v>1399</v>
      </c>
      <c r="D4169" s="59" t="s">
        <v>803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ht="15.2" spans="1:10">
      <c r="A4170" s="58" t="s">
        <v>4812</v>
      </c>
      <c r="B4170" s="59">
        <v>492</v>
      </c>
      <c r="C4170" s="59">
        <v>1207</v>
      </c>
      <c r="D4170" s="59" t="s">
        <v>801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2293.3</v>
      </c>
    </row>
    <row r="4171" ht="15.2" spans="1:10">
      <c r="A4171" s="58" t="s">
        <v>4813</v>
      </c>
      <c r="B4171" s="59">
        <v>1274.39</v>
      </c>
      <c r="C4171" s="59">
        <v>2099</v>
      </c>
      <c r="D4171" s="59" t="s">
        <v>803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</v>
      </c>
      <c r="J4171" s="60">
        <f t="shared" si="198"/>
        <v>2099</v>
      </c>
    </row>
    <row r="4172" ht="15.2" spans="1:10">
      <c r="A4172" s="58" t="s">
        <v>4814</v>
      </c>
      <c r="B4172" s="59">
        <v>1295.84</v>
      </c>
      <c r="C4172" s="59">
        <v>2199</v>
      </c>
      <c r="D4172" s="59" t="s">
        <v>803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1295.84</v>
      </c>
      <c r="J4172" s="60">
        <f t="shared" si="198"/>
        <v>2199</v>
      </c>
    </row>
    <row r="4173" ht="15.2" spans="1:10">
      <c r="A4173" s="58" t="s">
        <v>4815</v>
      </c>
      <c r="B4173" s="59">
        <v>1444.92</v>
      </c>
      <c r="C4173" s="59">
        <v>2199</v>
      </c>
      <c r="D4173" s="59" t="s">
        <v>803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ht="15.2" spans="1:10">
      <c r="A4174" s="58" t="s">
        <v>4816</v>
      </c>
      <c r="B4174" s="59">
        <v>390</v>
      </c>
      <c r="C4174" s="59">
        <v>989</v>
      </c>
      <c r="D4174" s="59" t="s">
        <v>801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ht="15.2" spans="1:10">
      <c r="A4175" s="58" t="s">
        <v>4817</v>
      </c>
      <c r="B4175" s="59">
        <v>1354.77</v>
      </c>
      <c r="C4175" s="59">
        <v>2299</v>
      </c>
      <c r="D4175" s="59" t="s">
        <v>803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ht="15.2" spans="1:10">
      <c r="A4176" s="58" t="s">
        <v>4818</v>
      </c>
      <c r="B4176" s="59">
        <v>970.78</v>
      </c>
      <c r="C4176" s="59">
        <v>1499</v>
      </c>
      <c r="D4176" s="59" t="s">
        <v>803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ht="15.2" spans="1:10">
      <c r="A4177" s="58" t="s">
        <v>4819</v>
      </c>
      <c r="B4177" s="59">
        <v>1274.39</v>
      </c>
      <c r="C4177" s="59">
        <v>2099</v>
      </c>
      <c r="D4177" s="59" t="s">
        <v>803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</v>
      </c>
      <c r="J4177" s="60">
        <f t="shared" si="198"/>
        <v>4198</v>
      </c>
    </row>
    <row r="4178" ht="15.2" spans="1:10">
      <c r="A4178" s="58" t="s">
        <v>4820</v>
      </c>
      <c r="B4178" s="59">
        <v>906.02</v>
      </c>
      <c r="C4178" s="59">
        <v>1399</v>
      </c>
      <c r="D4178" s="59" t="s">
        <v>803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ht="15.2" spans="1:10">
      <c r="A4179" s="58" t="s">
        <v>4821</v>
      </c>
      <c r="B4179" s="59">
        <v>425</v>
      </c>
      <c r="C4179" s="59">
        <v>951</v>
      </c>
      <c r="D4179" s="59" t="s">
        <v>801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ht="15.2" spans="1:10">
      <c r="A4180" s="58" t="s">
        <v>4822</v>
      </c>
      <c r="B4180" s="59">
        <v>4249.39</v>
      </c>
      <c r="C4180" s="59">
        <v>6999</v>
      </c>
      <c r="D4180" s="59" t="s">
        <v>803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</v>
      </c>
      <c r="J4180" s="60">
        <f t="shared" si="198"/>
        <v>6999</v>
      </c>
    </row>
    <row r="4181" ht="15.2" spans="1:10">
      <c r="A4181" s="58" t="s">
        <v>4823</v>
      </c>
      <c r="B4181" s="59">
        <v>646.97</v>
      </c>
      <c r="C4181" s="59">
        <v>999</v>
      </c>
      <c r="D4181" s="59" t="s">
        <v>803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ht="15.2" spans="1:10">
      <c r="A4182" s="58" t="s">
        <v>4824</v>
      </c>
      <c r="B4182" s="59">
        <v>564</v>
      </c>
      <c r="C4182" s="59">
        <v>1431</v>
      </c>
      <c r="D4182" s="59" t="s">
        <v>801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ht="15.2" spans="1:10">
      <c r="A4183" s="58" t="s">
        <v>4825</v>
      </c>
      <c r="B4183" s="59">
        <v>574</v>
      </c>
      <c r="C4183" s="59">
        <v>1309</v>
      </c>
      <c r="D4183" s="59" t="s">
        <v>801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</v>
      </c>
      <c r="J4183" s="60">
        <f t="shared" si="198"/>
        <v>1047.2</v>
      </c>
    </row>
    <row r="4184" ht="15.2" spans="1:10">
      <c r="A4184" s="58" t="s">
        <v>4826</v>
      </c>
      <c r="B4184" s="59">
        <v>399</v>
      </c>
      <c r="C4184" s="59">
        <v>892</v>
      </c>
      <c r="D4184" s="59" t="s">
        <v>801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1316.7</v>
      </c>
      <c r="J4184" s="60">
        <f t="shared" si="198"/>
        <v>2943.6</v>
      </c>
    </row>
    <row r="4185" ht="15.2" spans="1:10">
      <c r="A4185" s="58" t="s">
        <v>4827</v>
      </c>
      <c r="B4185" s="59">
        <v>358</v>
      </c>
      <c r="C4185" s="59">
        <v>830</v>
      </c>
      <c r="D4185" s="59" t="s">
        <v>801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ht="15.2" spans="1:10">
      <c r="A4186" s="58" t="s">
        <v>4828</v>
      </c>
      <c r="B4186" s="59">
        <v>1517.25</v>
      </c>
      <c r="C4186" s="59">
        <v>2499</v>
      </c>
      <c r="D4186" s="59" t="s">
        <v>803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ht="15.2" spans="1:10">
      <c r="A4187" s="58" t="s">
        <v>4829</v>
      </c>
      <c r="B4187" s="59">
        <v>938</v>
      </c>
      <c r="C4187" s="59">
        <v>2167</v>
      </c>
      <c r="D4187" s="59" t="s">
        <v>801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656.6</v>
      </c>
      <c r="J4187" s="60">
        <f t="shared" si="198"/>
        <v>1516.9</v>
      </c>
    </row>
    <row r="4188" ht="15.2" spans="1:10">
      <c r="A4188" s="58" t="s">
        <v>4830</v>
      </c>
      <c r="B4188" s="59">
        <v>551</v>
      </c>
      <c r="C4188" s="59">
        <v>1293</v>
      </c>
      <c r="D4188" s="59" t="s">
        <v>801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ht="15.2" spans="1:10">
      <c r="A4189" s="58" t="s">
        <v>4831</v>
      </c>
      <c r="B4189" s="59">
        <v>367</v>
      </c>
      <c r="C4189" s="59">
        <v>790</v>
      </c>
      <c r="D4189" s="59" t="s">
        <v>801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</v>
      </c>
      <c r="J4189" s="60">
        <f t="shared" si="198"/>
        <v>79</v>
      </c>
    </row>
    <row r="4190" ht="15.2" spans="1:10">
      <c r="A4190" s="58" t="s">
        <v>4832</v>
      </c>
      <c r="B4190" s="59">
        <v>2102</v>
      </c>
      <c r="C4190" s="59">
        <v>3199</v>
      </c>
      <c r="D4190" s="59" t="s">
        <v>803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ht="15.2" spans="1:10">
      <c r="A4191" s="58" t="s">
        <v>4833</v>
      </c>
      <c r="B4191" s="59">
        <v>666</v>
      </c>
      <c r="C4191" s="59">
        <v>1510</v>
      </c>
      <c r="D4191" s="59" t="s">
        <v>801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</v>
      </c>
      <c r="J4191" s="60">
        <f t="shared" si="198"/>
        <v>604</v>
      </c>
    </row>
    <row r="4192" ht="15.2" spans="1:10">
      <c r="A4192" s="58" t="s">
        <v>4834</v>
      </c>
      <c r="B4192" s="59">
        <v>360</v>
      </c>
      <c r="C4192" s="59">
        <v>892</v>
      </c>
      <c r="D4192" s="59" t="s">
        <v>801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</v>
      </c>
    </row>
    <row r="4193" ht="15.2" spans="1:10">
      <c r="A4193" s="58" t="s">
        <v>4835</v>
      </c>
      <c r="B4193" s="59">
        <v>722.13</v>
      </c>
      <c r="C4193" s="59">
        <v>1099</v>
      </c>
      <c r="D4193" s="59" t="s">
        <v>803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ht="15.2" spans="1:10">
      <c r="A4194" s="58" t="s">
        <v>4836</v>
      </c>
      <c r="B4194" s="59">
        <v>1116.38</v>
      </c>
      <c r="C4194" s="59">
        <v>1699</v>
      </c>
      <c r="D4194" s="59" t="s">
        <v>803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</v>
      </c>
      <c r="J4194" s="60">
        <f t="shared" si="198"/>
        <v>1699</v>
      </c>
    </row>
    <row r="4195" ht="15.2" spans="1:10">
      <c r="A4195" s="58" t="s">
        <v>4837</v>
      </c>
      <c r="B4195" s="59">
        <v>965.66</v>
      </c>
      <c r="C4195" s="59">
        <v>1499</v>
      </c>
      <c r="D4195" s="59" t="s">
        <v>803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ht="15.2" spans="1:10">
      <c r="A4196" s="58" t="s">
        <v>4838</v>
      </c>
      <c r="B4196" s="59">
        <v>1750</v>
      </c>
      <c r="C4196" s="59">
        <v>3300</v>
      </c>
      <c r="D4196" s="59" t="s">
        <v>815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ht="15.2" spans="1:10">
      <c r="A4197" s="58" t="s">
        <v>4839</v>
      </c>
      <c r="B4197" s="59">
        <v>518</v>
      </c>
      <c r="C4197" s="59">
        <v>1216</v>
      </c>
      <c r="D4197" s="59" t="s">
        <v>801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ht="15.2" spans="1:10">
      <c r="A4198" s="58" t="s">
        <v>4840</v>
      </c>
      <c r="B4198" s="59">
        <v>1576.34</v>
      </c>
      <c r="C4198" s="59">
        <v>2399</v>
      </c>
      <c r="D4198" s="59" t="s">
        <v>803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ht="15.2" spans="1:10">
      <c r="A4199" s="58" t="s">
        <v>4841</v>
      </c>
      <c r="B4199" s="59">
        <v>1213.68</v>
      </c>
      <c r="C4199" s="59">
        <v>1999</v>
      </c>
      <c r="D4199" s="59" t="s">
        <v>803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ht="15.2" spans="1:10">
      <c r="A4200" s="58" t="s">
        <v>4842</v>
      </c>
      <c r="B4200" s="59">
        <v>2167.7</v>
      </c>
      <c r="C4200" s="59">
        <v>3299</v>
      </c>
      <c r="D4200" s="59" t="s">
        <v>803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ht="15.2" spans="1:10">
      <c r="A4201" s="58" t="s">
        <v>4843</v>
      </c>
      <c r="B4201" s="59">
        <v>0</v>
      </c>
      <c r="C4201" s="59">
        <v>0</v>
      </c>
      <c r="D4201" s="59" t="s">
        <v>815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ht="15.2" spans="1:10">
      <c r="A4202" s="58" t="s">
        <v>4844</v>
      </c>
      <c r="B4202" s="59">
        <v>5892.27</v>
      </c>
      <c r="C4202" s="59">
        <v>9999</v>
      </c>
      <c r="D4202" s="59" t="s">
        <v>803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ht="15.2" spans="1:10">
      <c r="A4203" s="58" t="s">
        <v>4845</v>
      </c>
      <c r="B4203" s="59">
        <v>1178</v>
      </c>
      <c r="C4203" s="59">
        <v>3115</v>
      </c>
      <c r="D4203" s="59" t="s">
        <v>801</v>
      </c>
      <c r="E4203" s="59">
        <v>2.55</v>
      </c>
      <c r="F4203" s="59">
        <v>2.55</v>
      </c>
      <c r="G4203" s="59">
        <v>0</v>
      </c>
      <c r="H4203" s="60">
        <f t="shared" si="199"/>
        <v>2.55</v>
      </c>
      <c r="I4203" s="60">
        <f t="shared" si="197"/>
        <v>3003.9</v>
      </c>
      <c r="J4203" s="60">
        <f t="shared" si="198"/>
        <v>7943.25</v>
      </c>
    </row>
    <row r="4204" ht="15.2" spans="1:10">
      <c r="A4204" s="58" t="s">
        <v>4846</v>
      </c>
      <c r="B4204" s="59">
        <v>1416.6</v>
      </c>
      <c r="C4204" s="59">
        <v>2199</v>
      </c>
      <c r="D4204" s="59" t="s">
        <v>803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ht="15.2" spans="1:10">
      <c r="A4205" s="58" t="s">
        <v>4847</v>
      </c>
      <c r="B4205" s="59">
        <v>3941.82</v>
      </c>
      <c r="C4205" s="59">
        <v>5999</v>
      </c>
      <c r="D4205" s="59" t="s">
        <v>803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ht="15.2" spans="1:10">
      <c r="A4206" s="58" t="s">
        <v>4848</v>
      </c>
      <c r="B4206" s="59">
        <v>476</v>
      </c>
      <c r="C4206" s="59">
        <v>1025</v>
      </c>
      <c r="D4206" s="59" t="s">
        <v>801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ht="15.2" spans="1:10">
      <c r="A4207" s="58" t="s">
        <v>4849</v>
      </c>
      <c r="B4207" s="59">
        <v>452.69</v>
      </c>
      <c r="C4207" s="59">
        <v>699</v>
      </c>
      <c r="D4207" s="59" t="s">
        <v>803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ht="15.2" spans="1:10">
      <c r="A4208" s="58" t="s">
        <v>4850</v>
      </c>
      <c r="B4208" s="59">
        <v>1642.05</v>
      </c>
      <c r="C4208" s="59">
        <v>2499</v>
      </c>
      <c r="D4208" s="59" t="s">
        <v>803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ht="15.2" spans="1:10">
      <c r="A4209" s="58" t="s">
        <v>4851</v>
      </c>
      <c r="B4209" s="59">
        <v>331.3</v>
      </c>
      <c r="C4209" s="59">
        <v>947</v>
      </c>
      <c r="D4209" s="59" t="s">
        <v>801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</v>
      </c>
      <c r="J4209" s="60">
        <f t="shared" si="198"/>
        <v>615.55</v>
      </c>
    </row>
    <row r="4210" ht="15.2" spans="1:10">
      <c r="A4210" s="58" t="s">
        <v>4852</v>
      </c>
      <c r="B4210" s="59">
        <v>593</v>
      </c>
      <c r="C4210" s="59">
        <v>1431</v>
      </c>
      <c r="D4210" s="59" t="s">
        <v>801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ht="15.2" spans="1:10">
      <c r="A4211" s="58" t="s">
        <v>4853</v>
      </c>
      <c r="B4211" s="59">
        <v>2063.68</v>
      </c>
      <c r="C4211" s="59">
        <v>3399</v>
      </c>
      <c r="D4211" s="59" t="s">
        <v>803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ht="15.2" spans="1:10">
      <c r="A4212" s="58" t="s">
        <v>4854</v>
      </c>
      <c r="B4212" s="59">
        <v>1046.55</v>
      </c>
      <c r="C4212" s="59">
        <v>1599</v>
      </c>
      <c r="D4212" s="59" t="s">
        <v>803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ht="15.2" spans="1:10">
      <c r="A4213" s="58" t="s">
        <v>4855</v>
      </c>
      <c r="B4213" s="59">
        <v>1444.92</v>
      </c>
      <c r="C4213" s="59">
        <v>2199</v>
      </c>
      <c r="D4213" s="59" t="s">
        <v>803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ht="15.2" spans="1:10">
      <c r="A4214" s="58" t="s">
        <v>4856</v>
      </c>
      <c r="B4214" s="59">
        <v>759</v>
      </c>
      <c r="C4214" s="59">
        <v>1938</v>
      </c>
      <c r="D4214" s="59" t="s">
        <v>801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ht="15.2" spans="1:10">
      <c r="A4215" s="58" t="s">
        <v>4857</v>
      </c>
      <c r="B4215" s="59">
        <v>1222.8</v>
      </c>
      <c r="C4215" s="59">
        <v>2176</v>
      </c>
      <c r="D4215" s="59" t="s">
        <v>801</v>
      </c>
      <c r="E4215" s="59">
        <v>9.2</v>
      </c>
      <c r="F4215" s="59">
        <v>9.2</v>
      </c>
      <c r="G4215" s="59">
        <v>0</v>
      </c>
      <c r="H4215" s="60">
        <f t="shared" si="199"/>
        <v>9.2</v>
      </c>
      <c r="I4215" s="60">
        <f t="shared" si="197"/>
        <v>11249.76</v>
      </c>
      <c r="J4215" s="60">
        <f t="shared" si="198"/>
        <v>20019.2</v>
      </c>
    </row>
    <row r="4216" ht="15.2" spans="1:10">
      <c r="A4216" s="58" t="s">
        <v>4858</v>
      </c>
      <c r="B4216" s="59">
        <v>1200</v>
      </c>
      <c r="C4216" s="59">
        <v>2472</v>
      </c>
      <c r="D4216" s="59" t="s">
        <v>801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</v>
      </c>
    </row>
    <row r="4217" ht="15.2" spans="1:10">
      <c r="A4217" s="58" t="s">
        <v>4859</v>
      </c>
      <c r="B4217" s="59">
        <v>1638.68</v>
      </c>
      <c r="C4217" s="59">
        <v>2699</v>
      </c>
      <c r="D4217" s="59" t="s">
        <v>803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ht="15.2" spans="1:10">
      <c r="A4218" s="58" t="s">
        <v>4860</v>
      </c>
      <c r="B4218" s="59">
        <v>1092.25</v>
      </c>
      <c r="C4218" s="59">
        <v>1799</v>
      </c>
      <c r="D4218" s="59" t="s">
        <v>803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ht="15.2" spans="1:10">
      <c r="A4219" s="58" t="s">
        <v>4861</v>
      </c>
      <c r="B4219" s="59">
        <v>417</v>
      </c>
      <c r="C4219" s="59">
        <v>951</v>
      </c>
      <c r="D4219" s="59" t="s">
        <v>801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ht="15.2" spans="1:10">
      <c r="A4220" s="58" t="s">
        <v>4862</v>
      </c>
      <c r="B4220" s="59">
        <v>1177.98</v>
      </c>
      <c r="C4220" s="59">
        <v>1999</v>
      </c>
      <c r="D4220" s="59" t="s">
        <v>803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ht="15.2" spans="1:10">
      <c r="A4221" s="58" t="s">
        <v>4863</v>
      </c>
      <c r="B4221" s="59">
        <v>4856.54</v>
      </c>
      <c r="C4221" s="59">
        <v>7999</v>
      </c>
      <c r="D4221" s="59" t="s">
        <v>803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ht="15.2" spans="1:10">
      <c r="A4222" s="58" t="s">
        <v>4864</v>
      </c>
      <c r="B4222" s="59">
        <v>1773.46</v>
      </c>
      <c r="C4222" s="59">
        <v>2699</v>
      </c>
      <c r="D4222" s="59" t="s">
        <v>803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ht="15.2" spans="1:10">
      <c r="A4223" s="58" t="s">
        <v>4865</v>
      </c>
      <c r="B4223" s="59">
        <v>1444.92</v>
      </c>
      <c r="C4223" s="59">
        <v>2199</v>
      </c>
      <c r="D4223" s="59" t="s">
        <v>803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ht="15.2" spans="1:10">
      <c r="A4224" s="58" t="s">
        <v>4866</v>
      </c>
      <c r="B4224" s="59">
        <v>1247.8</v>
      </c>
      <c r="C4224" s="59">
        <v>1899</v>
      </c>
      <c r="D4224" s="59" t="s">
        <v>803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ht="15.2" spans="1:10">
      <c r="A4225" s="58" t="s">
        <v>4867</v>
      </c>
      <c r="B4225" s="59">
        <v>384</v>
      </c>
      <c r="C4225" s="59">
        <v>911</v>
      </c>
      <c r="D4225" s="59" t="s">
        <v>801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ht="15.2" spans="1:10">
      <c r="A4226" s="58" t="s">
        <v>4868</v>
      </c>
      <c r="B4226" s="59">
        <v>819</v>
      </c>
      <c r="C4226" s="59">
        <v>1926</v>
      </c>
      <c r="D4226" s="59" t="s">
        <v>801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</v>
      </c>
    </row>
    <row r="4227" ht="15.2" spans="1:10">
      <c r="A4227" s="58" t="s">
        <v>4869</v>
      </c>
      <c r="B4227" s="59">
        <v>1379.21</v>
      </c>
      <c r="C4227" s="59">
        <v>2099</v>
      </c>
      <c r="D4227" s="59" t="s">
        <v>803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ht="15.2" spans="1:10">
      <c r="A4228" s="58" t="s">
        <v>4870</v>
      </c>
      <c r="B4228" s="59">
        <v>8499.39</v>
      </c>
      <c r="C4228" s="59">
        <v>13999</v>
      </c>
      <c r="D4228" s="59" t="s">
        <v>803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ht="15.2" spans="1:10">
      <c r="A4229" s="58" t="s">
        <v>4871</v>
      </c>
      <c r="B4229" s="59">
        <v>1354.77</v>
      </c>
      <c r="C4229" s="59">
        <v>2299</v>
      </c>
      <c r="D4229" s="59" t="s">
        <v>803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ht="15.2" spans="1:10">
      <c r="A4230" s="58" t="s">
        <v>4872</v>
      </c>
      <c r="B4230" s="59">
        <v>1295.84</v>
      </c>
      <c r="C4230" s="59">
        <v>2199</v>
      </c>
      <c r="D4230" s="59" t="s">
        <v>803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ht="15.2" spans="1:10">
      <c r="A4231" s="58" t="s">
        <v>4873</v>
      </c>
      <c r="B4231" s="59">
        <v>450</v>
      </c>
      <c r="C4231" s="59">
        <v>1008</v>
      </c>
      <c r="D4231" s="59" t="s">
        <v>801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</v>
      </c>
    </row>
    <row r="4232" ht="15.2" spans="1:10">
      <c r="A4232" s="58" t="s">
        <v>4874</v>
      </c>
      <c r="B4232" s="59">
        <v>675</v>
      </c>
      <c r="C4232" s="59">
        <v>1418</v>
      </c>
      <c r="D4232" s="59" t="s">
        <v>801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</v>
      </c>
    </row>
    <row r="4233" ht="15.2" spans="1:10">
      <c r="A4233" s="58" t="s">
        <v>4875</v>
      </c>
      <c r="B4233" s="59">
        <v>646</v>
      </c>
      <c r="C4233" s="59">
        <v>1358</v>
      </c>
      <c r="D4233" s="59" t="s">
        <v>801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ht="15.2" spans="1:10">
      <c r="A4234" s="58" t="s">
        <v>4876</v>
      </c>
      <c r="B4234" s="59">
        <v>1298</v>
      </c>
      <c r="C4234" s="59">
        <v>2791</v>
      </c>
      <c r="D4234" s="59" t="s">
        <v>801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ht="15.2" spans="1:10">
      <c r="A4235" s="58" t="s">
        <v>4877</v>
      </c>
      <c r="B4235" s="59">
        <v>400</v>
      </c>
      <c r="C4235" s="59">
        <v>884</v>
      </c>
      <c r="D4235" s="59" t="s">
        <v>801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ht="15.2" spans="1:10">
      <c r="A4236" s="58" t="s">
        <v>4878</v>
      </c>
      <c r="B4236" s="59">
        <v>1395.82</v>
      </c>
      <c r="C4236" s="59">
        <v>2299</v>
      </c>
      <c r="D4236" s="59" t="s">
        <v>803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ht="15.2" spans="1:10">
      <c r="A4237" s="58" t="s">
        <v>4879</v>
      </c>
      <c r="B4237" s="59">
        <v>430</v>
      </c>
      <c r="C4237" s="59">
        <v>959</v>
      </c>
      <c r="D4237" s="59" t="s">
        <v>801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ht="15.2" spans="1:10">
      <c r="A4238" s="58" t="s">
        <v>4880</v>
      </c>
      <c r="B4238" s="59">
        <v>1092.25</v>
      </c>
      <c r="C4238" s="59">
        <v>1799</v>
      </c>
      <c r="D4238" s="59" t="s">
        <v>803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ht="15.2" spans="1:10">
      <c r="A4239" s="58" t="s">
        <v>4881</v>
      </c>
      <c r="B4239" s="59">
        <v>608</v>
      </c>
      <c r="C4239" s="59">
        <v>1271</v>
      </c>
      <c r="D4239" s="59" t="s">
        <v>801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425.6</v>
      </c>
      <c r="J4239" s="60">
        <f t="shared" si="201"/>
        <v>889.7</v>
      </c>
    </row>
    <row r="4240" ht="15.2" spans="1:10">
      <c r="A4240" s="58" t="s">
        <v>4882</v>
      </c>
      <c r="B4240" s="59">
        <v>901.24</v>
      </c>
      <c r="C4240" s="59">
        <v>1399</v>
      </c>
      <c r="D4240" s="59" t="s">
        <v>803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ht="15.2" spans="1:10">
      <c r="A4241" s="58" t="s">
        <v>4883</v>
      </c>
      <c r="B4241" s="59">
        <v>1472.63</v>
      </c>
      <c r="C4241" s="59">
        <v>2499</v>
      </c>
      <c r="D4241" s="59" t="s">
        <v>803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ht="15.2" spans="1:10">
      <c r="A4242" s="58" t="s">
        <v>4884</v>
      </c>
      <c r="B4242" s="59">
        <v>1274.4</v>
      </c>
      <c r="C4242" s="59">
        <v>2099</v>
      </c>
      <c r="D4242" s="59" t="s">
        <v>803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ht="15.2" spans="1:10">
      <c r="A4243" s="58" t="s">
        <v>4885</v>
      </c>
      <c r="B4243" s="59">
        <v>547</v>
      </c>
      <c r="C4243" s="59">
        <v>1116</v>
      </c>
      <c r="D4243" s="59" t="s">
        <v>801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ht="15.2" spans="1:10">
      <c r="A4244" s="58" t="s">
        <v>4886</v>
      </c>
      <c r="B4244" s="59">
        <v>517.45</v>
      </c>
      <c r="C4244" s="59">
        <v>799</v>
      </c>
      <c r="D4244" s="59" t="s">
        <v>803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</v>
      </c>
      <c r="J4244" s="60">
        <f t="shared" si="201"/>
        <v>1598</v>
      </c>
    </row>
    <row r="4245" ht="15.2" spans="1:10">
      <c r="A4245" s="58" t="s">
        <v>4887</v>
      </c>
      <c r="B4245" s="59">
        <v>409</v>
      </c>
      <c r="C4245" s="59">
        <v>1032</v>
      </c>
      <c r="D4245" s="59" t="s">
        <v>801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</v>
      </c>
      <c r="J4245" s="60">
        <f t="shared" si="201"/>
        <v>3199.2</v>
      </c>
    </row>
    <row r="4246" ht="15.2" spans="1:10">
      <c r="A4246" s="58" t="s">
        <v>4888</v>
      </c>
      <c r="B4246" s="59">
        <v>4856.54</v>
      </c>
      <c r="C4246" s="59">
        <v>7999</v>
      </c>
      <c r="D4246" s="59" t="s">
        <v>803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ht="15.2" spans="1:10">
      <c r="A4247" s="58" t="s">
        <v>4889</v>
      </c>
      <c r="B4247" s="59">
        <v>285</v>
      </c>
      <c r="C4247" s="59">
        <v>600</v>
      </c>
      <c r="D4247" s="59" t="s">
        <v>801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ht="15.2" spans="1:10">
      <c r="A4248" s="58" t="s">
        <v>4890</v>
      </c>
      <c r="B4248" s="59">
        <v>1456.54</v>
      </c>
      <c r="C4248" s="59">
        <v>2399</v>
      </c>
      <c r="D4248" s="59" t="s">
        <v>803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ht="15.2" spans="1:10">
      <c r="A4249" s="58" t="s">
        <v>4891</v>
      </c>
      <c r="B4249" s="59">
        <v>270</v>
      </c>
      <c r="C4249" s="59">
        <v>588</v>
      </c>
      <c r="D4249" s="59" t="s">
        <v>801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ht="15.2" spans="1:10">
      <c r="A4250" s="58" t="s">
        <v>4892</v>
      </c>
      <c r="B4250" s="59">
        <v>1354.77</v>
      </c>
      <c r="C4250" s="59">
        <v>2299</v>
      </c>
      <c r="D4250" s="59" t="s">
        <v>803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ht="15.2" spans="1:10">
      <c r="A4251" s="58" t="s">
        <v>4893</v>
      </c>
      <c r="B4251" s="59">
        <v>499</v>
      </c>
      <c r="C4251" s="59">
        <v>1117</v>
      </c>
      <c r="D4251" s="59" t="s">
        <v>801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7037.1</v>
      </c>
    </row>
    <row r="4252" ht="15.2" spans="1:10">
      <c r="A4252" s="58" t="s">
        <v>4894</v>
      </c>
      <c r="B4252" s="59">
        <v>1510.63</v>
      </c>
      <c r="C4252" s="59">
        <v>2299</v>
      </c>
      <c r="D4252" s="59" t="s">
        <v>803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ht="15.2" spans="1:10">
      <c r="A4253" s="58" t="s">
        <v>4895</v>
      </c>
      <c r="B4253" s="59">
        <v>290.78</v>
      </c>
      <c r="C4253" s="59">
        <v>449</v>
      </c>
      <c r="D4253" s="59" t="s">
        <v>803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581.56</v>
      </c>
      <c r="J4253" s="60">
        <f t="shared" si="201"/>
        <v>898</v>
      </c>
    </row>
    <row r="4254" ht="15.2" spans="1:10">
      <c r="A4254" s="58" t="s">
        <v>4896</v>
      </c>
      <c r="B4254" s="59">
        <v>1456.54</v>
      </c>
      <c r="C4254" s="59">
        <v>2399</v>
      </c>
      <c r="D4254" s="59" t="s">
        <v>803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ht="15.2" spans="1:10">
      <c r="A4255" s="58" t="s">
        <v>4897</v>
      </c>
      <c r="B4255" s="59">
        <v>1456.54</v>
      </c>
      <c r="C4255" s="59">
        <v>2399</v>
      </c>
      <c r="D4255" s="59" t="s">
        <v>803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ht="15.2" spans="1:10">
      <c r="A4256" s="58" t="s">
        <v>4898</v>
      </c>
      <c r="B4256" s="59">
        <v>776.49</v>
      </c>
      <c r="C4256" s="59">
        <v>1199</v>
      </c>
      <c r="D4256" s="59" t="s">
        <v>803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ht="15.2" spans="1:10">
      <c r="A4257" s="58" t="s">
        <v>4899</v>
      </c>
      <c r="B4257" s="59">
        <v>599</v>
      </c>
      <c r="C4257" s="59">
        <v>1338</v>
      </c>
      <c r="D4257" s="59" t="s">
        <v>801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</v>
      </c>
      <c r="J4257" s="60">
        <f t="shared" si="201"/>
        <v>15788.4</v>
      </c>
    </row>
    <row r="4258" ht="15.2" spans="1:10">
      <c r="A4258" s="58" t="s">
        <v>4900</v>
      </c>
      <c r="B4258" s="59">
        <v>649</v>
      </c>
      <c r="C4258" s="59">
        <v>1299</v>
      </c>
      <c r="D4258" s="59" t="s">
        <v>801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ht="15.2" spans="1:10">
      <c r="A4259" s="58" t="s">
        <v>4901</v>
      </c>
      <c r="B4259" s="59">
        <v>1313.5</v>
      </c>
      <c r="C4259" s="59">
        <v>1999</v>
      </c>
      <c r="D4259" s="59" t="s">
        <v>803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ht="15.2" spans="1:10">
      <c r="A4260" s="58" t="s">
        <v>4902</v>
      </c>
      <c r="B4260" s="59">
        <v>1576.34</v>
      </c>
      <c r="C4260" s="59">
        <v>2399</v>
      </c>
      <c r="D4260" s="59" t="s">
        <v>803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ht="15.2" spans="1:10">
      <c r="A4261" s="58" t="s">
        <v>4903</v>
      </c>
      <c r="B4261" s="59">
        <v>970.78</v>
      </c>
      <c r="C4261" s="59">
        <v>1499</v>
      </c>
      <c r="D4261" s="59" t="s">
        <v>803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ht="15.2" spans="1:10">
      <c r="A4262" s="58" t="s">
        <v>4904</v>
      </c>
      <c r="B4262" s="59">
        <v>317</v>
      </c>
      <c r="C4262" s="59">
        <v>700</v>
      </c>
      <c r="D4262" s="59" t="s">
        <v>801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ht="15.2" spans="1:10">
      <c r="A4263" s="58" t="s">
        <v>4905</v>
      </c>
      <c r="B4263" s="59">
        <v>1456.54</v>
      </c>
      <c r="C4263" s="59">
        <v>2399</v>
      </c>
      <c r="D4263" s="59" t="s">
        <v>803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ht="15.2" spans="1:10">
      <c r="A4264" s="58" t="s">
        <v>4906</v>
      </c>
      <c r="B4264" s="59">
        <v>756</v>
      </c>
      <c r="C4264" s="59">
        <v>1717</v>
      </c>
      <c r="D4264" s="59" t="s">
        <v>801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529.2</v>
      </c>
      <c r="J4264" s="60">
        <f t="shared" si="201"/>
        <v>1201.9</v>
      </c>
    </row>
    <row r="4265" ht="15.2" spans="1:10">
      <c r="A4265" s="58" t="s">
        <v>4907</v>
      </c>
      <c r="B4265" s="59">
        <v>1092.25</v>
      </c>
      <c r="C4265" s="59">
        <v>1799</v>
      </c>
      <c r="D4265" s="59" t="s">
        <v>803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ht="15.2" spans="1:10">
      <c r="A4266" s="58" t="s">
        <v>4908</v>
      </c>
      <c r="B4266" s="59">
        <v>1444.92</v>
      </c>
      <c r="C4266" s="59">
        <v>2199</v>
      </c>
      <c r="D4266" s="59" t="s">
        <v>803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ht="15.2" spans="1:10">
      <c r="A4267" s="58" t="s">
        <v>4909</v>
      </c>
      <c r="B4267" s="59">
        <v>4124.41</v>
      </c>
      <c r="C4267" s="59">
        <v>6999</v>
      </c>
      <c r="D4267" s="59" t="s">
        <v>803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ht="15.2" spans="1:10">
      <c r="A4268" s="58" t="s">
        <v>4910</v>
      </c>
      <c r="B4268" s="59">
        <v>1638.68</v>
      </c>
      <c r="C4268" s="59">
        <v>2699</v>
      </c>
      <c r="D4268" s="59" t="s">
        <v>803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ht="15.2" spans="1:10">
      <c r="A4269" s="58" t="s">
        <v>4911</v>
      </c>
      <c r="B4269" s="59">
        <v>354</v>
      </c>
      <c r="C4269" s="59">
        <v>825</v>
      </c>
      <c r="D4269" s="59" t="s">
        <v>801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</v>
      </c>
      <c r="J4269" s="60">
        <f t="shared" si="201"/>
        <v>2557.5</v>
      </c>
    </row>
    <row r="4270" ht="15.2" spans="1:10">
      <c r="A4270" s="58" t="s">
        <v>4912</v>
      </c>
      <c r="B4270" s="59">
        <v>507</v>
      </c>
      <c r="C4270" s="59">
        <v>1189</v>
      </c>
      <c r="D4270" s="59" t="s">
        <v>801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ht="15.2" spans="1:10">
      <c r="A4271" s="58" t="s">
        <v>4913</v>
      </c>
      <c r="B4271" s="59">
        <v>361</v>
      </c>
      <c r="C4271" s="59">
        <v>855</v>
      </c>
      <c r="D4271" s="59" t="s">
        <v>801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613.7</v>
      </c>
      <c r="J4271" s="60">
        <f t="shared" si="201"/>
        <v>1453.5</v>
      </c>
    </row>
    <row r="4272" ht="15.2" spans="1:10">
      <c r="A4272" s="58" t="s">
        <v>4914</v>
      </c>
      <c r="B4272" s="59">
        <v>2299.12</v>
      </c>
      <c r="C4272" s="59">
        <v>3499</v>
      </c>
      <c r="D4272" s="59" t="s">
        <v>803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ht="15.2" spans="1:10">
      <c r="A4273" s="58" t="s">
        <v>4915</v>
      </c>
      <c r="B4273" s="59">
        <v>630</v>
      </c>
      <c r="C4273" s="59">
        <v>1353</v>
      </c>
      <c r="D4273" s="59" t="s">
        <v>801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ht="15.2" spans="1:10">
      <c r="A4274" s="58" t="s">
        <v>4916</v>
      </c>
      <c r="B4274" s="59">
        <v>2063.68</v>
      </c>
      <c r="C4274" s="59">
        <v>3399</v>
      </c>
      <c r="D4274" s="59" t="s">
        <v>803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2063.68</v>
      </c>
      <c r="J4274" s="60">
        <f t="shared" si="201"/>
        <v>3399</v>
      </c>
    </row>
    <row r="4275" ht="15.2" spans="1:10">
      <c r="A4275" s="58" t="s">
        <v>4917</v>
      </c>
      <c r="B4275" s="59">
        <v>1444.92</v>
      </c>
      <c r="C4275" s="59">
        <v>2199</v>
      </c>
      <c r="D4275" s="59" t="s">
        <v>803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ht="15.2" spans="1:10">
      <c r="A4276" s="58" t="s">
        <v>4918</v>
      </c>
      <c r="B4276" s="59">
        <v>970.78</v>
      </c>
      <c r="C4276" s="59">
        <v>1499</v>
      </c>
      <c r="D4276" s="59" t="s">
        <v>803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ht="15.2" spans="1:10">
      <c r="A4277" s="58" t="s">
        <v>4919</v>
      </c>
      <c r="B4277" s="59">
        <v>2063.68</v>
      </c>
      <c r="C4277" s="59">
        <v>3399</v>
      </c>
      <c r="D4277" s="59" t="s">
        <v>803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2063.68</v>
      </c>
      <c r="J4277" s="60">
        <f t="shared" si="201"/>
        <v>3399</v>
      </c>
    </row>
    <row r="4278" ht="15.2" spans="1:10">
      <c r="A4278" s="58" t="s">
        <v>4920</v>
      </c>
      <c r="B4278" s="59">
        <v>1354.77</v>
      </c>
      <c r="C4278" s="59">
        <v>2299</v>
      </c>
      <c r="D4278" s="59" t="s">
        <v>803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ht="15.2" spans="1:10">
      <c r="A4279" s="58" t="s">
        <v>4921</v>
      </c>
      <c r="B4279" s="59">
        <v>384</v>
      </c>
      <c r="C4279" s="59">
        <v>959</v>
      </c>
      <c r="D4279" s="59" t="s">
        <v>801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</v>
      </c>
      <c r="J4279" s="60">
        <f t="shared" si="201"/>
        <v>4986.8</v>
      </c>
    </row>
    <row r="4280" ht="15.2" spans="1:10">
      <c r="A4280" s="58" t="s">
        <v>4922</v>
      </c>
      <c r="B4280" s="59">
        <v>1177.98</v>
      </c>
      <c r="C4280" s="59">
        <v>1999</v>
      </c>
      <c r="D4280" s="59" t="s">
        <v>803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ht="15.2" spans="1:10">
      <c r="A4281" s="58" t="s">
        <v>4923</v>
      </c>
      <c r="B4281" s="59">
        <v>1213.68</v>
      </c>
      <c r="C4281" s="59">
        <v>1999</v>
      </c>
      <c r="D4281" s="59" t="s">
        <v>803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ht="15.2" spans="1:10">
      <c r="A4282" s="58" t="s">
        <v>4924</v>
      </c>
      <c r="B4282" s="59">
        <v>170</v>
      </c>
      <c r="C4282" s="59">
        <v>1299</v>
      </c>
      <c r="D4282" s="59" t="s">
        <v>815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ht="15.2" spans="1:10">
      <c r="A4283" s="58" t="s">
        <v>4925</v>
      </c>
      <c r="B4283" s="59">
        <v>435</v>
      </c>
      <c r="C4283" s="59">
        <v>1064</v>
      </c>
      <c r="D4283" s="59" t="s">
        <v>801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ht="15.2" spans="1:10">
      <c r="A4284" s="58" t="s">
        <v>4926</v>
      </c>
      <c r="B4284" s="59">
        <v>1649.41</v>
      </c>
      <c r="C4284" s="59">
        <v>2799</v>
      </c>
      <c r="D4284" s="59" t="s">
        <v>803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ht="15.2" spans="1:10">
      <c r="A4285" s="58" t="s">
        <v>4927</v>
      </c>
      <c r="B4285" s="59">
        <v>656.42</v>
      </c>
      <c r="C4285" s="59">
        <v>999</v>
      </c>
      <c r="D4285" s="59" t="s">
        <v>803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ht="15.2" spans="1:10">
      <c r="A4286" s="58" t="s">
        <v>4928</v>
      </c>
      <c r="B4286" s="59">
        <v>426</v>
      </c>
      <c r="C4286" s="59">
        <v>1049</v>
      </c>
      <c r="D4286" s="59" t="s">
        <v>801</v>
      </c>
      <c r="E4286" s="59">
        <v>2.3</v>
      </c>
      <c r="F4286" s="59">
        <v>2.3</v>
      </c>
      <c r="G4286" s="59">
        <v>0</v>
      </c>
      <c r="H4286" s="60">
        <f t="shared" si="202"/>
        <v>2.3</v>
      </c>
      <c r="I4286" s="60">
        <f t="shared" si="200"/>
        <v>979.8</v>
      </c>
      <c r="J4286" s="60">
        <f t="shared" si="201"/>
        <v>2412.7</v>
      </c>
    </row>
    <row r="4287" ht="15.2" spans="1:10">
      <c r="A4287" s="58" t="s">
        <v>4929</v>
      </c>
      <c r="B4287" s="59">
        <v>1699.39</v>
      </c>
      <c r="C4287" s="59">
        <v>2799</v>
      </c>
      <c r="D4287" s="59" t="s">
        <v>803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ht="15.2" spans="1:10">
      <c r="A4288" s="58" t="s">
        <v>4930</v>
      </c>
      <c r="B4288" s="59">
        <v>938.4</v>
      </c>
      <c r="C4288" s="59">
        <v>1449</v>
      </c>
      <c r="D4288" s="59" t="s">
        <v>803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ht="15.2" spans="1:10">
      <c r="A4289" s="58" t="s">
        <v>4931</v>
      </c>
      <c r="B4289" s="59">
        <v>570.86</v>
      </c>
      <c r="C4289" s="59">
        <v>2270</v>
      </c>
      <c r="D4289" s="59" t="s">
        <v>801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ht="15.2" spans="1:10">
      <c r="A4290" s="58" t="s">
        <v>4932</v>
      </c>
      <c r="B4290" s="59">
        <v>288</v>
      </c>
      <c r="C4290" s="59">
        <v>680</v>
      </c>
      <c r="D4290" s="59" t="s">
        <v>801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1238.4</v>
      </c>
      <c r="J4290" s="60">
        <f t="shared" ref="J4290:J4353" si="204">C4290*H4290</f>
        <v>2924</v>
      </c>
    </row>
    <row r="4291" ht="15.2" spans="1:10">
      <c r="A4291" s="58" t="s">
        <v>4933</v>
      </c>
      <c r="B4291" s="59">
        <v>480.9</v>
      </c>
      <c r="C4291" s="59">
        <v>1271</v>
      </c>
      <c r="D4291" s="59" t="s">
        <v>801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</v>
      </c>
    </row>
    <row r="4292" ht="15.2" spans="1:10">
      <c r="A4292" s="58" t="s">
        <v>4934</v>
      </c>
      <c r="B4292" s="59">
        <v>1213.68</v>
      </c>
      <c r="C4292" s="59">
        <v>1999</v>
      </c>
      <c r="D4292" s="59" t="s">
        <v>803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ht="15.2" spans="1:10">
      <c r="A4293" s="58" t="s">
        <v>41</v>
      </c>
      <c r="B4293" s="59">
        <v>340</v>
      </c>
      <c r="C4293" s="59">
        <v>893</v>
      </c>
      <c r="D4293" s="59" t="s">
        <v>801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</v>
      </c>
    </row>
    <row r="4294" ht="15.2" spans="1:10">
      <c r="A4294" s="58" t="s">
        <v>4935</v>
      </c>
      <c r="B4294" s="59">
        <v>336</v>
      </c>
      <c r="C4294" s="59">
        <v>782</v>
      </c>
      <c r="D4294" s="59" t="s">
        <v>801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ht="15.2" spans="1:10">
      <c r="A4295" s="58" t="s">
        <v>4936</v>
      </c>
      <c r="B4295" s="59">
        <v>266</v>
      </c>
      <c r="C4295" s="59">
        <v>575</v>
      </c>
      <c r="D4295" s="59" t="s">
        <v>801</v>
      </c>
      <c r="E4295" s="59">
        <v>2.3</v>
      </c>
      <c r="F4295" s="59">
        <v>2.3</v>
      </c>
      <c r="G4295" s="59">
        <v>0</v>
      </c>
      <c r="H4295" s="60">
        <f t="shared" si="202"/>
        <v>2.3</v>
      </c>
      <c r="I4295" s="60">
        <f t="shared" si="203"/>
        <v>611.8</v>
      </c>
      <c r="J4295" s="60">
        <f t="shared" si="204"/>
        <v>1322.5</v>
      </c>
    </row>
    <row r="4296" ht="15.2" spans="1:10">
      <c r="A4296" s="58" t="s">
        <v>4937</v>
      </c>
      <c r="B4296" s="59">
        <v>525</v>
      </c>
      <c r="C4296" s="59">
        <v>1172</v>
      </c>
      <c r="D4296" s="59" t="s">
        <v>801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ht="15.2" spans="1:10">
      <c r="A4297" s="58" t="s">
        <v>4938</v>
      </c>
      <c r="B4297" s="59">
        <v>315.7</v>
      </c>
      <c r="C4297" s="59">
        <v>780</v>
      </c>
      <c r="D4297" s="59" t="s">
        <v>801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ht="15.2" spans="1:10">
      <c r="A4298" s="58" t="s">
        <v>4939</v>
      </c>
      <c r="B4298" s="59">
        <v>460</v>
      </c>
      <c r="C4298" s="59">
        <v>1091</v>
      </c>
      <c r="D4298" s="59" t="s">
        <v>801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ht="15.2" spans="1:10">
      <c r="A4299" s="58" t="s">
        <v>4940</v>
      </c>
      <c r="B4299" s="59">
        <v>1881.54</v>
      </c>
      <c r="C4299" s="59">
        <v>3099</v>
      </c>
      <c r="D4299" s="59" t="s">
        <v>803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ht="15.2" spans="1:10">
      <c r="A4300" s="58" t="s">
        <v>4941</v>
      </c>
      <c r="B4300" s="59">
        <v>841.26</v>
      </c>
      <c r="C4300" s="59">
        <v>1299</v>
      </c>
      <c r="D4300" s="59" t="s">
        <v>803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ht="15.2" spans="1:10">
      <c r="A4301" s="58" t="s">
        <v>4942</v>
      </c>
      <c r="B4301" s="59">
        <v>267</v>
      </c>
      <c r="C4301" s="59">
        <v>575</v>
      </c>
      <c r="D4301" s="59" t="s">
        <v>801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ht="15.2" spans="1:10">
      <c r="A4302" s="58" t="s">
        <v>4943</v>
      </c>
      <c r="B4302" s="59">
        <v>2124.39</v>
      </c>
      <c r="C4302" s="59">
        <v>3499</v>
      </c>
      <c r="D4302" s="59" t="s">
        <v>803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ht="15.2" spans="1:10">
      <c r="A4303" s="58" t="s">
        <v>4944</v>
      </c>
      <c r="B4303" s="59">
        <v>1182.09</v>
      </c>
      <c r="C4303" s="59">
        <v>1799</v>
      </c>
      <c r="D4303" s="59" t="s">
        <v>803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ht="15.2" spans="1:10">
      <c r="A4304" s="58" t="s">
        <v>4945</v>
      </c>
      <c r="B4304" s="59">
        <v>220</v>
      </c>
      <c r="C4304" s="59">
        <v>492</v>
      </c>
      <c r="D4304" s="59" t="s">
        <v>801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ht="15.2" spans="1:10">
      <c r="A4305" s="58" t="s">
        <v>4946</v>
      </c>
      <c r="B4305" s="59">
        <v>1395.82</v>
      </c>
      <c r="C4305" s="59">
        <v>2299</v>
      </c>
      <c r="D4305" s="59" t="s">
        <v>803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ht="15.2" spans="1:10">
      <c r="A4306" s="58" t="s">
        <v>4947</v>
      </c>
      <c r="B4306" s="59">
        <v>259</v>
      </c>
      <c r="C4306" s="59">
        <v>635</v>
      </c>
      <c r="D4306" s="59" t="s">
        <v>801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ht="15.2" spans="1:10">
      <c r="A4307" s="58" t="s">
        <v>4948</v>
      </c>
      <c r="B4307" s="59">
        <v>307</v>
      </c>
      <c r="C4307" s="59">
        <v>745</v>
      </c>
      <c r="D4307" s="59" t="s">
        <v>801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ht="15.2" spans="1:10">
      <c r="A4308" s="58" t="s">
        <v>4949</v>
      </c>
      <c r="B4308" s="59">
        <v>906.02</v>
      </c>
      <c r="C4308" s="59">
        <v>1399</v>
      </c>
      <c r="D4308" s="59" t="s">
        <v>803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ht="15.2" spans="1:10">
      <c r="A4309" s="58" t="s">
        <v>4950</v>
      </c>
      <c r="B4309" s="59">
        <v>1274.39</v>
      </c>
      <c r="C4309" s="59">
        <v>2099</v>
      </c>
      <c r="D4309" s="59" t="s">
        <v>803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</v>
      </c>
      <c r="J4309" s="60">
        <f t="shared" si="204"/>
        <v>2099</v>
      </c>
    </row>
    <row r="4310" ht="15.2" spans="1:10">
      <c r="A4310" s="58" t="s">
        <v>4951</v>
      </c>
      <c r="B4310" s="59">
        <v>970.82</v>
      </c>
      <c r="C4310" s="59">
        <v>1599</v>
      </c>
      <c r="D4310" s="59" t="s">
        <v>803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ht="15.2" spans="1:10">
      <c r="A4311" s="58" t="s">
        <v>715</v>
      </c>
      <c r="B4311" s="59">
        <v>630</v>
      </c>
      <c r="C4311" s="59">
        <v>1525</v>
      </c>
      <c r="D4311" s="59" t="s">
        <v>801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ht="15.2" spans="1:10">
      <c r="A4312" s="58" t="s">
        <v>4952</v>
      </c>
      <c r="B4312" s="59">
        <v>426</v>
      </c>
      <c r="C4312" s="59">
        <v>1049</v>
      </c>
      <c r="D4312" s="59" t="s">
        <v>801</v>
      </c>
      <c r="E4312" s="59">
        <v>1.14</v>
      </c>
      <c r="F4312" s="59">
        <v>1.14</v>
      </c>
      <c r="G4312" s="59">
        <v>0</v>
      </c>
      <c r="H4312" s="60">
        <f t="shared" si="202"/>
        <v>1.14</v>
      </c>
      <c r="I4312" s="60">
        <f t="shared" si="203"/>
        <v>485.64</v>
      </c>
      <c r="J4312" s="60">
        <f t="shared" si="204"/>
        <v>1195.86</v>
      </c>
    </row>
    <row r="4313" ht="15.2" spans="1:10">
      <c r="A4313" s="58" t="s">
        <v>4953</v>
      </c>
      <c r="B4313" s="59">
        <v>1577.96</v>
      </c>
      <c r="C4313" s="59">
        <v>2599</v>
      </c>
      <c r="D4313" s="59" t="s">
        <v>803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ht="15.2" spans="1:10">
      <c r="A4314" s="58" t="s">
        <v>4954</v>
      </c>
      <c r="B4314" s="59">
        <v>1416.6</v>
      </c>
      <c r="C4314" s="59">
        <v>2199</v>
      </c>
      <c r="D4314" s="59" t="s">
        <v>803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ht="15.2" spans="1:10">
      <c r="A4315" s="58" t="s">
        <v>4955</v>
      </c>
      <c r="B4315" s="59">
        <v>1274.39</v>
      </c>
      <c r="C4315" s="59">
        <v>2099</v>
      </c>
      <c r="D4315" s="59" t="s">
        <v>803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ht="15.2" spans="1:10">
      <c r="A4316" s="58" t="s">
        <v>4956</v>
      </c>
      <c r="B4316" s="59">
        <v>4124.41</v>
      </c>
      <c r="C4316" s="59">
        <v>6999</v>
      </c>
      <c r="D4316" s="59" t="s">
        <v>803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ht="15.2" spans="1:10">
      <c r="A4317" s="58" t="s">
        <v>4957</v>
      </c>
      <c r="B4317" s="59">
        <v>2364.83</v>
      </c>
      <c r="C4317" s="59">
        <v>3599</v>
      </c>
      <c r="D4317" s="59" t="s">
        <v>803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ht="15.2" spans="1:10">
      <c r="A4318" s="58" t="s">
        <v>4958</v>
      </c>
      <c r="B4318" s="59">
        <v>2651.2</v>
      </c>
      <c r="C4318" s="59">
        <v>4499</v>
      </c>
      <c r="D4318" s="59" t="s">
        <v>803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ht="15.2" spans="1:10">
      <c r="A4319" s="58" t="s">
        <v>4959</v>
      </c>
      <c r="B4319" s="59">
        <v>4249.39</v>
      </c>
      <c r="C4319" s="59">
        <v>6999</v>
      </c>
      <c r="D4319" s="59" t="s">
        <v>803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</v>
      </c>
      <c r="J4319" s="60">
        <f t="shared" si="204"/>
        <v>6999</v>
      </c>
    </row>
    <row r="4320" ht="15.2" spans="1:10">
      <c r="A4320" s="58" t="s">
        <v>4960</v>
      </c>
      <c r="B4320" s="59">
        <v>1699.39</v>
      </c>
      <c r="C4320" s="59">
        <v>2799</v>
      </c>
      <c r="D4320" s="59" t="s">
        <v>803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ht="15.2" spans="1:10">
      <c r="A4321" s="58" t="s">
        <v>4961</v>
      </c>
      <c r="B4321" s="59">
        <v>1444.92</v>
      </c>
      <c r="C4321" s="59">
        <v>2199</v>
      </c>
      <c r="D4321" s="59" t="s">
        <v>803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ht="15.2" spans="1:10">
      <c r="A4322" s="58" t="s">
        <v>4962</v>
      </c>
      <c r="B4322" s="59">
        <v>495</v>
      </c>
      <c r="C4322" s="59">
        <v>1110</v>
      </c>
      <c r="D4322" s="59" t="s">
        <v>801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ht="15.2" spans="1:10">
      <c r="A4323" s="58" t="s">
        <v>4963</v>
      </c>
      <c r="B4323" s="59">
        <v>1738.7</v>
      </c>
      <c r="C4323" s="59">
        <v>2699</v>
      </c>
      <c r="D4323" s="59" t="s">
        <v>803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ht="15.2" spans="1:10">
      <c r="A4324" s="58" t="s">
        <v>4964</v>
      </c>
      <c r="B4324" s="59">
        <v>377</v>
      </c>
      <c r="C4324" s="59">
        <v>935</v>
      </c>
      <c r="D4324" s="59" t="s">
        <v>801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ht="15.2" spans="1:10">
      <c r="A4325" s="58" t="s">
        <v>4965</v>
      </c>
      <c r="B4325" s="59">
        <v>594</v>
      </c>
      <c r="C4325" s="59">
        <v>1525</v>
      </c>
      <c r="D4325" s="59" t="s">
        <v>801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ht="15.2" spans="1:10">
      <c r="A4326" s="58" t="s">
        <v>4966</v>
      </c>
      <c r="B4326" s="59">
        <v>1576.34</v>
      </c>
      <c r="C4326" s="59">
        <v>2399</v>
      </c>
      <c r="D4326" s="59" t="s">
        <v>803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ht="15.2" spans="1:10">
      <c r="A4327" s="58" t="s">
        <v>4967</v>
      </c>
      <c r="B4327" s="59">
        <v>919.25</v>
      </c>
      <c r="C4327" s="59">
        <v>1399</v>
      </c>
      <c r="D4327" s="59" t="s">
        <v>803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ht="15.2" spans="1:10">
      <c r="A4328" s="58" t="s">
        <v>4968</v>
      </c>
      <c r="B4328" s="59">
        <v>913.24</v>
      </c>
      <c r="C4328" s="59">
        <v>1399</v>
      </c>
      <c r="D4328" s="59" t="s">
        <v>803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ht="15.2" spans="1:10">
      <c r="A4329" s="58" t="s">
        <v>4969</v>
      </c>
      <c r="B4329" s="59">
        <v>1295.84</v>
      </c>
      <c r="C4329" s="59">
        <v>2199</v>
      </c>
      <c r="D4329" s="59" t="s">
        <v>803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1295.84</v>
      </c>
      <c r="J4329" s="60">
        <f t="shared" si="204"/>
        <v>2199</v>
      </c>
    </row>
    <row r="4330" ht="15.2" spans="1:10">
      <c r="A4330" s="58" t="s">
        <v>4970</v>
      </c>
      <c r="B4330" s="59">
        <v>1236.91</v>
      </c>
      <c r="C4330" s="59">
        <v>2099</v>
      </c>
      <c r="D4330" s="59" t="s">
        <v>803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</v>
      </c>
      <c r="J4330" s="60">
        <f t="shared" si="204"/>
        <v>2099</v>
      </c>
    </row>
    <row r="4331" ht="15.2" spans="1:10">
      <c r="A4331" s="58" t="s">
        <v>4971</v>
      </c>
      <c r="B4331" s="59">
        <v>1313.5</v>
      </c>
      <c r="C4331" s="59">
        <v>1999</v>
      </c>
      <c r="D4331" s="59" t="s">
        <v>803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ht="15.2" spans="1:10">
      <c r="A4332" s="58" t="s">
        <v>4972</v>
      </c>
      <c r="B4332" s="59">
        <v>1152.97</v>
      </c>
      <c r="C4332" s="59">
        <v>1899</v>
      </c>
      <c r="D4332" s="59" t="s">
        <v>803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ht="15.2" spans="1:10">
      <c r="A4333" s="58" t="s">
        <v>4973</v>
      </c>
      <c r="B4333" s="59">
        <v>1444.92</v>
      </c>
      <c r="C4333" s="59">
        <v>2199</v>
      </c>
      <c r="D4333" s="59" t="s">
        <v>803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ht="15.2" spans="1:10">
      <c r="A4334" s="58" t="s">
        <v>4974</v>
      </c>
      <c r="B4334" s="59">
        <v>1577.97</v>
      </c>
      <c r="C4334" s="59">
        <v>2599</v>
      </c>
      <c r="D4334" s="59" t="s">
        <v>803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ht="15.2" spans="1:10">
      <c r="A4335" s="58" t="s">
        <v>4975</v>
      </c>
      <c r="B4335" s="59">
        <v>699</v>
      </c>
      <c r="C4335" s="59">
        <v>1468</v>
      </c>
      <c r="D4335" s="59" t="s">
        <v>801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ht="15.2" spans="1:10">
      <c r="A4336" s="58" t="s">
        <v>4976</v>
      </c>
      <c r="B4336" s="59">
        <v>538</v>
      </c>
      <c r="C4336" s="59">
        <v>1354</v>
      </c>
      <c r="D4336" s="59" t="s">
        <v>801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ht="15.2" spans="1:10">
      <c r="A4337" s="58" t="s">
        <v>4977</v>
      </c>
      <c r="B4337" s="59">
        <v>1416.6</v>
      </c>
      <c r="C4337" s="59">
        <v>2199</v>
      </c>
      <c r="D4337" s="59" t="s">
        <v>803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ht="15.2" spans="1:10">
      <c r="A4338" s="58" t="s">
        <v>4978</v>
      </c>
      <c r="B4338" s="59">
        <v>1517.25</v>
      </c>
      <c r="C4338" s="59">
        <v>2499</v>
      </c>
      <c r="D4338" s="59" t="s">
        <v>803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ht="15.2" spans="1:10">
      <c r="A4339" s="58" t="s">
        <v>4979</v>
      </c>
      <c r="B4339" s="59">
        <v>1213.68</v>
      </c>
      <c r="C4339" s="59">
        <v>1999</v>
      </c>
      <c r="D4339" s="59" t="s">
        <v>803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ht="15.2" spans="1:10">
      <c r="A4340" s="58" t="s">
        <v>4980</v>
      </c>
      <c r="B4340" s="59">
        <v>0</v>
      </c>
      <c r="C4340" s="59">
        <v>0</v>
      </c>
      <c r="D4340" s="59" t="s">
        <v>815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ht="15.2" spans="1:10">
      <c r="A4341" s="58" t="s">
        <v>4981</v>
      </c>
      <c r="B4341" s="59">
        <v>1271.47</v>
      </c>
      <c r="C4341" s="59">
        <v>2399</v>
      </c>
      <c r="D4341" s="59" t="s">
        <v>803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ht="15.2" spans="1:10">
      <c r="A4342" s="58" t="s">
        <v>4982</v>
      </c>
      <c r="B4342" s="59">
        <v>5463.68</v>
      </c>
      <c r="C4342" s="59">
        <v>8999</v>
      </c>
      <c r="D4342" s="59" t="s">
        <v>803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ht="15.2" spans="1:10">
      <c r="A4343" s="58" t="s">
        <v>4983</v>
      </c>
      <c r="B4343" s="59">
        <v>1741</v>
      </c>
      <c r="C4343" s="59">
        <v>3549</v>
      </c>
      <c r="D4343" s="59" t="s">
        <v>801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11490.6</v>
      </c>
      <c r="J4343" s="60">
        <f t="shared" si="204"/>
        <v>23423.4</v>
      </c>
    </row>
    <row r="4344" ht="15.2" spans="1:10">
      <c r="A4344" s="58" t="s">
        <v>4984</v>
      </c>
      <c r="B4344" s="59">
        <v>1177.98</v>
      </c>
      <c r="C4344" s="59">
        <v>1999</v>
      </c>
      <c r="D4344" s="59" t="s">
        <v>803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ht="15.2" spans="1:10">
      <c r="A4345" s="58" t="s">
        <v>4985</v>
      </c>
      <c r="B4345" s="59">
        <v>1354.77</v>
      </c>
      <c r="C4345" s="59">
        <v>2299</v>
      </c>
      <c r="D4345" s="59" t="s">
        <v>803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ht="15.2" spans="1:10">
      <c r="A4346" s="58" t="s">
        <v>4986</v>
      </c>
      <c r="B4346" s="59">
        <v>322</v>
      </c>
      <c r="C4346" s="59">
        <v>719</v>
      </c>
      <c r="D4346" s="59" t="s">
        <v>801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ht="15.2" spans="1:10">
      <c r="A4347" s="58" t="s">
        <v>4987</v>
      </c>
      <c r="B4347" s="59">
        <v>548</v>
      </c>
      <c r="C4347" s="59">
        <v>1362</v>
      </c>
      <c r="D4347" s="59" t="s">
        <v>801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ht="15.2" spans="1:10">
      <c r="A4348" s="58" t="s">
        <v>4988</v>
      </c>
      <c r="B4348" s="59">
        <v>906.75</v>
      </c>
      <c r="C4348" s="59">
        <v>1399</v>
      </c>
      <c r="D4348" s="59" t="s">
        <v>803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ht="15.2" spans="1:10">
      <c r="A4349" s="58" t="s">
        <v>4989</v>
      </c>
      <c r="B4349" s="59">
        <v>1354.77</v>
      </c>
      <c r="C4349" s="59">
        <v>2299</v>
      </c>
      <c r="D4349" s="59" t="s">
        <v>803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ht="15.2" spans="1:10">
      <c r="A4350" s="58" t="s">
        <v>4990</v>
      </c>
      <c r="B4350" s="59">
        <v>1517.25</v>
      </c>
      <c r="C4350" s="59">
        <v>2499</v>
      </c>
      <c r="D4350" s="59" t="s">
        <v>803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ht="15.2" spans="1:10">
      <c r="A4351" s="58" t="s">
        <v>4991</v>
      </c>
      <c r="B4351" s="59">
        <v>1313.5</v>
      </c>
      <c r="C4351" s="59">
        <v>1999</v>
      </c>
      <c r="D4351" s="59" t="s">
        <v>803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ht="15.2" spans="1:10">
      <c r="A4352" s="58" t="s">
        <v>4992</v>
      </c>
      <c r="B4352" s="59">
        <v>1119.05</v>
      </c>
      <c r="C4352" s="59">
        <v>1899</v>
      </c>
      <c r="D4352" s="59" t="s">
        <v>803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ht="15.2" spans="1:10">
      <c r="A4353" s="58" t="s">
        <v>4993</v>
      </c>
      <c r="B4353" s="59">
        <v>1517.25</v>
      </c>
      <c r="C4353" s="59">
        <v>2499</v>
      </c>
      <c r="D4353" s="59" t="s">
        <v>803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ht="15.2" spans="1:10">
      <c r="A4354" s="58" t="s">
        <v>4994</v>
      </c>
      <c r="B4354" s="59">
        <v>836.82</v>
      </c>
      <c r="C4354" s="59">
        <v>1299</v>
      </c>
      <c r="D4354" s="59" t="s">
        <v>803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ht="15.2" spans="1:10">
      <c r="A4355" s="58" t="s">
        <v>4995</v>
      </c>
      <c r="B4355" s="59">
        <v>2124.4</v>
      </c>
      <c r="C4355" s="59">
        <v>3499</v>
      </c>
      <c r="D4355" s="59" t="s">
        <v>803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ht="15.2" spans="1:10">
      <c r="A4356" s="58" t="s">
        <v>4996</v>
      </c>
      <c r="B4356" s="59">
        <v>582.21</v>
      </c>
      <c r="C4356" s="59">
        <v>899</v>
      </c>
      <c r="D4356" s="59" t="s">
        <v>803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ht="15.2" spans="1:10">
      <c r="A4357" s="58" t="s">
        <v>4997</v>
      </c>
      <c r="B4357" s="59">
        <v>1313.5</v>
      </c>
      <c r="C4357" s="59">
        <v>1999</v>
      </c>
      <c r="D4357" s="59" t="s">
        <v>803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ht="15.2" spans="1:10">
      <c r="A4358" s="58" t="s">
        <v>4998</v>
      </c>
      <c r="B4358" s="59">
        <v>1649.41</v>
      </c>
      <c r="C4358" s="59">
        <v>2799</v>
      </c>
      <c r="D4358" s="59" t="s">
        <v>803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ht="15.2" spans="1:10">
      <c r="A4359" s="58" t="s">
        <v>87</v>
      </c>
      <c r="B4359" s="59">
        <v>299</v>
      </c>
      <c r="C4359" s="59">
        <v>660</v>
      </c>
      <c r="D4359" s="59" t="s">
        <v>801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ht="15.2" spans="1:10">
      <c r="A4360" s="58" t="s">
        <v>4999</v>
      </c>
      <c r="B4360" s="59">
        <v>550</v>
      </c>
      <c r="C4360" s="59">
        <v>1231</v>
      </c>
      <c r="D4360" s="59" t="s">
        <v>801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ht="15.2" spans="1:10">
      <c r="A4361" s="58" t="s">
        <v>5000</v>
      </c>
      <c r="B4361" s="59">
        <v>1456.54</v>
      </c>
      <c r="C4361" s="59">
        <v>2399</v>
      </c>
      <c r="D4361" s="59" t="s">
        <v>803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ht="15.2" spans="1:10">
      <c r="A4362" s="58" t="s">
        <v>5001</v>
      </c>
      <c r="B4362" s="59">
        <v>299</v>
      </c>
      <c r="C4362" s="59">
        <v>628</v>
      </c>
      <c r="D4362" s="59" t="s">
        <v>801</v>
      </c>
      <c r="E4362" s="59">
        <v>9.2</v>
      </c>
      <c r="F4362" s="59">
        <v>9.2</v>
      </c>
      <c r="G4362" s="59">
        <v>0</v>
      </c>
      <c r="H4362" s="60">
        <f t="shared" si="205"/>
        <v>9.2</v>
      </c>
      <c r="I4362" s="60">
        <f t="shared" si="206"/>
        <v>2750.8</v>
      </c>
      <c r="J4362" s="60">
        <f t="shared" si="207"/>
        <v>5777.6</v>
      </c>
    </row>
    <row r="4363" ht="15.2" spans="1:10">
      <c r="A4363" s="58" t="s">
        <v>5002</v>
      </c>
      <c r="B4363" s="59">
        <v>452.69</v>
      </c>
      <c r="C4363" s="59">
        <v>699</v>
      </c>
      <c r="D4363" s="59" t="s">
        <v>803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ht="15.2" spans="1:10">
      <c r="A4364" s="58" t="s">
        <v>5003</v>
      </c>
      <c r="B4364" s="59">
        <v>1379.21</v>
      </c>
      <c r="C4364" s="59">
        <v>2099</v>
      </c>
      <c r="D4364" s="59" t="s">
        <v>803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ht="15.2" spans="1:10">
      <c r="A4365" s="58" t="s">
        <v>5004</v>
      </c>
      <c r="B4365" s="59">
        <v>283</v>
      </c>
      <c r="C4365" s="59">
        <v>665</v>
      </c>
      <c r="D4365" s="59" t="s">
        <v>801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</v>
      </c>
      <c r="J4365" s="60">
        <f t="shared" si="207"/>
        <v>864.5</v>
      </c>
    </row>
    <row r="4366" ht="15.2" spans="1:10">
      <c r="A4366" s="58" t="s">
        <v>5005</v>
      </c>
      <c r="B4366" s="59">
        <v>970.78</v>
      </c>
      <c r="C4366" s="59">
        <v>1499</v>
      </c>
      <c r="D4366" s="59" t="s">
        <v>803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ht="15.2" spans="1:10">
      <c r="A4367" s="58" t="s">
        <v>5006</v>
      </c>
      <c r="B4367" s="59">
        <v>1295.84</v>
      </c>
      <c r="C4367" s="59">
        <v>2199</v>
      </c>
      <c r="D4367" s="59" t="s">
        <v>803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1295.84</v>
      </c>
      <c r="J4367" s="60">
        <f t="shared" si="207"/>
        <v>2199</v>
      </c>
    </row>
    <row r="4368" ht="15.2" spans="1:10">
      <c r="A4368" s="58" t="s">
        <v>5007</v>
      </c>
      <c r="B4368" s="59">
        <v>1576.34</v>
      </c>
      <c r="C4368" s="59">
        <v>2399</v>
      </c>
      <c r="D4368" s="59" t="s">
        <v>803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ht="15.2" spans="1:10">
      <c r="A4369" s="58" t="s">
        <v>5008</v>
      </c>
      <c r="B4369" s="59">
        <v>449</v>
      </c>
      <c r="C4369" s="59">
        <v>999</v>
      </c>
      <c r="D4369" s="59" t="s">
        <v>801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ht="15.2" spans="1:10">
      <c r="A4370" s="58" t="s">
        <v>5009</v>
      </c>
      <c r="B4370" s="59">
        <v>451</v>
      </c>
      <c r="C4370" s="59">
        <v>938</v>
      </c>
      <c r="D4370" s="59" t="s">
        <v>801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ht="15.2" spans="1:10">
      <c r="A4371" s="58" t="s">
        <v>5010</v>
      </c>
      <c r="B4371" s="59">
        <v>390</v>
      </c>
      <c r="C4371" s="59">
        <v>873</v>
      </c>
      <c r="D4371" s="59" t="s">
        <v>801</v>
      </c>
      <c r="E4371" s="59">
        <v>4.6</v>
      </c>
      <c r="F4371" s="59">
        <v>4.6</v>
      </c>
      <c r="G4371" s="59">
        <v>0</v>
      </c>
      <c r="H4371" s="60">
        <f t="shared" si="205"/>
        <v>4.6</v>
      </c>
      <c r="I4371" s="60">
        <f t="shared" si="206"/>
        <v>1794</v>
      </c>
      <c r="J4371" s="60">
        <f t="shared" si="207"/>
        <v>4015.8</v>
      </c>
    </row>
    <row r="4372" ht="15.2" spans="1:10">
      <c r="A4372" s="58" t="s">
        <v>5011</v>
      </c>
      <c r="B4372" s="59">
        <v>722.13</v>
      </c>
      <c r="C4372" s="59">
        <v>1099</v>
      </c>
      <c r="D4372" s="59" t="s">
        <v>803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ht="15.2" spans="1:10">
      <c r="A4373" s="58" t="s">
        <v>5012</v>
      </c>
      <c r="B4373" s="59">
        <v>356</v>
      </c>
      <c r="C4373" s="59">
        <v>795</v>
      </c>
      <c r="D4373" s="59" t="s">
        <v>801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ht="15.2" spans="1:10">
      <c r="A4374" s="58" t="s">
        <v>5013</v>
      </c>
      <c r="B4374" s="59">
        <v>417</v>
      </c>
      <c r="C4374" s="59">
        <v>982</v>
      </c>
      <c r="D4374" s="59" t="s">
        <v>801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</v>
      </c>
    </row>
    <row r="4375" ht="15.2" spans="1:10">
      <c r="A4375" s="58" t="s">
        <v>5014</v>
      </c>
      <c r="B4375" s="59">
        <v>4124.41</v>
      </c>
      <c r="C4375" s="59">
        <v>6999</v>
      </c>
      <c r="D4375" s="59" t="s">
        <v>803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ht="15.2" spans="1:10">
      <c r="A4376" s="58" t="s">
        <v>5015</v>
      </c>
      <c r="B4376" s="59">
        <v>390</v>
      </c>
      <c r="C4376" s="59">
        <v>906</v>
      </c>
      <c r="D4376" s="59" t="s">
        <v>801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ht="15.2" spans="1:10">
      <c r="A4377" s="58" t="s">
        <v>5016</v>
      </c>
      <c r="B4377" s="59">
        <v>1379.21</v>
      </c>
      <c r="C4377" s="59">
        <v>2099</v>
      </c>
      <c r="D4377" s="59" t="s">
        <v>803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ht="15.2" spans="1:10">
      <c r="A4378" s="58" t="s">
        <v>5017</v>
      </c>
      <c r="B4378" s="59">
        <v>1510.63</v>
      </c>
      <c r="C4378" s="59">
        <v>2299</v>
      </c>
      <c r="D4378" s="59" t="s">
        <v>803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ht="15.2" spans="1:10">
      <c r="A4379" s="58" t="s">
        <v>5018</v>
      </c>
      <c r="B4379" s="59">
        <v>0</v>
      </c>
      <c r="C4379" s="59">
        <v>0</v>
      </c>
      <c r="D4379" s="59" t="s">
        <v>815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ht="15.2" spans="1:10">
      <c r="A4380" s="58" t="s">
        <v>5019</v>
      </c>
      <c r="B4380" s="59">
        <v>242</v>
      </c>
      <c r="C4380" s="59">
        <v>498</v>
      </c>
      <c r="D4380" s="59" t="s">
        <v>801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ht="15.2" spans="1:10">
      <c r="A4381" s="58" t="s">
        <v>5020</v>
      </c>
      <c r="B4381" s="59">
        <v>370</v>
      </c>
      <c r="C4381" s="59">
        <v>826</v>
      </c>
      <c r="D4381" s="59" t="s">
        <v>801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</v>
      </c>
    </row>
    <row r="4382" ht="15.2" spans="1:10">
      <c r="A4382" s="58" t="s">
        <v>5021</v>
      </c>
      <c r="B4382" s="59">
        <v>1177.98</v>
      </c>
      <c r="C4382" s="59">
        <v>1999</v>
      </c>
      <c r="D4382" s="59" t="s">
        <v>803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ht="15.2" spans="1:10">
      <c r="A4383" s="58" t="s">
        <v>5022</v>
      </c>
      <c r="B4383" s="59">
        <v>853.55</v>
      </c>
      <c r="C4383" s="59">
        <v>1299</v>
      </c>
      <c r="D4383" s="59" t="s">
        <v>803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ht="15.2" spans="1:10">
      <c r="A4384" s="58" t="s">
        <v>5023</v>
      </c>
      <c r="B4384" s="59">
        <v>999</v>
      </c>
      <c r="C4384" s="59">
        <v>2840</v>
      </c>
      <c r="D4384" s="59" t="s">
        <v>801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ht="15.2" spans="1:10">
      <c r="A4385" s="58" t="s">
        <v>5024</v>
      </c>
      <c r="B4385" s="59">
        <v>1177.98</v>
      </c>
      <c r="C4385" s="59">
        <v>1999</v>
      </c>
      <c r="D4385" s="59" t="s">
        <v>803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ht="15.2" spans="1:10">
      <c r="A4386" s="58" t="s">
        <v>5025</v>
      </c>
      <c r="B4386" s="59">
        <v>1649.41</v>
      </c>
      <c r="C4386" s="59">
        <v>2799</v>
      </c>
      <c r="D4386" s="59" t="s">
        <v>803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ht="15.2" spans="1:10">
      <c r="A4387" s="58" t="s">
        <v>5026</v>
      </c>
      <c r="B4387" s="59">
        <v>722.13</v>
      </c>
      <c r="C4387" s="59">
        <v>1099</v>
      </c>
      <c r="D4387" s="59" t="s">
        <v>803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ht="15.2" spans="1:10">
      <c r="A4388" s="58" t="s">
        <v>5027</v>
      </c>
      <c r="B4388" s="59">
        <v>608</v>
      </c>
      <c r="C4388" s="59">
        <v>1277</v>
      </c>
      <c r="D4388" s="59" t="s">
        <v>801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ht="15.2" spans="1:10">
      <c r="A4389" s="58" t="s">
        <v>5028</v>
      </c>
      <c r="B4389" s="59">
        <v>1092.25</v>
      </c>
      <c r="C4389" s="59">
        <v>1799</v>
      </c>
      <c r="D4389" s="59" t="s">
        <v>803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ht="15.2" spans="1:10">
      <c r="A4390" s="58" t="s">
        <v>5029</v>
      </c>
      <c r="B4390" s="59">
        <v>1354.77</v>
      </c>
      <c r="C4390" s="59">
        <v>2299</v>
      </c>
      <c r="D4390" s="59" t="s">
        <v>803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ht="15.2" spans="1:10">
      <c r="A4391" s="58" t="s">
        <v>5030</v>
      </c>
      <c r="B4391" s="59">
        <v>909.4</v>
      </c>
      <c r="C4391" s="59">
        <v>1399</v>
      </c>
      <c r="D4391" s="59" t="s">
        <v>803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ht="15.2" spans="1:10">
      <c r="A4392" s="58" t="s">
        <v>5031</v>
      </c>
      <c r="B4392" s="59">
        <v>380</v>
      </c>
      <c r="C4392" s="59">
        <v>798</v>
      </c>
      <c r="D4392" s="59" t="s">
        <v>801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</v>
      </c>
    </row>
    <row r="4393" ht="15.2" spans="1:10">
      <c r="A4393" s="58" t="s">
        <v>5032</v>
      </c>
      <c r="B4393" s="59">
        <v>429</v>
      </c>
      <c r="C4393" s="59">
        <v>982</v>
      </c>
      <c r="D4393" s="59" t="s">
        <v>801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514.8</v>
      </c>
      <c r="J4393" s="60">
        <f t="shared" si="207"/>
        <v>1178.4</v>
      </c>
    </row>
    <row r="4394" ht="15.2" spans="1:10">
      <c r="A4394" s="58" t="s">
        <v>5033</v>
      </c>
      <c r="B4394" s="59">
        <v>1177.98</v>
      </c>
      <c r="C4394" s="59">
        <v>1999</v>
      </c>
      <c r="D4394" s="59" t="s">
        <v>803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ht="15.2" spans="1:10">
      <c r="A4395" s="58" t="s">
        <v>235</v>
      </c>
      <c r="B4395" s="59">
        <v>949</v>
      </c>
      <c r="C4395" s="59">
        <v>2145</v>
      </c>
      <c r="D4395" s="59" t="s">
        <v>801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ht="15.2" spans="1:10">
      <c r="A4396" s="58" t="s">
        <v>5034</v>
      </c>
      <c r="B4396" s="59">
        <v>1177.98</v>
      </c>
      <c r="C4396" s="59">
        <v>1999</v>
      </c>
      <c r="D4396" s="59" t="s">
        <v>803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ht="15.2" spans="1:10">
      <c r="A4397" s="58" t="s">
        <v>5035</v>
      </c>
      <c r="B4397" s="59">
        <v>1699.39</v>
      </c>
      <c r="C4397" s="59">
        <v>2799</v>
      </c>
      <c r="D4397" s="59" t="s">
        <v>803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ht="15.2" spans="1:10">
      <c r="A4398" s="58" t="s">
        <v>5036</v>
      </c>
      <c r="B4398" s="59">
        <v>248</v>
      </c>
      <c r="C4398" s="59">
        <v>605</v>
      </c>
      <c r="D4398" s="59" t="s">
        <v>801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297.6</v>
      </c>
      <c r="J4398" s="60">
        <f t="shared" si="207"/>
        <v>726</v>
      </c>
    </row>
    <row r="4399" ht="15.2" spans="1:10">
      <c r="A4399" s="58" t="s">
        <v>5037</v>
      </c>
      <c r="B4399" s="59">
        <v>1649.41</v>
      </c>
      <c r="C4399" s="59">
        <v>2799</v>
      </c>
      <c r="D4399" s="59" t="s">
        <v>803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ht="15.2" spans="1:10">
      <c r="A4400" s="58" t="s">
        <v>5038</v>
      </c>
      <c r="B4400" s="59">
        <v>1472.63</v>
      </c>
      <c r="C4400" s="59">
        <v>2499</v>
      </c>
      <c r="D4400" s="59" t="s">
        <v>803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ht="15.2" spans="1:10">
      <c r="A4401" s="58" t="s">
        <v>5039</v>
      </c>
      <c r="B4401" s="59">
        <v>517.45</v>
      </c>
      <c r="C4401" s="59">
        <v>799</v>
      </c>
      <c r="D4401" s="59" t="s">
        <v>803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</v>
      </c>
      <c r="J4401" s="60">
        <f t="shared" si="207"/>
        <v>2397</v>
      </c>
    </row>
    <row r="4402" ht="15.2" spans="1:10">
      <c r="A4402" s="58" t="s">
        <v>5040</v>
      </c>
      <c r="B4402" s="59">
        <v>1510.63</v>
      </c>
      <c r="C4402" s="59">
        <v>2299</v>
      </c>
      <c r="D4402" s="59" t="s">
        <v>803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ht="15.2" spans="1:10">
      <c r="A4403" s="58" t="s">
        <v>5041</v>
      </c>
      <c r="B4403" s="59">
        <v>675</v>
      </c>
      <c r="C4403" s="59">
        <v>1508</v>
      </c>
      <c r="D4403" s="59" t="s">
        <v>801</v>
      </c>
      <c r="E4403" s="59">
        <v>2.3</v>
      </c>
      <c r="F4403" s="59">
        <v>2.3</v>
      </c>
      <c r="G4403" s="59">
        <v>0</v>
      </c>
      <c r="H4403" s="60">
        <f t="shared" si="208"/>
        <v>2.3</v>
      </c>
      <c r="I4403" s="60">
        <f t="shared" si="206"/>
        <v>1552.5</v>
      </c>
      <c r="J4403" s="60">
        <f t="shared" si="207"/>
        <v>3468.4</v>
      </c>
    </row>
    <row r="4404" ht="15.2" spans="1:10">
      <c r="A4404" s="58" t="s">
        <v>5042</v>
      </c>
      <c r="B4404" s="59">
        <v>133</v>
      </c>
      <c r="C4404" s="59">
        <v>191</v>
      </c>
      <c r="D4404" s="59" t="s">
        <v>801</v>
      </c>
      <c r="E4404" s="59">
        <v>4.15</v>
      </c>
      <c r="F4404" s="59">
        <v>4.15</v>
      </c>
      <c r="G4404" s="59">
        <v>0</v>
      </c>
      <c r="H4404" s="60">
        <f t="shared" si="208"/>
        <v>4.15</v>
      </c>
      <c r="I4404" s="60">
        <f t="shared" si="206"/>
        <v>551.95</v>
      </c>
      <c r="J4404" s="60">
        <f t="shared" si="207"/>
        <v>792.65</v>
      </c>
    </row>
    <row r="4405" ht="15.2" spans="1:10">
      <c r="A4405" s="58" t="s">
        <v>5043</v>
      </c>
      <c r="B4405" s="59">
        <v>906.02</v>
      </c>
      <c r="C4405" s="59">
        <v>1399</v>
      </c>
      <c r="D4405" s="59" t="s">
        <v>803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ht="15.2" spans="1:10">
      <c r="A4406" s="58" t="s">
        <v>5044</v>
      </c>
      <c r="B4406" s="59">
        <v>1444.92</v>
      </c>
      <c r="C4406" s="59">
        <v>2199</v>
      </c>
      <c r="D4406" s="59" t="s">
        <v>803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ht="15.2" spans="1:10">
      <c r="A4407" s="58" t="s">
        <v>5045</v>
      </c>
      <c r="B4407" s="59">
        <v>1760.11</v>
      </c>
      <c r="C4407" s="59">
        <v>2899</v>
      </c>
      <c r="D4407" s="59" t="s">
        <v>803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ht="15.2" spans="1:10">
      <c r="A4408" s="58" t="s">
        <v>5046</v>
      </c>
      <c r="B4408" s="59">
        <v>1313.5</v>
      </c>
      <c r="C4408" s="59">
        <v>1999</v>
      </c>
      <c r="D4408" s="59" t="s">
        <v>803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ht="15.2" spans="1:10">
      <c r="A4409" s="58" t="s">
        <v>5047</v>
      </c>
      <c r="B4409" s="59">
        <v>4249.39</v>
      </c>
      <c r="C4409" s="59">
        <v>6999</v>
      </c>
      <c r="D4409" s="59" t="s">
        <v>803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</v>
      </c>
      <c r="J4409" s="60">
        <f t="shared" si="207"/>
        <v>6999</v>
      </c>
    </row>
    <row r="4410" ht="15.2" spans="1:10">
      <c r="A4410" s="58" t="s">
        <v>5048</v>
      </c>
      <c r="B4410" s="59">
        <v>350</v>
      </c>
      <c r="C4410" s="59">
        <v>783</v>
      </c>
      <c r="D4410" s="59" t="s">
        <v>801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ht="15.2" spans="1:10">
      <c r="A4411" s="58" t="s">
        <v>5049</v>
      </c>
      <c r="B4411" s="59">
        <v>353.25</v>
      </c>
      <c r="C4411" s="59">
        <v>698</v>
      </c>
      <c r="D4411" s="59" t="s">
        <v>801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ht="15.2" spans="1:10">
      <c r="A4412" s="58" t="s">
        <v>5050</v>
      </c>
      <c r="B4412" s="59">
        <v>1472.63</v>
      </c>
      <c r="C4412" s="59">
        <v>2499</v>
      </c>
      <c r="D4412" s="59" t="s">
        <v>803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ht="15.2" spans="1:10">
      <c r="A4413" s="58" t="s">
        <v>5051</v>
      </c>
      <c r="B4413" s="59">
        <v>351.5</v>
      </c>
      <c r="C4413" s="59">
        <v>1075</v>
      </c>
      <c r="D4413" s="59" t="s">
        <v>801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ht="15.2" spans="1:10">
      <c r="A4414" s="58" t="s">
        <v>5052</v>
      </c>
      <c r="B4414" s="59">
        <v>1649.41</v>
      </c>
      <c r="C4414" s="59">
        <v>2799</v>
      </c>
      <c r="D4414" s="59" t="s">
        <v>803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ht="15.2" spans="1:10">
      <c r="A4415" s="58" t="s">
        <v>5053</v>
      </c>
      <c r="B4415" s="59">
        <v>385</v>
      </c>
      <c r="C4415" s="59">
        <v>860</v>
      </c>
      <c r="D4415" s="59" t="s">
        <v>801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ht="15.2" spans="1:10">
      <c r="A4416" s="58" t="s">
        <v>5054</v>
      </c>
      <c r="B4416" s="59">
        <v>282</v>
      </c>
      <c r="C4416" s="59">
        <v>690</v>
      </c>
      <c r="D4416" s="59" t="s">
        <v>801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</v>
      </c>
      <c r="J4416" s="60">
        <f t="shared" si="207"/>
        <v>138</v>
      </c>
    </row>
    <row r="4417" ht="15.2" spans="1:10">
      <c r="A4417" s="58" t="s">
        <v>5055</v>
      </c>
      <c r="B4417" s="59">
        <v>1295.84</v>
      </c>
      <c r="C4417" s="59">
        <v>2199</v>
      </c>
      <c r="D4417" s="59" t="s">
        <v>803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ht="15.2" spans="1:10">
      <c r="A4418" s="58" t="s">
        <v>5056</v>
      </c>
      <c r="B4418" s="59">
        <v>615</v>
      </c>
      <c r="C4418" s="59">
        <v>1354</v>
      </c>
      <c r="D4418" s="59" t="s">
        <v>801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ht="15.2" spans="1:10">
      <c r="A4419" s="58" t="s">
        <v>5057</v>
      </c>
      <c r="B4419" s="59">
        <v>836.82</v>
      </c>
      <c r="C4419" s="59">
        <v>1299</v>
      </c>
      <c r="D4419" s="59" t="s">
        <v>803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ht="15.2" spans="1:10">
      <c r="A4420" s="58" t="s">
        <v>5058</v>
      </c>
      <c r="B4420" s="59">
        <v>1395.82</v>
      </c>
      <c r="C4420" s="59">
        <v>2299</v>
      </c>
      <c r="D4420" s="59" t="s">
        <v>803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ht="15.2" spans="1:10">
      <c r="A4421" s="58" t="s">
        <v>5059</v>
      </c>
      <c r="B4421" s="59">
        <v>1213.68</v>
      </c>
      <c r="C4421" s="59">
        <v>1999</v>
      </c>
      <c r="D4421" s="59" t="s">
        <v>803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ht="15.2" spans="1:10">
      <c r="A4422" s="58" t="s">
        <v>5060</v>
      </c>
      <c r="B4422" s="59">
        <v>1970.58</v>
      </c>
      <c r="C4422" s="59">
        <v>2999</v>
      </c>
      <c r="D4422" s="59" t="s">
        <v>803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ht="15.2" spans="1:10">
      <c r="A4423" s="58" t="s">
        <v>5061</v>
      </c>
      <c r="B4423" s="59">
        <v>1182.09</v>
      </c>
      <c r="C4423" s="59">
        <v>1799</v>
      </c>
      <c r="D4423" s="59" t="s">
        <v>803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ht="15.2" spans="1:10">
      <c r="A4424" s="58" t="s">
        <v>5062</v>
      </c>
      <c r="B4424" s="59">
        <v>1444.92</v>
      </c>
      <c r="C4424" s="59">
        <v>2199</v>
      </c>
      <c r="D4424" s="59" t="s">
        <v>803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ht="15.2" spans="1:10">
      <c r="A4425" s="58" t="s">
        <v>5063</v>
      </c>
      <c r="B4425" s="59">
        <v>1213.68</v>
      </c>
      <c r="C4425" s="59">
        <v>1999</v>
      </c>
      <c r="D4425" s="59" t="s">
        <v>803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ht="15.2" spans="1:10">
      <c r="A4426" s="58" t="s">
        <v>5064</v>
      </c>
      <c r="B4426" s="59">
        <v>7892.25</v>
      </c>
      <c r="C4426" s="59">
        <v>12999</v>
      </c>
      <c r="D4426" s="59" t="s">
        <v>803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ht="15.2" spans="1:10">
      <c r="A4427" s="58" t="s">
        <v>5065</v>
      </c>
      <c r="B4427" s="59">
        <v>1247.8</v>
      </c>
      <c r="C4427" s="59">
        <v>1899</v>
      </c>
      <c r="D4427" s="59" t="s">
        <v>803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ht="15.2" spans="1:10">
      <c r="A4428" s="58" t="s">
        <v>5066</v>
      </c>
      <c r="B4428" s="59">
        <v>578</v>
      </c>
      <c r="C4428" s="59">
        <v>1362</v>
      </c>
      <c r="D4428" s="59" t="s">
        <v>801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ht="15.2" spans="1:10">
      <c r="A4429" s="58" t="s">
        <v>5067</v>
      </c>
      <c r="B4429" s="59">
        <v>973</v>
      </c>
      <c r="C4429" s="59">
        <v>2305</v>
      </c>
      <c r="D4429" s="59" t="s">
        <v>801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10167.85</v>
      </c>
      <c r="J4429" s="60">
        <f t="shared" si="210"/>
        <v>24087.25</v>
      </c>
    </row>
    <row r="4430" ht="15.2" spans="1:10">
      <c r="A4430" s="58" t="s">
        <v>5068</v>
      </c>
      <c r="B4430" s="59">
        <v>242</v>
      </c>
      <c r="C4430" s="59">
        <v>570</v>
      </c>
      <c r="D4430" s="59" t="s">
        <v>801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</v>
      </c>
      <c r="J4430" s="60">
        <f t="shared" si="210"/>
        <v>7866</v>
      </c>
    </row>
    <row r="4431" ht="15.2" spans="1:10">
      <c r="A4431" s="58" t="s">
        <v>5069</v>
      </c>
      <c r="B4431" s="59">
        <v>2061.91</v>
      </c>
      <c r="C4431" s="59">
        <v>3499</v>
      </c>
      <c r="D4431" s="59" t="s">
        <v>803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ht="15.2" spans="1:10">
      <c r="A4432" s="58" t="s">
        <v>5070</v>
      </c>
      <c r="B4432" s="59">
        <v>1904.87</v>
      </c>
      <c r="C4432" s="59">
        <v>2899</v>
      </c>
      <c r="D4432" s="59" t="s">
        <v>803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ht="15.2" spans="1:10">
      <c r="A4433" s="58" t="s">
        <v>5071</v>
      </c>
      <c r="B4433" s="59">
        <v>1767.27</v>
      </c>
      <c r="C4433" s="59">
        <v>2999</v>
      </c>
      <c r="D4433" s="59" t="s">
        <v>803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ht="15.2" spans="1:10">
      <c r="A4434" s="58" t="s">
        <v>5072</v>
      </c>
      <c r="B4434" s="59">
        <v>666</v>
      </c>
      <c r="C4434" s="59">
        <v>1586</v>
      </c>
      <c r="D4434" s="59" t="s">
        <v>801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399.6</v>
      </c>
      <c r="J4434" s="60">
        <f t="shared" si="210"/>
        <v>951.6</v>
      </c>
    </row>
    <row r="4435" ht="15.2" spans="1:10">
      <c r="A4435" s="58" t="s">
        <v>5073</v>
      </c>
      <c r="B4435" s="59">
        <v>1456.54</v>
      </c>
      <c r="C4435" s="59">
        <v>2399</v>
      </c>
      <c r="D4435" s="59" t="s">
        <v>803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ht="15.2" spans="1:10">
      <c r="A4436" s="58" t="s">
        <v>5074</v>
      </c>
      <c r="B4436" s="59">
        <v>1178</v>
      </c>
      <c r="C4436" s="59">
        <v>2869</v>
      </c>
      <c r="D4436" s="59" t="s">
        <v>801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</v>
      </c>
      <c r="J4436" s="60">
        <f t="shared" si="210"/>
        <v>12049.8</v>
      </c>
    </row>
    <row r="4437" ht="15.2" spans="1:10">
      <c r="A4437" s="58" t="s">
        <v>5075</v>
      </c>
      <c r="B4437" s="59">
        <v>1177.98</v>
      </c>
      <c r="C4437" s="59">
        <v>1999</v>
      </c>
      <c r="D4437" s="59" t="s">
        <v>803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ht="15.2" spans="1:10">
      <c r="A4438" s="58" t="s">
        <v>5076</v>
      </c>
      <c r="B4438" s="59">
        <v>354</v>
      </c>
      <c r="C4438" s="59">
        <v>899</v>
      </c>
      <c r="D4438" s="59" t="s">
        <v>801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ht="15.2" spans="1:10">
      <c r="A4439" s="58" t="s">
        <v>5077</v>
      </c>
      <c r="B4439" s="59">
        <v>1444.92</v>
      </c>
      <c r="C4439" s="59">
        <v>2199</v>
      </c>
      <c r="D4439" s="59" t="s">
        <v>803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ht="15.2" spans="1:10">
      <c r="A4440" s="58" t="s">
        <v>5078</v>
      </c>
      <c r="B4440" s="59">
        <v>1313.5</v>
      </c>
      <c r="C4440" s="59">
        <v>1999</v>
      </c>
      <c r="D4440" s="59" t="s">
        <v>803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ht="15.2" spans="1:10">
      <c r="A4441" s="58" t="s">
        <v>5079</v>
      </c>
      <c r="B4441" s="59">
        <v>1820.82</v>
      </c>
      <c r="C4441" s="59">
        <v>2999</v>
      </c>
      <c r="D4441" s="59" t="s">
        <v>803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ht="15.2" spans="1:10">
      <c r="A4442" s="58" t="s">
        <v>5080</v>
      </c>
      <c r="B4442" s="59">
        <v>2124.4</v>
      </c>
      <c r="C4442" s="59">
        <v>3499</v>
      </c>
      <c r="D4442" s="59" t="s">
        <v>803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ht="15.2" spans="1:10">
      <c r="A4443" s="58" t="s">
        <v>5081</v>
      </c>
      <c r="B4443" s="59">
        <v>901.24</v>
      </c>
      <c r="C4443" s="59">
        <v>1399</v>
      </c>
      <c r="D4443" s="59" t="s">
        <v>803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ht="15.2" spans="1:10">
      <c r="A4444" s="58" t="s">
        <v>5082</v>
      </c>
      <c r="B4444" s="59">
        <v>656.42</v>
      </c>
      <c r="C4444" s="59">
        <v>999</v>
      </c>
      <c r="D4444" s="59" t="s">
        <v>803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ht="15.2" spans="1:10">
      <c r="A4445" s="58" t="s">
        <v>5083</v>
      </c>
      <c r="B4445" s="59">
        <v>1158.92</v>
      </c>
      <c r="C4445" s="59">
        <v>1799</v>
      </c>
      <c r="D4445" s="59" t="s">
        <v>803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ht="15.2" spans="1:10">
      <c r="A4446" s="58" t="s">
        <v>5084</v>
      </c>
      <c r="B4446" s="59">
        <v>1699.39</v>
      </c>
      <c r="C4446" s="59">
        <v>2799</v>
      </c>
      <c r="D4446" s="59" t="s">
        <v>803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ht="15.2" spans="1:10">
      <c r="A4447" s="58" t="s">
        <v>5085</v>
      </c>
      <c r="B4447" s="59">
        <v>1472.63</v>
      </c>
      <c r="C4447" s="59">
        <v>2499</v>
      </c>
      <c r="D4447" s="59" t="s">
        <v>803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ht="15.2" spans="1:10">
      <c r="A4448" s="58" t="s">
        <v>708</v>
      </c>
      <c r="B4448" s="59">
        <v>292</v>
      </c>
      <c r="C4448" s="59">
        <v>651</v>
      </c>
      <c r="D4448" s="59" t="s">
        <v>801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</v>
      </c>
      <c r="J4448" s="60">
        <f t="shared" si="210"/>
        <v>65.1</v>
      </c>
    </row>
    <row r="4449" ht="15.2" spans="1:10">
      <c r="A4449" s="58" t="s">
        <v>5086</v>
      </c>
      <c r="B4449" s="59">
        <v>399</v>
      </c>
      <c r="C4449" s="59">
        <v>892</v>
      </c>
      <c r="D4449" s="59" t="s">
        <v>801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</v>
      </c>
      <c r="J4449" s="60">
        <f t="shared" si="210"/>
        <v>713.6</v>
      </c>
    </row>
    <row r="4450" ht="15.2" spans="1:10">
      <c r="A4450" s="58" t="s">
        <v>5087</v>
      </c>
      <c r="B4450" s="59">
        <v>787.84</v>
      </c>
      <c r="C4450" s="59">
        <v>1199</v>
      </c>
      <c r="D4450" s="59" t="s">
        <v>803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ht="15.2" spans="1:10">
      <c r="A4451" s="58" t="s">
        <v>5088</v>
      </c>
      <c r="B4451" s="59">
        <v>1510.63</v>
      </c>
      <c r="C4451" s="59">
        <v>2299</v>
      </c>
      <c r="D4451" s="59" t="s">
        <v>803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ht="15.2" spans="1:10">
      <c r="A4452" s="58" t="s">
        <v>5089</v>
      </c>
      <c r="B4452" s="59">
        <v>722.13</v>
      </c>
      <c r="C4452" s="59">
        <v>1099</v>
      </c>
      <c r="D4452" s="59" t="s">
        <v>803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ht="15.2" spans="1:10">
      <c r="A4453" s="58" t="s">
        <v>113</v>
      </c>
      <c r="B4453" s="59">
        <v>625</v>
      </c>
      <c r="C4453" s="59">
        <v>1393</v>
      </c>
      <c r="D4453" s="59" t="s">
        <v>801</v>
      </c>
      <c r="E4453" s="59">
        <v>9.2</v>
      </c>
      <c r="F4453" s="59">
        <v>9.2</v>
      </c>
      <c r="G4453" s="59">
        <v>0</v>
      </c>
      <c r="H4453" s="60">
        <f t="shared" si="211"/>
        <v>9.2</v>
      </c>
      <c r="I4453" s="60">
        <f t="shared" si="209"/>
        <v>5750</v>
      </c>
      <c r="J4453" s="60">
        <f t="shared" si="210"/>
        <v>12815.6</v>
      </c>
    </row>
    <row r="4454" ht="15.2" spans="1:10">
      <c r="A4454" s="58" t="s">
        <v>5090</v>
      </c>
      <c r="B4454" s="59">
        <v>259</v>
      </c>
      <c r="C4454" s="59">
        <v>601</v>
      </c>
      <c r="D4454" s="59" t="s">
        <v>801</v>
      </c>
      <c r="E4454" s="59">
        <v>0.55</v>
      </c>
      <c r="F4454" s="59">
        <v>0.55</v>
      </c>
      <c r="G4454" s="59">
        <v>0</v>
      </c>
      <c r="H4454" s="60">
        <f t="shared" si="211"/>
        <v>0.55</v>
      </c>
      <c r="I4454" s="60">
        <f t="shared" si="209"/>
        <v>142.45</v>
      </c>
      <c r="J4454" s="60">
        <f t="shared" si="210"/>
        <v>330.55</v>
      </c>
    </row>
    <row r="4455" ht="15.2" spans="1:10">
      <c r="A4455" s="58" t="s">
        <v>5091</v>
      </c>
      <c r="B4455" s="59">
        <v>4856.54</v>
      </c>
      <c r="C4455" s="59">
        <v>7999</v>
      </c>
      <c r="D4455" s="59" t="s">
        <v>803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ht="15.2" spans="1:10">
      <c r="A4456" s="58" t="s">
        <v>5092</v>
      </c>
      <c r="B4456" s="59">
        <v>1638.68</v>
      </c>
      <c r="C4456" s="59">
        <v>2699</v>
      </c>
      <c r="D4456" s="59" t="s">
        <v>803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ht="15.2" spans="1:10">
      <c r="A4457" s="58" t="s">
        <v>5093</v>
      </c>
      <c r="B4457" s="59">
        <v>406</v>
      </c>
      <c r="C4457" s="59">
        <v>907</v>
      </c>
      <c r="D4457" s="59" t="s">
        <v>801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</v>
      </c>
      <c r="J4457" s="60">
        <f t="shared" si="210"/>
        <v>5623.4</v>
      </c>
    </row>
    <row r="4458" ht="15.2" spans="1:10">
      <c r="A4458" s="58" t="s">
        <v>5094</v>
      </c>
      <c r="B4458" s="59">
        <v>1313.5</v>
      </c>
      <c r="C4458" s="59">
        <v>1999</v>
      </c>
      <c r="D4458" s="59" t="s">
        <v>803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ht="15.2" spans="1:10">
      <c r="A4459" s="58" t="s">
        <v>5095</v>
      </c>
      <c r="B4459" s="59">
        <v>511</v>
      </c>
      <c r="C4459" s="59">
        <v>1290</v>
      </c>
      <c r="D4459" s="59" t="s">
        <v>801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ht="15.2" spans="1:10">
      <c r="A4460" s="58" t="s">
        <v>5096</v>
      </c>
      <c r="B4460" s="59">
        <v>630</v>
      </c>
      <c r="C4460" s="59">
        <v>1390</v>
      </c>
      <c r="D4460" s="59" t="s">
        <v>801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ht="15.2" spans="1:10">
      <c r="A4461" s="58" t="s">
        <v>5097</v>
      </c>
      <c r="B4461" s="59">
        <v>359</v>
      </c>
      <c r="C4461" s="59">
        <v>887</v>
      </c>
      <c r="D4461" s="59" t="s">
        <v>801</v>
      </c>
      <c r="E4461" s="59">
        <v>1.15</v>
      </c>
      <c r="F4461" s="59">
        <v>1.15</v>
      </c>
      <c r="G4461" s="59">
        <v>0</v>
      </c>
      <c r="H4461" s="60">
        <f t="shared" si="211"/>
        <v>1.15</v>
      </c>
      <c r="I4461" s="60">
        <f t="shared" si="209"/>
        <v>412.85</v>
      </c>
      <c r="J4461" s="60">
        <f t="shared" si="210"/>
        <v>1020.05</v>
      </c>
    </row>
    <row r="4462" ht="15.2" spans="1:10">
      <c r="A4462" s="58" t="s">
        <v>5098</v>
      </c>
      <c r="B4462" s="59">
        <v>410</v>
      </c>
      <c r="C4462" s="59">
        <v>861</v>
      </c>
      <c r="D4462" s="59" t="s">
        <v>801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ht="15.2" spans="1:10">
      <c r="A4463" s="58" t="s">
        <v>5099</v>
      </c>
      <c r="B4463" s="59">
        <v>1472.63</v>
      </c>
      <c r="C4463" s="59">
        <v>2499</v>
      </c>
      <c r="D4463" s="59" t="s">
        <v>803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ht="15.2" spans="1:10">
      <c r="A4464" s="58" t="s">
        <v>5100</v>
      </c>
      <c r="B4464" s="59">
        <v>1642.05</v>
      </c>
      <c r="C4464" s="59">
        <v>2499</v>
      </c>
      <c r="D4464" s="59" t="s">
        <v>803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ht="15.2" spans="1:10">
      <c r="A4465" s="58" t="s">
        <v>5101</v>
      </c>
      <c r="B4465" s="59">
        <v>1379.21</v>
      </c>
      <c r="C4465" s="59">
        <v>2099</v>
      </c>
      <c r="D4465" s="59" t="s">
        <v>803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ht="15.2" spans="1:10">
      <c r="A4466" s="58" t="s">
        <v>5102</v>
      </c>
      <c r="B4466" s="59">
        <v>384</v>
      </c>
      <c r="C4466" s="59">
        <v>973</v>
      </c>
      <c r="D4466" s="59" t="s">
        <v>801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</v>
      </c>
      <c r="J4466" s="60">
        <f t="shared" si="210"/>
        <v>2043.3</v>
      </c>
    </row>
    <row r="4467" ht="15.2" spans="1:10">
      <c r="A4467" s="58" t="s">
        <v>271</v>
      </c>
      <c r="B4467" s="59">
        <v>374</v>
      </c>
      <c r="C4467" s="59">
        <v>880</v>
      </c>
      <c r="D4467" s="59" t="s">
        <v>801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ht="15.2" spans="1:10">
      <c r="A4468" s="58" t="s">
        <v>5103</v>
      </c>
      <c r="B4468" s="59">
        <v>1158.92</v>
      </c>
      <c r="C4468" s="59">
        <v>1799</v>
      </c>
      <c r="D4468" s="59" t="s">
        <v>803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ht="15.2" spans="1:10">
      <c r="A4469" s="58" t="s">
        <v>5104</v>
      </c>
      <c r="B4469" s="59">
        <v>1247.8</v>
      </c>
      <c r="C4469" s="59">
        <v>1899</v>
      </c>
      <c r="D4469" s="59" t="s">
        <v>803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ht="15.2" spans="1:10">
      <c r="A4470" s="58" t="s">
        <v>5105</v>
      </c>
      <c r="B4470" s="59">
        <v>232</v>
      </c>
      <c r="C4470" s="59">
        <v>552</v>
      </c>
      <c r="D4470" s="59" t="s">
        <v>801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ht="15.2" spans="1:10">
      <c r="A4471" s="58" t="s">
        <v>5106</v>
      </c>
      <c r="B4471" s="59">
        <v>1331</v>
      </c>
      <c r="C4471" s="59">
        <v>3439</v>
      </c>
      <c r="D4471" s="59" t="s">
        <v>801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ht="15.2" spans="1:10">
      <c r="A4472" s="58" t="s">
        <v>5107</v>
      </c>
      <c r="B4472" s="59">
        <v>1247.8</v>
      </c>
      <c r="C4472" s="59">
        <v>1899</v>
      </c>
      <c r="D4472" s="59" t="s">
        <v>803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ht="15.2" spans="1:10">
      <c r="A4473" s="58" t="s">
        <v>157</v>
      </c>
      <c r="B4473" s="59">
        <v>999</v>
      </c>
      <c r="C4473" s="59">
        <v>2256</v>
      </c>
      <c r="D4473" s="59" t="s">
        <v>801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ht="15.2" spans="1:10">
      <c r="A4474" s="58" t="s">
        <v>5108</v>
      </c>
      <c r="B4474" s="59">
        <v>1236.91</v>
      </c>
      <c r="C4474" s="59">
        <v>2099</v>
      </c>
      <c r="D4474" s="59" t="s">
        <v>803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ht="15.2" spans="1:10">
      <c r="A4475" s="58" t="s">
        <v>373</v>
      </c>
      <c r="B4475" s="59">
        <v>349</v>
      </c>
      <c r="C4475" s="59">
        <v>770</v>
      </c>
      <c r="D4475" s="59" t="s">
        <v>801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ht="15.2" spans="1:10">
      <c r="A4476" s="58" t="s">
        <v>124</v>
      </c>
      <c r="B4476" s="59">
        <v>316</v>
      </c>
      <c r="C4476" s="59">
        <v>830</v>
      </c>
      <c r="D4476" s="59" t="s">
        <v>801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ht="15.2" spans="1:10">
      <c r="A4477" s="58" t="s">
        <v>5109</v>
      </c>
      <c r="B4477" s="59">
        <v>317</v>
      </c>
      <c r="C4477" s="59">
        <v>754</v>
      </c>
      <c r="D4477" s="59" t="s">
        <v>801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ht="15.2" spans="1:10">
      <c r="A4478" s="58" t="s">
        <v>5110</v>
      </c>
      <c r="B4478" s="59">
        <v>1577.97</v>
      </c>
      <c r="C4478" s="59">
        <v>2499</v>
      </c>
      <c r="D4478" s="59" t="s">
        <v>803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ht="15.2" spans="1:10">
      <c r="A4479" s="58" t="s">
        <v>5111</v>
      </c>
      <c r="B4479" s="59">
        <v>1092.25</v>
      </c>
      <c r="C4479" s="59">
        <v>1799</v>
      </c>
      <c r="D4479" s="59" t="s">
        <v>803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ht="15.2" spans="1:10">
      <c r="A4480" s="58" t="s">
        <v>5112</v>
      </c>
      <c r="B4480" s="59">
        <v>1247.8</v>
      </c>
      <c r="C4480" s="59">
        <v>1899</v>
      </c>
      <c r="D4480" s="59" t="s">
        <v>803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ht="15.2" spans="1:10">
      <c r="A4481" s="58" t="s">
        <v>5113</v>
      </c>
      <c r="B4481" s="59">
        <v>495</v>
      </c>
      <c r="C4481" s="59">
        <v>1110</v>
      </c>
      <c r="D4481" s="59" t="s">
        <v>801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ht="15.2" spans="1:10">
      <c r="A4482" s="58" t="s">
        <v>5114</v>
      </c>
      <c r="B4482" s="59">
        <v>2356.55</v>
      </c>
      <c r="C4482" s="59">
        <v>3999</v>
      </c>
      <c r="D4482" s="59" t="s">
        <v>803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</v>
      </c>
      <c r="J4482" s="60">
        <f t="shared" ref="J4482:J4545" si="213">C4482*H4482</f>
        <v>3999</v>
      </c>
    </row>
    <row r="4483" ht="15.2" spans="1:10">
      <c r="A4483" s="58" t="s">
        <v>5115</v>
      </c>
      <c r="B4483" s="59">
        <v>364</v>
      </c>
      <c r="C4483" s="59">
        <v>825</v>
      </c>
      <c r="D4483" s="59" t="s">
        <v>801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ht="15.2" spans="1:10">
      <c r="A4484" s="58" t="s">
        <v>5116</v>
      </c>
      <c r="B4484" s="59">
        <v>4249.39</v>
      </c>
      <c r="C4484" s="59">
        <v>6999</v>
      </c>
      <c r="D4484" s="59" t="s">
        <v>803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</v>
      </c>
      <c r="J4484" s="60">
        <f t="shared" si="213"/>
        <v>6999</v>
      </c>
    </row>
    <row r="4485" ht="15.2" spans="1:10">
      <c r="A4485" s="58" t="s">
        <v>5117</v>
      </c>
      <c r="B4485" s="59">
        <v>1274.39</v>
      </c>
      <c r="C4485" s="59">
        <v>2099</v>
      </c>
      <c r="D4485" s="59" t="s">
        <v>803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ht="15.2" spans="1:10">
      <c r="A4486" s="58" t="s">
        <v>5118</v>
      </c>
      <c r="B4486" s="59">
        <v>1092.25</v>
      </c>
      <c r="C4486" s="59">
        <v>1799</v>
      </c>
      <c r="D4486" s="59" t="s">
        <v>803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ht="15.2" spans="1:10">
      <c r="A4487" s="58" t="s">
        <v>5119</v>
      </c>
      <c r="B4487" s="59">
        <v>426</v>
      </c>
      <c r="C4487" s="59">
        <v>1049</v>
      </c>
      <c r="D4487" s="59" t="s">
        <v>801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ht="15.2" spans="1:10">
      <c r="A4488" s="58" t="s">
        <v>5120</v>
      </c>
      <c r="B4488" s="59">
        <v>1395.82</v>
      </c>
      <c r="C4488" s="59">
        <v>2299</v>
      </c>
      <c r="D4488" s="59" t="s">
        <v>803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ht="15.2" spans="1:10">
      <c r="A4489" s="58" t="s">
        <v>5121</v>
      </c>
      <c r="B4489" s="59">
        <v>1395.82</v>
      </c>
      <c r="C4489" s="59">
        <v>2299</v>
      </c>
      <c r="D4489" s="59" t="s">
        <v>803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ht="15.2" spans="1:10">
      <c r="A4490" s="58" t="s">
        <v>5122</v>
      </c>
      <c r="B4490" s="59">
        <v>1576.34</v>
      </c>
      <c r="C4490" s="59">
        <v>2399</v>
      </c>
      <c r="D4490" s="59" t="s">
        <v>803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ht="15.2" spans="1:10">
      <c r="A4491" s="58" t="s">
        <v>5123</v>
      </c>
      <c r="B4491" s="59">
        <v>675</v>
      </c>
      <c r="C4491" s="59">
        <v>1508</v>
      </c>
      <c r="D4491" s="59" t="s">
        <v>801</v>
      </c>
      <c r="E4491" s="59">
        <v>4.1</v>
      </c>
      <c r="F4491" s="59">
        <v>4.1</v>
      </c>
      <c r="G4491" s="59">
        <v>0</v>
      </c>
      <c r="H4491" s="60">
        <f t="shared" si="211"/>
        <v>4.1</v>
      </c>
      <c r="I4491" s="60">
        <f t="shared" si="212"/>
        <v>2767.5</v>
      </c>
      <c r="J4491" s="60">
        <f t="shared" si="213"/>
        <v>6182.8</v>
      </c>
    </row>
    <row r="4492" ht="15.2" spans="1:10">
      <c r="A4492" s="58" t="s">
        <v>5124</v>
      </c>
      <c r="B4492" s="59">
        <v>970.78</v>
      </c>
      <c r="C4492" s="59">
        <v>1499</v>
      </c>
      <c r="D4492" s="59" t="s">
        <v>803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ht="15.2" spans="1:10">
      <c r="A4493" s="58" t="s">
        <v>5125</v>
      </c>
      <c r="B4493" s="59">
        <v>290.78</v>
      </c>
      <c r="C4493" s="59">
        <v>449</v>
      </c>
      <c r="D4493" s="59" t="s">
        <v>803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290.78</v>
      </c>
      <c r="J4493" s="60">
        <f t="shared" si="213"/>
        <v>449</v>
      </c>
    </row>
    <row r="4494" ht="15.2" spans="1:10">
      <c r="A4494" s="58" t="s">
        <v>5126</v>
      </c>
      <c r="B4494" s="59">
        <v>4249.39</v>
      </c>
      <c r="C4494" s="59">
        <v>6999</v>
      </c>
      <c r="D4494" s="59" t="s">
        <v>803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</v>
      </c>
      <c r="J4494" s="60">
        <f t="shared" si="213"/>
        <v>6999</v>
      </c>
    </row>
    <row r="4495" ht="15.2" spans="1:10">
      <c r="A4495" s="58" t="s">
        <v>5127</v>
      </c>
      <c r="B4495" s="59">
        <v>5463.68</v>
      </c>
      <c r="C4495" s="59">
        <v>8999</v>
      </c>
      <c r="D4495" s="59" t="s">
        <v>803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ht="15.2" spans="1:10">
      <c r="A4496" s="58" t="s">
        <v>5128</v>
      </c>
      <c r="B4496" s="59">
        <v>1094.5</v>
      </c>
      <c r="C4496" s="59">
        <v>1699</v>
      </c>
      <c r="D4496" s="59" t="s">
        <v>803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ht="15.2" spans="1:10">
      <c r="A4497" s="58" t="s">
        <v>5129</v>
      </c>
      <c r="B4497" s="59">
        <v>799</v>
      </c>
      <c r="C4497" s="59">
        <v>1799</v>
      </c>
      <c r="D4497" s="59" t="s">
        <v>801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559.3</v>
      </c>
      <c r="J4497" s="60">
        <f t="shared" si="213"/>
        <v>1259.3</v>
      </c>
    </row>
    <row r="4498" ht="15.2" spans="1:10">
      <c r="A4498" s="58" t="s">
        <v>5130</v>
      </c>
      <c r="B4498" s="59">
        <v>1354.77</v>
      </c>
      <c r="C4498" s="59">
        <v>2299</v>
      </c>
      <c r="D4498" s="59" t="s">
        <v>803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ht="15.2" spans="1:10">
      <c r="A4499" s="58" t="s">
        <v>5131</v>
      </c>
      <c r="B4499" s="59">
        <v>1116.38</v>
      </c>
      <c r="C4499" s="59">
        <v>1699</v>
      </c>
      <c r="D4499" s="59" t="s">
        <v>803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</v>
      </c>
      <c r="J4499" s="60">
        <f t="shared" si="213"/>
        <v>1699</v>
      </c>
    </row>
    <row r="4500" ht="15.2" spans="1:10">
      <c r="A4500" s="58" t="s">
        <v>5132</v>
      </c>
      <c r="B4500" s="59">
        <v>1247.8</v>
      </c>
      <c r="C4500" s="59">
        <v>1899</v>
      </c>
      <c r="D4500" s="59" t="s">
        <v>803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ht="15.2" spans="1:10">
      <c r="A4501" s="58" t="s">
        <v>5133</v>
      </c>
      <c r="B4501" s="59">
        <v>1158.92</v>
      </c>
      <c r="C4501" s="59">
        <v>1799</v>
      </c>
      <c r="D4501" s="59" t="s">
        <v>803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ht="15.2" spans="1:10">
      <c r="A4502" s="58" t="s">
        <v>5134</v>
      </c>
      <c r="B4502" s="59">
        <v>525</v>
      </c>
      <c r="C4502" s="59">
        <v>1102</v>
      </c>
      <c r="D4502" s="59" t="s">
        <v>801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ht="15.2" spans="1:10">
      <c r="A4503" s="58" t="s">
        <v>5135</v>
      </c>
      <c r="B4503" s="59">
        <v>585</v>
      </c>
      <c r="C4503" s="59">
        <v>1308</v>
      </c>
      <c r="D4503" s="59" t="s">
        <v>801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2485.2</v>
      </c>
    </row>
    <row r="4504" ht="15.2" spans="1:10">
      <c r="A4504" s="58" t="s">
        <v>5136</v>
      </c>
      <c r="B4504" s="59">
        <v>1119.05</v>
      </c>
      <c r="C4504" s="59">
        <v>1899</v>
      </c>
      <c r="D4504" s="59" t="s">
        <v>803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ht="15.2" spans="1:10">
      <c r="A4505" s="58" t="s">
        <v>5137</v>
      </c>
      <c r="B4505" s="59">
        <v>970.82</v>
      </c>
      <c r="C4505" s="59">
        <v>1599</v>
      </c>
      <c r="D4505" s="59" t="s">
        <v>803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ht="15.2" spans="1:10">
      <c r="A4506" s="58" t="s">
        <v>5138</v>
      </c>
      <c r="B4506" s="59">
        <v>1510.63</v>
      </c>
      <c r="C4506" s="59">
        <v>2299</v>
      </c>
      <c r="D4506" s="59" t="s">
        <v>803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ht="15.2" spans="1:10">
      <c r="A4507" s="58" t="s">
        <v>5139</v>
      </c>
      <c r="B4507" s="59">
        <v>1545.44</v>
      </c>
      <c r="C4507" s="59">
        <v>2399</v>
      </c>
      <c r="D4507" s="59" t="s">
        <v>803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ht="15.2" spans="1:10">
      <c r="A4508" s="58" t="s">
        <v>5140</v>
      </c>
      <c r="B4508" s="59">
        <v>1092.25</v>
      </c>
      <c r="C4508" s="59">
        <v>1799</v>
      </c>
      <c r="D4508" s="59" t="s">
        <v>803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ht="15.2" spans="1:10">
      <c r="A4509" s="58" t="s">
        <v>5141</v>
      </c>
      <c r="B4509" s="59">
        <v>294</v>
      </c>
      <c r="C4509" s="59">
        <v>720</v>
      </c>
      <c r="D4509" s="59" t="s">
        <v>801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ht="15.2" spans="1:10">
      <c r="A4510" s="58" t="s">
        <v>5142</v>
      </c>
      <c r="B4510" s="59">
        <v>819</v>
      </c>
      <c r="C4510" s="59">
        <v>1798</v>
      </c>
      <c r="D4510" s="59" t="s">
        <v>801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ht="15.2" spans="1:10">
      <c r="A4511" s="58" t="s">
        <v>5143</v>
      </c>
      <c r="B4511" s="59">
        <v>250</v>
      </c>
      <c r="C4511" s="59">
        <v>550</v>
      </c>
      <c r="D4511" s="59" t="s">
        <v>801</v>
      </c>
      <c r="E4511" s="59">
        <v>4.1</v>
      </c>
      <c r="F4511" s="59">
        <v>4.1</v>
      </c>
      <c r="G4511" s="59">
        <v>0</v>
      </c>
      <c r="H4511" s="60">
        <f t="shared" ref="H4511:H4574" si="214">E4511-G4511</f>
        <v>4.1</v>
      </c>
      <c r="I4511" s="60">
        <f t="shared" si="212"/>
        <v>1025</v>
      </c>
      <c r="J4511" s="60">
        <f t="shared" si="213"/>
        <v>2255</v>
      </c>
    </row>
    <row r="4512" ht="15.2" spans="1:10">
      <c r="A4512" s="58" t="s">
        <v>5144</v>
      </c>
      <c r="B4512" s="59">
        <v>296</v>
      </c>
      <c r="C4512" s="59">
        <v>675</v>
      </c>
      <c r="D4512" s="59" t="s">
        <v>801</v>
      </c>
      <c r="E4512" s="59">
        <v>1.1</v>
      </c>
      <c r="F4512" s="59">
        <v>1.1</v>
      </c>
      <c r="G4512" s="59">
        <v>0</v>
      </c>
      <c r="H4512" s="60">
        <f t="shared" si="214"/>
        <v>1.1</v>
      </c>
      <c r="I4512" s="60">
        <f t="shared" si="212"/>
        <v>325.6</v>
      </c>
      <c r="J4512" s="60">
        <f t="shared" si="213"/>
        <v>742.5</v>
      </c>
    </row>
    <row r="4513" ht="15.2" spans="1:10">
      <c r="A4513" s="58" t="s">
        <v>5145</v>
      </c>
      <c r="B4513" s="59">
        <v>1517.25</v>
      </c>
      <c r="C4513" s="59">
        <v>2499</v>
      </c>
      <c r="D4513" s="59" t="s">
        <v>803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ht="15.2" spans="1:10">
      <c r="A4514" s="58" t="s">
        <v>5146</v>
      </c>
      <c r="B4514" s="59">
        <v>582.21</v>
      </c>
      <c r="C4514" s="59">
        <v>899</v>
      </c>
      <c r="D4514" s="59" t="s">
        <v>803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ht="15.2" spans="1:10">
      <c r="A4515" s="58" t="s">
        <v>5147</v>
      </c>
      <c r="B4515" s="59">
        <v>1116.38</v>
      </c>
      <c r="C4515" s="59">
        <v>1699</v>
      </c>
      <c r="D4515" s="59" t="s">
        <v>803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ht="15.2" spans="1:10">
      <c r="A4516" s="58" t="s">
        <v>722</v>
      </c>
      <c r="B4516" s="59">
        <v>349</v>
      </c>
      <c r="C4516" s="59">
        <v>698</v>
      </c>
      <c r="D4516" s="59" t="s">
        <v>801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244.3</v>
      </c>
      <c r="J4516" s="60">
        <f t="shared" si="213"/>
        <v>488.6</v>
      </c>
    </row>
    <row r="4517" ht="15.2" spans="1:10">
      <c r="A4517" s="58" t="s">
        <v>5148</v>
      </c>
      <c r="B4517" s="59">
        <v>1773.46</v>
      </c>
      <c r="C4517" s="59">
        <v>2699</v>
      </c>
      <c r="D4517" s="59" t="s">
        <v>803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ht="15.2" spans="1:10">
      <c r="A4518" s="58" t="s">
        <v>5149</v>
      </c>
      <c r="B4518" s="59">
        <v>299</v>
      </c>
      <c r="C4518" s="59">
        <v>660</v>
      </c>
      <c r="D4518" s="59" t="s">
        <v>801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</v>
      </c>
      <c r="J4518" s="60">
        <f t="shared" si="213"/>
        <v>3729</v>
      </c>
    </row>
    <row r="4519" ht="15.2" spans="1:10">
      <c r="A4519" s="58" t="s">
        <v>5150</v>
      </c>
      <c r="B4519" s="59">
        <v>399</v>
      </c>
      <c r="C4519" s="59">
        <v>892</v>
      </c>
      <c r="D4519" s="59" t="s">
        <v>801</v>
      </c>
      <c r="E4519" s="59">
        <v>1.1</v>
      </c>
      <c r="F4519" s="59">
        <v>1.1</v>
      </c>
      <c r="G4519" s="59">
        <v>0</v>
      </c>
      <c r="H4519" s="60">
        <f t="shared" si="214"/>
        <v>1.1</v>
      </c>
      <c r="I4519" s="60">
        <f t="shared" si="212"/>
        <v>438.9</v>
      </c>
      <c r="J4519" s="60">
        <f t="shared" si="213"/>
        <v>981.2</v>
      </c>
    </row>
    <row r="4520" ht="15.2" spans="1:10">
      <c r="A4520" s="58" t="s">
        <v>5151</v>
      </c>
      <c r="B4520" s="59">
        <v>327</v>
      </c>
      <c r="C4520" s="59">
        <v>815</v>
      </c>
      <c r="D4520" s="59" t="s">
        <v>801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ht="15.2" spans="1:10">
      <c r="A4521" s="58" t="s">
        <v>5152</v>
      </c>
      <c r="B4521" s="59">
        <v>923</v>
      </c>
      <c r="C4521" s="59">
        <v>2182</v>
      </c>
      <c r="D4521" s="59" t="s">
        <v>801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ht="15.2" spans="1:10">
      <c r="A4522" s="58" t="s">
        <v>5153</v>
      </c>
      <c r="B4522" s="59">
        <v>1092.25</v>
      </c>
      <c r="C4522" s="59">
        <v>1799</v>
      </c>
      <c r="D4522" s="59" t="s">
        <v>803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ht="15.2" spans="1:10">
      <c r="A4523" s="58" t="s">
        <v>5154</v>
      </c>
      <c r="B4523" s="59">
        <v>1395.82</v>
      </c>
      <c r="C4523" s="59">
        <v>2299</v>
      </c>
      <c r="D4523" s="59" t="s">
        <v>803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ht="15.2" spans="1:10">
      <c r="A4524" s="58" t="s">
        <v>5155</v>
      </c>
      <c r="B4524" s="59">
        <v>649</v>
      </c>
      <c r="C4524" s="59">
        <v>1447</v>
      </c>
      <c r="D4524" s="59" t="s">
        <v>801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ht="15.2" spans="1:10">
      <c r="A4525" s="58" t="s">
        <v>5156</v>
      </c>
      <c r="B4525" s="59">
        <v>8499.39</v>
      </c>
      <c r="C4525" s="59">
        <v>13999</v>
      </c>
      <c r="D4525" s="59" t="s">
        <v>803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ht="15.2" spans="1:10">
      <c r="A4526" s="58" t="s">
        <v>5157</v>
      </c>
      <c r="B4526" s="59">
        <v>1349</v>
      </c>
      <c r="C4526" s="59">
        <v>3060</v>
      </c>
      <c r="D4526" s="59" t="s">
        <v>801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ht="15.2" spans="1:10">
      <c r="A4527" s="58" t="s">
        <v>18</v>
      </c>
      <c r="B4527" s="59">
        <v>306</v>
      </c>
      <c r="C4527" s="59">
        <v>750</v>
      </c>
      <c r="D4527" s="59" t="s">
        <v>801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ht="15.2" spans="1:10">
      <c r="A4528" s="58" t="s">
        <v>5158</v>
      </c>
      <c r="B4528" s="59">
        <v>699</v>
      </c>
      <c r="C4528" s="59">
        <v>1468</v>
      </c>
      <c r="D4528" s="59" t="s">
        <v>801</v>
      </c>
      <c r="E4528" s="59">
        <v>0.55</v>
      </c>
      <c r="F4528" s="59">
        <v>0.55</v>
      </c>
      <c r="G4528" s="59">
        <v>0</v>
      </c>
      <c r="H4528" s="60">
        <f t="shared" si="214"/>
        <v>0.55</v>
      </c>
      <c r="I4528" s="60">
        <f t="shared" si="212"/>
        <v>384.45</v>
      </c>
      <c r="J4528" s="60">
        <f t="shared" si="213"/>
        <v>807.4</v>
      </c>
    </row>
    <row r="4529" ht="15.2" spans="1:10">
      <c r="A4529" s="58" t="s">
        <v>5159</v>
      </c>
      <c r="B4529" s="59">
        <v>1699.39</v>
      </c>
      <c r="C4529" s="59">
        <v>2799</v>
      </c>
      <c r="D4529" s="59" t="s">
        <v>803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ht="15.2" spans="1:10">
      <c r="A4530" s="58" t="s">
        <v>5160</v>
      </c>
      <c r="B4530" s="59">
        <v>1119.05</v>
      </c>
      <c r="C4530" s="59">
        <v>1899</v>
      </c>
      <c r="D4530" s="59" t="s">
        <v>803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ht="15.2" spans="1:10">
      <c r="A4531" s="58" t="s">
        <v>5161</v>
      </c>
      <c r="B4531" s="59">
        <v>1295.84</v>
      </c>
      <c r="C4531" s="59">
        <v>2199</v>
      </c>
      <c r="D4531" s="59" t="s">
        <v>803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2591.68</v>
      </c>
      <c r="J4531" s="60">
        <f t="shared" si="213"/>
        <v>4398</v>
      </c>
    </row>
    <row r="4532" ht="15.2" spans="1:10">
      <c r="A4532" s="58" t="s">
        <v>5162</v>
      </c>
      <c r="B4532" s="59">
        <v>1247.8</v>
      </c>
      <c r="C4532" s="59">
        <v>1899</v>
      </c>
      <c r="D4532" s="59" t="s">
        <v>803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ht="15.2" spans="1:10">
      <c r="A4533" s="58" t="s">
        <v>5163</v>
      </c>
      <c r="B4533" s="59">
        <v>1152.97</v>
      </c>
      <c r="C4533" s="59">
        <v>1899</v>
      </c>
      <c r="D4533" s="59" t="s">
        <v>803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ht="15.2" spans="1:10">
      <c r="A4534" s="58" t="s">
        <v>5164</v>
      </c>
      <c r="B4534" s="59">
        <v>1313.5</v>
      </c>
      <c r="C4534" s="59">
        <v>1999</v>
      </c>
      <c r="D4534" s="59" t="s">
        <v>803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ht="15.2" spans="1:10">
      <c r="A4535" s="58" t="s">
        <v>5165</v>
      </c>
      <c r="B4535" s="59">
        <v>1247.8</v>
      </c>
      <c r="C4535" s="59">
        <v>1899</v>
      </c>
      <c r="D4535" s="59" t="s">
        <v>803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ht="15.2" spans="1:10">
      <c r="A4536" s="58" t="s">
        <v>5166</v>
      </c>
      <c r="B4536" s="59">
        <v>300</v>
      </c>
      <c r="C4536" s="59">
        <v>680</v>
      </c>
      <c r="D4536" s="59" t="s">
        <v>801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ht="15.2" spans="1:10">
      <c r="A4537" s="58" t="s">
        <v>5167</v>
      </c>
      <c r="B4537" s="59">
        <v>656.42</v>
      </c>
      <c r="C4537" s="59">
        <v>999</v>
      </c>
      <c r="D4537" s="59" t="s">
        <v>803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ht="15.2" spans="1:10">
      <c r="A4538" s="58" t="s">
        <v>5168</v>
      </c>
      <c r="B4538" s="59">
        <v>452.69</v>
      </c>
      <c r="C4538" s="59">
        <v>699</v>
      </c>
      <c r="D4538" s="59" t="s">
        <v>803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ht="15.2" spans="1:10">
      <c r="A4539" s="58" t="s">
        <v>5169</v>
      </c>
      <c r="B4539" s="59">
        <v>517.45</v>
      </c>
      <c r="C4539" s="59">
        <v>799</v>
      </c>
      <c r="D4539" s="59" t="s">
        <v>803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</v>
      </c>
      <c r="J4539" s="60">
        <f t="shared" si="213"/>
        <v>1598</v>
      </c>
    </row>
    <row r="4540" ht="15.2" spans="1:10">
      <c r="A4540" s="58" t="s">
        <v>5170</v>
      </c>
      <c r="B4540" s="59">
        <v>1707.76</v>
      </c>
      <c r="C4540" s="59">
        <v>2599</v>
      </c>
      <c r="D4540" s="59" t="s">
        <v>803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ht="15.2" spans="1:10">
      <c r="A4541" s="58" t="s">
        <v>5171</v>
      </c>
      <c r="B4541" s="59">
        <v>656.42</v>
      </c>
      <c r="C4541" s="59">
        <v>999</v>
      </c>
      <c r="D4541" s="59" t="s">
        <v>803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ht="15.2" spans="1:10">
      <c r="A4542" s="58" t="s">
        <v>5172</v>
      </c>
      <c r="B4542" s="59">
        <v>1456.54</v>
      </c>
      <c r="C4542" s="59">
        <v>2399</v>
      </c>
      <c r="D4542" s="59" t="s">
        <v>803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ht="15.2" spans="1:10">
      <c r="A4543" s="58" t="s">
        <v>5173</v>
      </c>
      <c r="B4543" s="59">
        <v>242</v>
      </c>
      <c r="C4543" s="59">
        <v>570</v>
      </c>
      <c r="D4543" s="59" t="s">
        <v>801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ht="15.2" spans="1:10">
      <c r="A4544" s="58" t="s">
        <v>5174</v>
      </c>
      <c r="B4544" s="59">
        <v>1456.54</v>
      </c>
      <c r="C4544" s="59">
        <v>2399</v>
      </c>
      <c r="D4544" s="59" t="s">
        <v>803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ht="15.2" spans="1:10">
      <c r="A4545" s="58" t="s">
        <v>5175</v>
      </c>
      <c r="B4545" s="59">
        <v>1970.58</v>
      </c>
      <c r="C4545" s="59">
        <v>2999</v>
      </c>
      <c r="D4545" s="59" t="s">
        <v>803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ht="15.2" spans="1:10">
      <c r="A4546" s="58" t="s">
        <v>5176</v>
      </c>
      <c r="B4546" s="59">
        <v>1517.25</v>
      </c>
      <c r="C4546" s="59">
        <v>2499</v>
      </c>
      <c r="D4546" s="59" t="s">
        <v>803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ht="15.2" spans="1:10">
      <c r="A4547" s="58" t="s">
        <v>5177</v>
      </c>
      <c r="B4547" s="59">
        <v>1313.5</v>
      </c>
      <c r="C4547" s="59">
        <v>1999</v>
      </c>
      <c r="D4547" s="59" t="s">
        <v>803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ht="15.2" spans="1:10">
      <c r="A4548" s="58" t="s">
        <v>5178</v>
      </c>
      <c r="B4548" s="59">
        <v>290.78</v>
      </c>
      <c r="C4548" s="59">
        <v>449</v>
      </c>
      <c r="D4548" s="59" t="s">
        <v>803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581.56</v>
      </c>
      <c r="J4548" s="60">
        <f t="shared" si="216"/>
        <v>898</v>
      </c>
    </row>
    <row r="4549" ht="15.2" spans="1:10">
      <c r="A4549" s="58" t="s">
        <v>5179</v>
      </c>
      <c r="B4549" s="59">
        <v>484</v>
      </c>
      <c r="C4549" s="59">
        <v>1117</v>
      </c>
      <c r="D4549" s="59" t="s">
        <v>801</v>
      </c>
      <c r="E4549" s="59">
        <v>0.55</v>
      </c>
      <c r="F4549" s="59">
        <v>0.55</v>
      </c>
      <c r="G4549" s="59">
        <v>0</v>
      </c>
      <c r="H4549" s="60">
        <f t="shared" si="214"/>
        <v>0.55</v>
      </c>
      <c r="I4549" s="60">
        <f t="shared" si="215"/>
        <v>266.2</v>
      </c>
      <c r="J4549" s="60">
        <f t="shared" si="216"/>
        <v>614.35</v>
      </c>
    </row>
    <row r="4550" ht="15.2" spans="1:10">
      <c r="A4550" s="58" t="s">
        <v>5180</v>
      </c>
      <c r="B4550" s="59">
        <v>1904.87</v>
      </c>
      <c r="C4550" s="59">
        <v>2899</v>
      </c>
      <c r="D4550" s="59" t="s">
        <v>803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ht="15.2" spans="1:10">
      <c r="A4551" s="58" t="s">
        <v>5181</v>
      </c>
      <c r="B4551" s="59">
        <v>3535.13</v>
      </c>
      <c r="C4551" s="59">
        <v>5999</v>
      </c>
      <c r="D4551" s="59" t="s">
        <v>803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ht="15.2" spans="1:10">
      <c r="A4552" s="58" t="s">
        <v>5182</v>
      </c>
      <c r="B4552" s="59">
        <v>1517.25</v>
      </c>
      <c r="C4552" s="59">
        <v>2499</v>
      </c>
      <c r="D4552" s="59" t="s">
        <v>803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ht="15.2" spans="1:10">
      <c r="A4553" s="58" t="s">
        <v>5183</v>
      </c>
      <c r="B4553" s="59">
        <v>1182.09</v>
      </c>
      <c r="C4553" s="59">
        <v>1799</v>
      </c>
      <c r="D4553" s="59" t="s">
        <v>803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ht="15.2" spans="1:10">
      <c r="A4554" s="58" t="s">
        <v>5184</v>
      </c>
      <c r="B4554" s="59">
        <v>564</v>
      </c>
      <c r="C4554" s="59">
        <v>1337</v>
      </c>
      <c r="D4554" s="59" t="s">
        <v>801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ht="15.2" spans="1:10">
      <c r="A4555" s="58" t="s">
        <v>5185</v>
      </c>
      <c r="B4555" s="59">
        <v>449</v>
      </c>
      <c r="C4555" s="59">
        <v>943</v>
      </c>
      <c r="D4555" s="59" t="s">
        <v>801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ht="15.2" spans="1:10">
      <c r="A4556" s="58" t="s">
        <v>5186</v>
      </c>
      <c r="B4556" s="59">
        <v>897</v>
      </c>
      <c r="C4556" s="59">
        <v>1925</v>
      </c>
      <c r="D4556" s="59" t="s">
        <v>801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ht="15.2" spans="1:10">
      <c r="A4557" s="58" t="s">
        <v>5187</v>
      </c>
      <c r="B4557" s="59">
        <v>1395.82</v>
      </c>
      <c r="C4557" s="59">
        <v>2299</v>
      </c>
      <c r="D4557" s="59" t="s">
        <v>803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ht="15.2" spans="1:10">
      <c r="A4558" s="58" t="s">
        <v>5188</v>
      </c>
      <c r="B4558" s="59">
        <v>1456.54</v>
      </c>
      <c r="C4558" s="59">
        <v>2399</v>
      </c>
      <c r="D4558" s="59" t="s">
        <v>803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ht="15.2" spans="1:10">
      <c r="A4559" s="58" t="s">
        <v>5189</v>
      </c>
      <c r="B4559" s="59">
        <v>1773.46</v>
      </c>
      <c r="C4559" s="59">
        <v>2699</v>
      </c>
      <c r="D4559" s="59" t="s">
        <v>803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ht="15.2" spans="1:10">
      <c r="A4560" s="58" t="s">
        <v>5190</v>
      </c>
      <c r="B4560" s="59">
        <v>1313.5</v>
      </c>
      <c r="C4560" s="59">
        <v>1999</v>
      </c>
      <c r="D4560" s="59" t="s">
        <v>803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ht="15.2" spans="1:10">
      <c r="A4561" s="58" t="s">
        <v>5191</v>
      </c>
      <c r="B4561" s="59">
        <v>913.24</v>
      </c>
      <c r="C4561" s="59">
        <v>1399</v>
      </c>
      <c r="D4561" s="59" t="s">
        <v>803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ht="15.2" spans="1:10">
      <c r="A4562" s="58" t="s">
        <v>5192</v>
      </c>
      <c r="B4562" s="59">
        <v>1236.91</v>
      </c>
      <c r="C4562" s="59">
        <v>2099</v>
      </c>
      <c r="D4562" s="59" t="s">
        <v>803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ht="15.2" spans="1:10">
      <c r="A4563" s="58" t="s">
        <v>5193</v>
      </c>
      <c r="B4563" s="59">
        <v>616</v>
      </c>
      <c r="C4563" s="59">
        <v>1256</v>
      </c>
      <c r="D4563" s="59" t="s">
        <v>801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ht="15.2" spans="1:10">
      <c r="A4564" s="58" t="s">
        <v>5194</v>
      </c>
      <c r="B4564" s="59">
        <v>1354.77</v>
      </c>
      <c r="C4564" s="59">
        <v>2299</v>
      </c>
      <c r="D4564" s="59" t="s">
        <v>803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ht="15.2" spans="1:10">
      <c r="A4565" s="58" t="s">
        <v>5195</v>
      </c>
      <c r="B4565" s="59">
        <v>722.13</v>
      </c>
      <c r="C4565" s="59">
        <v>1099</v>
      </c>
      <c r="D4565" s="59" t="s">
        <v>803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ht="15.2" spans="1:10">
      <c r="A4566" s="58" t="s">
        <v>208</v>
      </c>
      <c r="B4566" s="59">
        <v>525</v>
      </c>
      <c r="C4566" s="59">
        <v>1172</v>
      </c>
      <c r="D4566" s="59" t="s">
        <v>801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6211.6</v>
      </c>
    </row>
    <row r="4567" ht="15.2" spans="1:10">
      <c r="A4567" s="58" t="s">
        <v>5196</v>
      </c>
      <c r="B4567" s="59">
        <v>1576.34</v>
      </c>
      <c r="C4567" s="59">
        <v>2399</v>
      </c>
      <c r="D4567" s="59" t="s">
        <v>803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ht="15.2" spans="1:10">
      <c r="A4568" s="58" t="s">
        <v>5197</v>
      </c>
      <c r="B4568" s="59">
        <v>399</v>
      </c>
      <c r="C4568" s="59">
        <v>838</v>
      </c>
      <c r="D4568" s="59" t="s">
        <v>801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279.3</v>
      </c>
      <c r="J4568" s="60">
        <f t="shared" si="216"/>
        <v>586.6</v>
      </c>
    </row>
    <row r="4569" ht="15.2" spans="1:10">
      <c r="A4569" s="58" t="s">
        <v>5198</v>
      </c>
      <c r="B4569" s="59">
        <v>8499.39</v>
      </c>
      <c r="C4569" s="59">
        <v>13999</v>
      </c>
      <c r="D4569" s="59" t="s">
        <v>803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ht="15.2" spans="1:10">
      <c r="A4570" s="58" t="s">
        <v>5199</v>
      </c>
      <c r="B4570" s="59">
        <v>1545.44</v>
      </c>
      <c r="C4570" s="59">
        <v>2399</v>
      </c>
      <c r="D4570" s="59" t="s">
        <v>803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ht="15.2" spans="1:10">
      <c r="A4571" s="58" t="s">
        <v>5200</v>
      </c>
      <c r="B4571" s="59">
        <v>409</v>
      </c>
      <c r="C4571" s="59">
        <v>1032</v>
      </c>
      <c r="D4571" s="59" t="s">
        <v>801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</v>
      </c>
      <c r="J4571" s="60">
        <f t="shared" si="216"/>
        <v>8152.8</v>
      </c>
    </row>
    <row r="4572" ht="15.2" spans="1:10">
      <c r="A4572" s="58" t="s">
        <v>5201</v>
      </c>
      <c r="B4572" s="59">
        <v>525</v>
      </c>
      <c r="C4572" s="59">
        <v>799</v>
      </c>
      <c r="D4572" s="59" t="s">
        <v>803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ht="15.2" spans="1:10">
      <c r="A4573" s="58" t="s">
        <v>5202</v>
      </c>
      <c r="B4573" s="59">
        <v>1213.68</v>
      </c>
      <c r="C4573" s="59">
        <v>1999</v>
      </c>
      <c r="D4573" s="59" t="s">
        <v>803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ht="15.2" spans="1:10">
      <c r="A4574" s="58" t="s">
        <v>5203</v>
      </c>
      <c r="B4574" s="59">
        <v>1236.91</v>
      </c>
      <c r="C4574" s="59">
        <v>2099</v>
      </c>
      <c r="D4574" s="59" t="s">
        <v>803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</v>
      </c>
      <c r="J4574" s="60">
        <f t="shared" si="216"/>
        <v>2099</v>
      </c>
    </row>
    <row r="4575" ht="15.2" spans="1:10">
      <c r="A4575" s="58" t="s">
        <v>5204</v>
      </c>
      <c r="B4575" s="59">
        <v>4856.54</v>
      </c>
      <c r="C4575" s="59">
        <v>7999</v>
      </c>
      <c r="D4575" s="59" t="s">
        <v>803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ht="15.2" spans="1:10">
      <c r="A4576" s="58" t="s">
        <v>5205</v>
      </c>
      <c r="B4576" s="59">
        <v>460</v>
      </c>
      <c r="C4576" s="59">
        <v>1091</v>
      </c>
      <c r="D4576" s="59" t="s">
        <v>801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ht="15.2" spans="1:10">
      <c r="A4577" s="58" t="s">
        <v>5206</v>
      </c>
      <c r="B4577" s="59">
        <v>1577.97</v>
      </c>
      <c r="C4577" s="59">
        <v>2599</v>
      </c>
      <c r="D4577" s="59" t="s">
        <v>803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ht="15.2" spans="1:10">
      <c r="A4578" s="58" t="s">
        <v>5207</v>
      </c>
      <c r="B4578" s="59">
        <v>550</v>
      </c>
      <c r="C4578" s="59">
        <v>1155</v>
      </c>
      <c r="D4578" s="59" t="s">
        <v>801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ht="15.2" spans="1:10">
      <c r="A4579" s="58" t="s">
        <v>5208</v>
      </c>
      <c r="B4579" s="59">
        <v>1767.27</v>
      </c>
      <c r="C4579" s="59">
        <v>2999</v>
      </c>
      <c r="D4579" s="59" t="s">
        <v>803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ht="15.2" spans="1:10">
      <c r="A4580" s="58" t="s">
        <v>5209</v>
      </c>
      <c r="B4580" s="59">
        <v>970.78</v>
      </c>
      <c r="C4580" s="59">
        <v>1499</v>
      </c>
      <c r="D4580" s="59" t="s">
        <v>803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ht="15.2" spans="1:10">
      <c r="A4581" s="58" t="s">
        <v>5210</v>
      </c>
      <c r="B4581" s="59">
        <v>1247.8</v>
      </c>
      <c r="C4581" s="59">
        <v>1899</v>
      </c>
      <c r="D4581" s="59" t="s">
        <v>803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ht="15.2" spans="1:10">
      <c r="A4582" s="58" t="s">
        <v>5211</v>
      </c>
      <c r="B4582" s="59">
        <v>1213.68</v>
      </c>
      <c r="C4582" s="59">
        <v>1999</v>
      </c>
      <c r="D4582" s="59" t="s">
        <v>803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ht="15.2" spans="1:10">
      <c r="A4583" s="58" t="s">
        <v>5212</v>
      </c>
      <c r="B4583" s="59">
        <v>425</v>
      </c>
      <c r="C4583" s="59">
        <v>951</v>
      </c>
      <c r="D4583" s="59" t="s">
        <v>801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903.45</v>
      </c>
    </row>
    <row r="4584" ht="15.2" spans="1:10">
      <c r="A4584" s="58" t="s">
        <v>5213</v>
      </c>
      <c r="B4584" s="59">
        <v>590.71</v>
      </c>
      <c r="C4584" s="59">
        <v>899</v>
      </c>
      <c r="D4584" s="59" t="s">
        <v>803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ht="15.2" spans="1:10">
      <c r="A4585" s="58" t="s">
        <v>5214</v>
      </c>
      <c r="B4585" s="59">
        <v>1182.09</v>
      </c>
      <c r="C4585" s="59">
        <v>1799</v>
      </c>
      <c r="D4585" s="59" t="s">
        <v>803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ht="15.2" spans="1:10">
      <c r="A4586" s="58" t="s">
        <v>5215</v>
      </c>
      <c r="B4586" s="59">
        <v>289</v>
      </c>
      <c r="C4586" s="59">
        <v>425</v>
      </c>
      <c r="D4586" s="59" t="s">
        <v>803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ht="15.2" spans="1:10">
      <c r="A4587" s="58" t="s">
        <v>5216</v>
      </c>
      <c r="B4587" s="59">
        <v>269</v>
      </c>
      <c r="C4587" s="59">
        <v>549</v>
      </c>
      <c r="D4587" s="59" t="s">
        <v>801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ht="15.2" spans="1:10">
      <c r="A4588" s="58" t="s">
        <v>5217</v>
      </c>
      <c r="B4588" s="59">
        <v>1510.63</v>
      </c>
      <c r="C4588" s="59">
        <v>2299</v>
      </c>
      <c r="D4588" s="59" t="s">
        <v>803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ht="15.2" spans="1:10">
      <c r="A4589" s="58" t="s">
        <v>5218</v>
      </c>
      <c r="B4589" s="59">
        <v>1247.8</v>
      </c>
      <c r="C4589" s="59">
        <v>1899</v>
      </c>
      <c r="D4589" s="59" t="s">
        <v>803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ht="15.2" spans="1:10">
      <c r="A4590" s="58" t="s">
        <v>5219</v>
      </c>
      <c r="B4590" s="59">
        <v>1416.6</v>
      </c>
      <c r="C4590" s="59">
        <v>2199</v>
      </c>
      <c r="D4590" s="59" t="s">
        <v>803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ht="15.2" spans="1:10">
      <c r="A4591" s="58" t="s">
        <v>5220</v>
      </c>
      <c r="B4591" s="59">
        <v>1649.41</v>
      </c>
      <c r="C4591" s="59">
        <v>2799</v>
      </c>
      <c r="D4591" s="59" t="s">
        <v>803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ht="15.2" spans="1:10">
      <c r="A4592" s="58" t="s">
        <v>5221</v>
      </c>
      <c r="B4592" s="59">
        <v>1649.41</v>
      </c>
      <c r="C4592" s="59">
        <v>2799</v>
      </c>
      <c r="D4592" s="59" t="s">
        <v>803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ht="15.2" spans="1:10">
      <c r="A4593" s="58" t="s">
        <v>5222</v>
      </c>
      <c r="B4593" s="59">
        <v>1295.84</v>
      </c>
      <c r="C4593" s="59">
        <v>2199</v>
      </c>
      <c r="D4593" s="59" t="s">
        <v>803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ht="15.2" spans="1:10">
      <c r="A4594" s="58" t="s">
        <v>5223</v>
      </c>
      <c r="B4594" s="59">
        <v>1609.86</v>
      </c>
      <c r="C4594" s="59">
        <v>2499</v>
      </c>
      <c r="D4594" s="59" t="s">
        <v>803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ht="15.2" spans="1:10">
      <c r="A4595" s="58" t="s">
        <v>5224</v>
      </c>
      <c r="B4595" s="59">
        <v>899</v>
      </c>
      <c r="C4595" s="59">
        <v>2535</v>
      </c>
      <c r="D4595" s="59" t="s">
        <v>801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ht="15.2" spans="1:10">
      <c r="A4596" s="58" t="s">
        <v>5225</v>
      </c>
      <c r="B4596" s="59">
        <v>284</v>
      </c>
      <c r="C4596" s="59">
        <v>612</v>
      </c>
      <c r="D4596" s="59" t="s">
        <v>801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520.2</v>
      </c>
    </row>
    <row r="4597" ht="15.2" spans="1:10">
      <c r="A4597" s="58" t="s">
        <v>5226</v>
      </c>
      <c r="B4597" s="59">
        <v>1236.91</v>
      </c>
      <c r="C4597" s="59">
        <v>2099</v>
      </c>
      <c r="D4597" s="59" t="s">
        <v>803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</v>
      </c>
      <c r="J4597" s="60">
        <f t="shared" si="216"/>
        <v>6297</v>
      </c>
    </row>
    <row r="4598" ht="15.2" spans="1:10">
      <c r="A4598" s="58" t="s">
        <v>5227</v>
      </c>
      <c r="B4598" s="59">
        <v>336</v>
      </c>
      <c r="C4598" s="59">
        <v>782</v>
      </c>
      <c r="D4598" s="59" t="s">
        <v>801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ht="15.2" spans="1:10">
      <c r="A4599" s="58" t="s">
        <v>5228</v>
      </c>
      <c r="B4599" s="59">
        <v>1313.5</v>
      </c>
      <c r="C4599" s="59">
        <v>1999</v>
      </c>
      <c r="D4599" s="59" t="s">
        <v>803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ht="15.2" spans="1:10">
      <c r="A4600" s="58" t="s">
        <v>5229</v>
      </c>
      <c r="B4600" s="59">
        <v>620</v>
      </c>
      <c r="C4600" s="59">
        <v>1589</v>
      </c>
      <c r="D4600" s="59" t="s">
        <v>801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ht="15.2" spans="1:10">
      <c r="A4601" s="58" t="s">
        <v>5230</v>
      </c>
      <c r="B4601" s="59">
        <v>399</v>
      </c>
      <c r="C4601" s="59">
        <v>892</v>
      </c>
      <c r="D4601" s="59" t="s">
        <v>801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</v>
      </c>
    </row>
    <row r="4602" ht="15.2" spans="1:10">
      <c r="A4602" s="58" t="s">
        <v>5231</v>
      </c>
      <c r="B4602" s="59">
        <v>1444.92</v>
      </c>
      <c r="C4602" s="59">
        <v>2199</v>
      </c>
      <c r="D4602" s="59" t="s">
        <v>803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ht="15.2" spans="1:10">
      <c r="A4603" s="58" t="s">
        <v>5232</v>
      </c>
      <c r="B4603" s="59">
        <v>229.32</v>
      </c>
      <c r="C4603" s="59">
        <v>349</v>
      </c>
      <c r="D4603" s="59" t="s">
        <v>803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ht="15.2" spans="1:10">
      <c r="A4604" s="58" t="s">
        <v>5233</v>
      </c>
      <c r="B4604" s="59">
        <v>384</v>
      </c>
      <c r="C4604" s="59">
        <v>966</v>
      </c>
      <c r="D4604" s="59" t="s">
        <v>801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</v>
      </c>
      <c r="J4604" s="60">
        <f t="shared" si="216"/>
        <v>1255.8</v>
      </c>
    </row>
    <row r="4605" ht="15.2" spans="1:10">
      <c r="A4605" s="58" t="s">
        <v>5234</v>
      </c>
      <c r="B4605" s="59">
        <v>436</v>
      </c>
      <c r="C4605" s="59">
        <v>1025</v>
      </c>
      <c r="D4605" s="59" t="s">
        <v>801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</v>
      </c>
      <c r="J4605" s="60">
        <f t="shared" si="216"/>
        <v>3177.5</v>
      </c>
    </row>
    <row r="4606" ht="15.2" spans="1:10">
      <c r="A4606" s="58" t="s">
        <v>5235</v>
      </c>
      <c r="B4606" s="59">
        <v>1177.98</v>
      </c>
      <c r="C4606" s="59">
        <v>1999</v>
      </c>
      <c r="D4606" s="59" t="s">
        <v>803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ht="15.2" spans="1:10">
      <c r="A4607" s="58" t="s">
        <v>5236</v>
      </c>
      <c r="B4607" s="59">
        <v>1274.39</v>
      </c>
      <c r="C4607" s="59">
        <v>2099</v>
      </c>
      <c r="D4607" s="59" t="s">
        <v>803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ht="15.2" spans="1:10">
      <c r="A4608" s="58" t="s">
        <v>5237</v>
      </c>
      <c r="B4608" s="59">
        <v>630</v>
      </c>
      <c r="C4608" s="59">
        <v>1525</v>
      </c>
      <c r="D4608" s="59" t="s">
        <v>801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ht="15.2" spans="1:10">
      <c r="A4609" s="58" t="s">
        <v>5238</v>
      </c>
      <c r="B4609" s="59">
        <v>2233.41</v>
      </c>
      <c r="C4609" s="59">
        <v>3399</v>
      </c>
      <c r="D4609" s="59" t="s">
        <v>803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ht="15.2" spans="1:10">
      <c r="A4610" s="58" t="s">
        <v>5239</v>
      </c>
      <c r="B4610" s="59">
        <v>1577.96</v>
      </c>
      <c r="C4610" s="59">
        <v>2599</v>
      </c>
      <c r="D4610" s="59" t="s">
        <v>803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ht="15.2" spans="1:10">
      <c r="A4611" s="58" t="s">
        <v>5240</v>
      </c>
      <c r="B4611" s="59">
        <v>1456.54</v>
      </c>
      <c r="C4611" s="59">
        <v>2399</v>
      </c>
      <c r="D4611" s="59" t="s">
        <v>803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ht="15.2" spans="1:10">
      <c r="A4612" s="58" t="s">
        <v>5241</v>
      </c>
      <c r="B4612" s="59">
        <v>4856.54</v>
      </c>
      <c r="C4612" s="59">
        <v>7999</v>
      </c>
      <c r="D4612" s="59" t="s">
        <v>803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ht="15.2" spans="1:10">
      <c r="A4613" s="58" t="s">
        <v>5242</v>
      </c>
      <c r="B4613" s="59">
        <v>1287.76</v>
      </c>
      <c r="C4613" s="59">
        <v>1999</v>
      </c>
      <c r="D4613" s="59" t="s">
        <v>803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ht="15.2" spans="1:10">
      <c r="A4614" s="58" t="s">
        <v>5243</v>
      </c>
      <c r="B4614" s="59">
        <v>1247.8</v>
      </c>
      <c r="C4614" s="59">
        <v>1899</v>
      </c>
      <c r="D4614" s="59" t="s">
        <v>803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ht="15.2" spans="1:10">
      <c r="A4615" s="58" t="s">
        <v>5244</v>
      </c>
      <c r="B4615" s="59">
        <v>499</v>
      </c>
      <c r="C4615" s="59">
        <v>1048</v>
      </c>
      <c r="D4615" s="59" t="s">
        <v>801</v>
      </c>
      <c r="E4615" s="59">
        <v>0.55</v>
      </c>
      <c r="F4615" s="59">
        <v>0.55</v>
      </c>
      <c r="G4615" s="59">
        <v>0</v>
      </c>
      <c r="H4615" s="60">
        <f t="shared" si="217"/>
        <v>0.55</v>
      </c>
      <c r="I4615" s="60">
        <f t="shared" si="218"/>
        <v>274.45</v>
      </c>
      <c r="J4615" s="60">
        <f t="shared" si="219"/>
        <v>576.4</v>
      </c>
    </row>
    <row r="4616" ht="15.2" spans="1:10">
      <c r="A4616" s="58" t="s">
        <v>5245</v>
      </c>
      <c r="B4616" s="59">
        <v>1638.68</v>
      </c>
      <c r="C4616" s="59">
        <v>2699</v>
      </c>
      <c r="D4616" s="59" t="s">
        <v>803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ht="15.2" spans="1:10">
      <c r="A4617" s="58" t="s">
        <v>5246</v>
      </c>
      <c r="B4617" s="59">
        <v>646</v>
      </c>
      <c r="C4617" s="59">
        <v>1439</v>
      </c>
      <c r="D4617" s="59" t="s">
        <v>801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ht="15.2" spans="1:10">
      <c r="A4618" s="58" t="s">
        <v>5247</v>
      </c>
      <c r="B4618" s="59">
        <v>575.5</v>
      </c>
      <c r="C4618" s="59">
        <v>1675</v>
      </c>
      <c r="D4618" s="59" t="s">
        <v>801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ht="15.2" spans="1:10">
      <c r="A4619" s="58" t="s">
        <v>5248</v>
      </c>
      <c r="B4619" s="59">
        <v>3035.11</v>
      </c>
      <c r="C4619" s="59">
        <v>4999</v>
      </c>
      <c r="D4619" s="59" t="s">
        <v>803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ht="15.2" spans="1:10">
      <c r="A4620" s="58" t="s">
        <v>5249</v>
      </c>
      <c r="B4620" s="59">
        <v>1229</v>
      </c>
      <c r="C4620" s="59">
        <v>2869</v>
      </c>
      <c r="D4620" s="59" t="s">
        <v>801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1721.4</v>
      </c>
    </row>
    <row r="4621" ht="15.2" spans="1:10">
      <c r="A4621" s="58" t="s">
        <v>5250</v>
      </c>
      <c r="B4621" s="59">
        <v>1313.5</v>
      </c>
      <c r="C4621" s="59">
        <v>1999</v>
      </c>
      <c r="D4621" s="59" t="s">
        <v>803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ht="15.2" spans="1:10">
      <c r="A4622" s="58" t="s">
        <v>5251</v>
      </c>
      <c r="B4622" s="59">
        <v>1609.86</v>
      </c>
      <c r="C4622" s="59">
        <v>2499</v>
      </c>
      <c r="D4622" s="59" t="s">
        <v>803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ht="15.2" spans="1:10">
      <c r="A4623" s="58" t="s">
        <v>5252</v>
      </c>
      <c r="B4623" s="59">
        <v>2731.54</v>
      </c>
      <c r="C4623" s="59">
        <v>4499</v>
      </c>
      <c r="D4623" s="59" t="s">
        <v>803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ht="15.2" spans="1:10">
      <c r="A4624" s="58" t="s">
        <v>5253</v>
      </c>
      <c r="B4624" s="59">
        <v>1335.11</v>
      </c>
      <c r="C4624" s="59">
        <v>2199</v>
      </c>
      <c r="D4624" s="59" t="s">
        <v>803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ht="15.2" spans="1:10">
      <c r="A4625" s="58" t="s">
        <v>5254</v>
      </c>
      <c r="B4625" s="59">
        <v>1274.39</v>
      </c>
      <c r="C4625" s="59">
        <v>2099</v>
      </c>
      <c r="D4625" s="59" t="s">
        <v>803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ht="15.2" spans="1:10">
      <c r="A4626" s="58" t="s">
        <v>5255</v>
      </c>
      <c r="B4626" s="59">
        <v>359.1</v>
      </c>
      <c r="C4626" s="59">
        <v>810</v>
      </c>
      <c r="D4626" s="59" t="s">
        <v>801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ht="15.2" spans="1:10">
      <c r="A4627" s="58" t="s">
        <v>5256</v>
      </c>
      <c r="B4627" s="59">
        <v>977</v>
      </c>
      <c r="C4627" s="59">
        <v>2490</v>
      </c>
      <c r="D4627" s="59" t="s">
        <v>801</v>
      </c>
      <c r="E4627" s="59">
        <v>2.2</v>
      </c>
      <c r="F4627" s="59">
        <v>2.2</v>
      </c>
      <c r="G4627" s="59">
        <v>0</v>
      </c>
      <c r="H4627" s="60">
        <f t="shared" si="217"/>
        <v>2.2</v>
      </c>
      <c r="I4627" s="60">
        <f t="shared" si="218"/>
        <v>2149.4</v>
      </c>
      <c r="J4627" s="60">
        <f t="shared" si="219"/>
        <v>5478</v>
      </c>
    </row>
    <row r="4628" ht="15.2" spans="1:10">
      <c r="A4628" s="58" t="s">
        <v>5257</v>
      </c>
      <c r="B4628" s="59">
        <v>1707.76</v>
      </c>
      <c r="C4628" s="59">
        <v>2599</v>
      </c>
      <c r="D4628" s="59" t="s">
        <v>803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ht="15.2" spans="1:10">
      <c r="A4629" s="58" t="s">
        <v>5258</v>
      </c>
      <c r="B4629" s="59">
        <v>1210</v>
      </c>
      <c r="C4629" s="59">
        <v>3029</v>
      </c>
      <c r="D4629" s="59" t="s">
        <v>801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ht="15.2" spans="1:10">
      <c r="A4630" s="58" t="s">
        <v>5259</v>
      </c>
      <c r="B4630" s="59">
        <v>641.8</v>
      </c>
      <c r="C4630" s="59">
        <v>2131</v>
      </c>
      <c r="D4630" s="59" t="s">
        <v>801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641.8</v>
      </c>
      <c r="J4630" s="60">
        <f t="shared" si="219"/>
        <v>2131</v>
      </c>
    </row>
    <row r="4631" ht="15.2" spans="1:10">
      <c r="A4631" s="58" t="s">
        <v>5260</v>
      </c>
      <c r="B4631" s="59">
        <v>229.32</v>
      </c>
      <c r="C4631" s="59">
        <v>349</v>
      </c>
      <c r="D4631" s="59" t="s">
        <v>803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ht="15.2" spans="1:10">
      <c r="A4632" s="58" t="s">
        <v>5261</v>
      </c>
      <c r="B4632" s="59">
        <v>1820.82</v>
      </c>
      <c r="C4632" s="59">
        <v>2999</v>
      </c>
      <c r="D4632" s="59" t="s">
        <v>803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ht="15.2" spans="1:10">
      <c r="A4633" s="58" t="s">
        <v>5262</v>
      </c>
      <c r="B4633" s="59">
        <v>487</v>
      </c>
      <c r="C4633" s="59">
        <v>1223</v>
      </c>
      <c r="D4633" s="59" t="s">
        <v>801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</v>
      </c>
    </row>
    <row r="4634" ht="15.2" spans="1:10">
      <c r="A4634" s="58" t="s">
        <v>5263</v>
      </c>
      <c r="B4634" s="59">
        <v>1942.25</v>
      </c>
      <c r="C4634" s="59">
        <v>3199</v>
      </c>
      <c r="D4634" s="59" t="s">
        <v>803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ht="15.2" spans="1:10">
      <c r="A4635" s="58" t="s">
        <v>5264</v>
      </c>
      <c r="B4635" s="59">
        <v>1379.21</v>
      </c>
      <c r="C4635" s="59">
        <v>2099</v>
      </c>
      <c r="D4635" s="59" t="s">
        <v>803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ht="15.2" spans="1:10">
      <c r="A4636" s="58" t="s">
        <v>5265</v>
      </c>
      <c r="B4636" s="59">
        <v>550</v>
      </c>
      <c r="C4636" s="59">
        <v>1231</v>
      </c>
      <c r="D4636" s="59" t="s">
        <v>801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</v>
      </c>
    </row>
    <row r="4637" ht="15.2" spans="1:10">
      <c r="A4637" s="58" t="s">
        <v>5266</v>
      </c>
      <c r="B4637" s="59">
        <v>254</v>
      </c>
      <c r="C4637" s="59">
        <v>568</v>
      </c>
      <c r="D4637" s="59" t="s">
        <v>801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</v>
      </c>
      <c r="J4637" s="60">
        <f t="shared" si="219"/>
        <v>56.8</v>
      </c>
    </row>
    <row r="4638" ht="15.2" spans="1:10">
      <c r="A4638" s="58" t="s">
        <v>65</v>
      </c>
      <c r="B4638" s="59">
        <v>525</v>
      </c>
      <c r="C4638" s="59">
        <v>1172</v>
      </c>
      <c r="D4638" s="59" t="s">
        <v>801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ht="15.2" spans="1:10">
      <c r="A4639" s="58" t="s">
        <v>5267</v>
      </c>
      <c r="B4639" s="59">
        <v>1158.92</v>
      </c>
      <c r="C4639" s="59">
        <v>1799</v>
      </c>
      <c r="D4639" s="59" t="s">
        <v>803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ht="15.2" spans="1:10">
      <c r="A4640" s="58" t="s">
        <v>696</v>
      </c>
      <c r="B4640" s="59">
        <v>523</v>
      </c>
      <c r="C4640" s="59">
        <v>1231</v>
      </c>
      <c r="D4640" s="59" t="s">
        <v>801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ht="15.2" spans="1:10">
      <c r="A4641" s="58" t="s">
        <v>5268</v>
      </c>
      <c r="B4641" s="59">
        <v>1881.54</v>
      </c>
      <c r="C4641" s="59">
        <v>3099</v>
      </c>
      <c r="D4641" s="59" t="s">
        <v>803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ht="15.2" spans="1:10">
      <c r="A4642" s="58" t="s">
        <v>5269</v>
      </c>
      <c r="B4642" s="59">
        <v>1699.39</v>
      </c>
      <c r="C4642" s="59">
        <v>2799</v>
      </c>
      <c r="D4642" s="59" t="s">
        <v>803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ht="15.2" spans="1:10">
      <c r="A4643" s="58" t="s">
        <v>5270</v>
      </c>
      <c r="B4643" s="59">
        <v>1481.02</v>
      </c>
      <c r="C4643" s="59">
        <v>2299</v>
      </c>
      <c r="D4643" s="59" t="s">
        <v>803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ht="15.2" spans="1:10">
      <c r="A4644" s="58" t="s">
        <v>5271</v>
      </c>
      <c r="B4644" s="59">
        <v>1313.5</v>
      </c>
      <c r="C4644" s="59">
        <v>1999</v>
      </c>
      <c r="D4644" s="59" t="s">
        <v>803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ht="15.2" spans="1:10">
      <c r="A4645" s="58" t="s">
        <v>5272</v>
      </c>
      <c r="B4645" s="59">
        <v>1182.09</v>
      </c>
      <c r="C4645" s="59">
        <v>1799</v>
      </c>
      <c r="D4645" s="59" t="s">
        <v>803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1182.09</v>
      </c>
      <c r="J4645" s="60">
        <f t="shared" si="219"/>
        <v>1799</v>
      </c>
    </row>
    <row r="4646" ht="15.2" spans="1:10">
      <c r="A4646" s="58" t="s">
        <v>5273</v>
      </c>
      <c r="B4646" s="59">
        <v>564</v>
      </c>
      <c r="C4646" s="59">
        <v>1431</v>
      </c>
      <c r="D4646" s="59" t="s">
        <v>801</v>
      </c>
      <c r="E4646" s="59">
        <v>9.2</v>
      </c>
      <c r="F4646" s="59">
        <v>9.2</v>
      </c>
      <c r="G4646" s="59">
        <v>0</v>
      </c>
      <c r="H4646" s="60">
        <f t="shared" si="220"/>
        <v>9.2</v>
      </c>
      <c r="I4646" s="60">
        <f t="shared" si="218"/>
        <v>5188.8</v>
      </c>
      <c r="J4646" s="60">
        <f t="shared" si="219"/>
        <v>13165.2</v>
      </c>
    </row>
    <row r="4647" ht="15.2" spans="1:10">
      <c r="A4647" s="58" t="s">
        <v>5274</v>
      </c>
      <c r="B4647" s="59">
        <v>1970.58</v>
      </c>
      <c r="C4647" s="59">
        <v>2999</v>
      </c>
      <c r="D4647" s="59" t="s">
        <v>803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ht="15.2" spans="1:10">
      <c r="A4648" s="58" t="s">
        <v>5275</v>
      </c>
      <c r="B4648" s="59">
        <v>769</v>
      </c>
      <c r="C4648" s="59">
        <v>1800</v>
      </c>
      <c r="D4648" s="59" t="s">
        <v>801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ht="15.2" spans="1:10">
      <c r="A4649" s="58" t="s">
        <v>5276</v>
      </c>
      <c r="B4649" s="59">
        <v>776.5</v>
      </c>
      <c r="C4649" s="59">
        <v>1199</v>
      </c>
      <c r="D4649" s="59" t="s">
        <v>803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ht="15.2" spans="1:10">
      <c r="A4650" s="58" t="s">
        <v>5277</v>
      </c>
      <c r="B4650" s="59">
        <v>1395.82</v>
      </c>
      <c r="C4650" s="59">
        <v>2299</v>
      </c>
      <c r="D4650" s="59" t="s">
        <v>803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ht="15.2" spans="1:10">
      <c r="A4651" s="58" t="s">
        <v>5278</v>
      </c>
      <c r="B4651" s="59">
        <v>1839.16</v>
      </c>
      <c r="C4651" s="59">
        <v>2799</v>
      </c>
      <c r="D4651" s="59" t="s">
        <v>803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ht="15.2" spans="1:10">
      <c r="A4652" s="58" t="s">
        <v>5279</v>
      </c>
      <c r="B4652" s="59">
        <v>1481.02</v>
      </c>
      <c r="C4652" s="59">
        <v>2299</v>
      </c>
      <c r="D4652" s="59" t="s">
        <v>803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ht="15.2" spans="1:10">
      <c r="A4653" s="58" t="s">
        <v>5280</v>
      </c>
      <c r="B4653" s="59">
        <v>487</v>
      </c>
      <c r="C4653" s="59">
        <v>1141</v>
      </c>
      <c r="D4653" s="59" t="s">
        <v>801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ht="15.2" spans="1:10">
      <c r="A4654" s="58" t="s">
        <v>5281</v>
      </c>
      <c r="B4654" s="59">
        <v>629</v>
      </c>
      <c r="C4654" s="59">
        <v>1407</v>
      </c>
      <c r="D4654" s="59" t="s">
        <v>801</v>
      </c>
      <c r="E4654" s="59">
        <v>8.2</v>
      </c>
      <c r="F4654" s="59">
        <v>8.2</v>
      </c>
      <c r="G4654" s="59">
        <v>0</v>
      </c>
      <c r="H4654" s="60">
        <f t="shared" si="220"/>
        <v>8.2</v>
      </c>
      <c r="I4654" s="60">
        <f t="shared" si="218"/>
        <v>5157.8</v>
      </c>
      <c r="J4654" s="60">
        <f t="shared" si="219"/>
        <v>11537.4</v>
      </c>
    </row>
    <row r="4655" ht="15.2" spans="1:10">
      <c r="A4655" s="58" t="s">
        <v>5282</v>
      </c>
      <c r="B4655" s="59">
        <v>901.24</v>
      </c>
      <c r="C4655" s="59">
        <v>1399</v>
      </c>
      <c r="D4655" s="59" t="s">
        <v>803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ht="15.2" spans="1:10">
      <c r="A4656" s="58" t="s">
        <v>5283</v>
      </c>
      <c r="B4656" s="59">
        <v>1517.25</v>
      </c>
      <c r="C4656" s="59">
        <v>2499</v>
      </c>
      <c r="D4656" s="59" t="s">
        <v>803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ht="15.2" spans="1:10">
      <c r="A4657" s="58" t="s">
        <v>5284</v>
      </c>
      <c r="B4657" s="59">
        <v>436</v>
      </c>
      <c r="C4657" s="59">
        <v>1037</v>
      </c>
      <c r="D4657" s="59" t="s">
        <v>801</v>
      </c>
      <c r="E4657" s="59">
        <v>4.9</v>
      </c>
      <c r="F4657" s="59">
        <v>4.9</v>
      </c>
      <c r="G4657" s="59">
        <v>0</v>
      </c>
      <c r="H4657" s="60">
        <f t="shared" si="220"/>
        <v>4.9</v>
      </c>
      <c r="I4657" s="60">
        <f t="shared" si="218"/>
        <v>2136.4</v>
      </c>
      <c r="J4657" s="60">
        <f t="shared" si="219"/>
        <v>5081.3</v>
      </c>
    </row>
    <row r="4658" ht="15.2" spans="1:10">
      <c r="A4658" s="58" t="s">
        <v>5285</v>
      </c>
      <c r="B4658" s="59">
        <v>2356.55</v>
      </c>
      <c r="C4658" s="59">
        <v>3999</v>
      </c>
      <c r="D4658" s="59" t="s">
        <v>803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</v>
      </c>
      <c r="J4658" s="60">
        <f t="shared" si="219"/>
        <v>7998</v>
      </c>
    </row>
    <row r="4659" ht="15.2" spans="1:10">
      <c r="A4659" s="58" t="s">
        <v>5286</v>
      </c>
      <c r="B4659" s="59">
        <v>564</v>
      </c>
      <c r="C4659" s="59">
        <v>1421</v>
      </c>
      <c r="D4659" s="59" t="s">
        <v>801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</v>
      </c>
    </row>
    <row r="4660" ht="15.2" spans="1:10">
      <c r="A4660" s="58" t="s">
        <v>5287</v>
      </c>
      <c r="B4660" s="59">
        <v>1366.28</v>
      </c>
      <c r="C4660" s="59">
        <v>2199</v>
      </c>
      <c r="D4660" s="59" t="s">
        <v>803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ht="15.2" spans="1:10">
      <c r="A4661" s="58" t="s">
        <v>5288</v>
      </c>
      <c r="B4661" s="59">
        <v>661</v>
      </c>
      <c r="C4661" s="59">
        <v>1471</v>
      </c>
      <c r="D4661" s="59" t="s">
        <v>801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</v>
      </c>
      <c r="J4661" s="60">
        <f t="shared" si="219"/>
        <v>1912.3</v>
      </c>
    </row>
    <row r="4662" ht="15.2" spans="1:10">
      <c r="A4662" s="58" t="s">
        <v>5289</v>
      </c>
      <c r="B4662" s="59">
        <v>303</v>
      </c>
      <c r="C4662" s="59">
        <v>690</v>
      </c>
      <c r="D4662" s="59" t="s">
        <v>801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ht="15.2" spans="1:10">
      <c r="A4663" s="58" t="s">
        <v>5290</v>
      </c>
      <c r="B4663" s="59">
        <v>1517.25</v>
      </c>
      <c r="C4663" s="59">
        <v>2499</v>
      </c>
      <c r="D4663" s="59" t="s">
        <v>803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ht="15.2" spans="1:10">
      <c r="A4664" s="58" t="s">
        <v>5291</v>
      </c>
      <c r="B4664" s="59">
        <v>371.6</v>
      </c>
      <c r="C4664" s="59">
        <v>1154</v>
      </c>
      <c r="D4664" s="59" t="s">
        <v>801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</v>
      </c>
      <c r="J4664" s="60">
        <f t="shared" si="219"/>
        <v>115.4</v>
      </c>
    </row>
    <row r="4665" ht="15.2" spans="1:10">
      <c r="A4665" s="58" t="s">
        <v>5292</v>
      </c>
      <c r="B4665" s="59">
        <v>0</v>
      </c>
      <c r="C4665" s="59">
        <v>0</v>
      </c>
      <c r="D4665" s="59" t="s">
        <v>991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ht="15.2" spans="1:10">
      <c r="A4666" s="58" t="s">
        <v>5293</v>
      </c>
      <c r="B4666" s="59">
        <v>249</v>
      </c>
      <c r="C4666" s="59">
        <v>523</v>
      </c>
      <c r="D4666" s="59" t="s">
        <v>801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ht="15.2" spans="1:10">
      <c r="A4667" s="58" t="s">
        <v>5294</v>
      </c>
      <c r="B4667" s="59">
        <v>539.1</v>
      </c>
      <c r="C4667" s="59">
        <v>1338</v>
      </c>
      <c r="D4667" s="59" t="s">
        <v>801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ht="15.2" spans="1:10">
      <c r="A4668" s="58" t="s">
        <v>5295</v>
      </c>
      <c r="B4668" s="59">
        <v>1481.02</v>
      </c>
      <c r="C4668" s="59">
        <v>2299</v>
      </c>
      <c r="D4668" s="59" t="s">
        <v>803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ht="15.2" spans="1:10">
      <c r="A4669" s="58" t="s">
        <v>5296</v>
      </c>
      <c r="B4669" s="59">
        <v>1158.92</v>
      </c>
      <c r="C4669" s="59">
        <v>1799</v>
      </c>
      <c r="D4669" s="59" t="s">
        <v>803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ht="15.2" spans="1:10">
      <c r="A4670" s="58" t="s">
        <v>55</v>
      </c>
      <c r="B4670" s="59">
        <v>456</v>
      </c>
      <c r="C4670" s="59">
        <v>1016</v>
      </c>
      <c r="D4670" s="59" t="s">
        <v>801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</v>
      </c>
      <c r="J4670" s="60">
        <f t="shared" si="219"/>
        <v>10566.4</v>
      </c>
    </row>
    <row r="4671" ht="15.2" spans="1:10">
      <c r="A4671" s="58" t="s">
        <v>5297</v>
      </c>
      <c r="B4671" s="59">
        <v>564</v>
      </c>
      <c r="C4671" s="59">
        <v>1431</v>
      </c>
      <c r="D4671" s="59" t="s">
        <v>801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</v>
      </c>
      <c r="J4671" s="60">
        <f t="shared" si="219"/>
        <v>15454.8</v>
      </c>
    </row>
    <row r="4672" ht="15.2" spans="1:10">
      <c r="A4672" s="58" t="s">
        <v>5298</v>
      </c>
      <c r="B4672" s="59">
        <v>910.32</v>
      </c>
      <c r="C4672" s="59">
        <v>1399</v>
      </c>
      <c r="D4672" s="59" t="s">
        <v>803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ht="15.2" spans="1:10">
      <c r="A4673" s="58" t="s">
        <v>5299</v>
      </c>
      <c r="B4673" s="59">
        <v>386</v>
      </c>
      <c r="C4673" s="59">
        <v>871</v>
      </c>
      <c r="D4673" s="59" t="s">
        <v>801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ht="15.2" spans="1:10">
      <c r="A4674" s="58" t="s">
        <v>5300</v>
      </c>
      <c r="B4674" s="59">
        <v>1354.77</v>
      </c>
      <c r="C4674" s="59">
        <v>2299</v>
      </c>
      <c r="D4674" s="59" t="s">
        <v>803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ht="15.2" spans="1:10">
      <c r="A4675" s="58" t="s">
        <v>5301</v>
      </c>
      <c r="B4675" s="59">
        <v>906.94</v>
      </c>
      <c r="C4675" s="59">
        <v>1399</v>
      </c>
      <c r="D4675" s="59" t="s">
        <v>803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ht="15.2" spans="1:10">
      <c r="A4676" s="58" t="s">
        <v>5302</v>
      </c>
      <c r="B4676" s="59">
        <v>1177.98</v>
      </c>
      <c r="C4676" s="59">
        <v>1999</v>
      </c>
      <c r="D4676" s="59" t="s">
        <v>803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ht="15.2" spans="1:10">
      <c r="A4677" s="58" t="s">
        <v>5303</v>
      </c>
      <c r="B4677" s="59">
        <v>306.3</v>
      </c>
      <c r="C4677" s="59">
        <v>927</v>
      </c>
      <c r="D4677" s="59" t="s">
        <v>801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ht="15.2" spans="1:10">
      <c r="A4678" s="58" t="s">
        <v>5304</v>
      </c>
      <c r="B4678" s="59">
        <v>1379.21</v>
      </c>
      <c r="C4678" s="59">
        <v>2099</v>
      </c>
      <c r="D4678" s="59" t="s">
        <v>803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ht="15.2" spans="1:10">
      <c r="A4679" s="58" t="s">
        <v>5305</v>
      </c>
      <c r="B4679" s="59">
        <v>343</v>
      </c>
      <c r="C4679" s="59">
        <v>799</v>
      </c>
      <c r="D4679" s="59" t="s">
        <v>801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ht="15.2" spans="1:10">
      <c r="A4680" s="58" t="s">
        <v>5306</v>
      </c>
      <c r="B4680" s="59">
        <v>289</v>
      </c>
      <c r="C4680" s="59">
        <v>425</v>
      </c>
      <c r="D4680" s="59" t="s">
        <v>803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ht="15.2" spans="1:10">
      <c r="A4681" s="58" t="s">
        <v>5307</v>
      </c>
      <c r="B4681" s="59">
        <v>525</v>
      </c>
      <c r="C4681" s="59">
        <v>799</v>
      </c>
      <c r="D4681" s="59" t="s">
        <v>803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ht="15.2" spans="1:10">
      <c r="A4682" s="58" t="s">
        <v>5308</v>
      </c>
      <c r="B4682" s="59">
        <v>425</v>
      </c>
      <c r="C4682" s="59">
        <v>892</v>
      </c>
      <c r="D4682" s="59" t="s">
        <v>801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267.6</v>
      </c>
    </row>
    <row r="4683" ht="15.2" spans="1:10">
      <c r="A4683" s="58" t="s">
        <v>5309</v>
      </c>
      <c r="B4683" s="59">
        <v>1760.11</v>
      </c>
      <c r="C4683" s="59">
        <v>2899</v>
      </c>
      <c r="D4683" s="59" t="s">
        <v>803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ht="15.2" spans="1:10">
      <c r="A4684" s="58" t="s">
        <v>5310</v>
      </c>
      <c r="B4684" s="59">
        <v>196</v>
      </c>
      <c r="C4684" s="59">
        <v>443</v>
      </c>
      <c r="D4684" s="59" t="s">
        <v>801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ht="15.2" spans="1:10">
      <c r="A4685" s="58" t="s">
        <v>5311</v>
      </c>
      <c r="B4685" s="59">
        <v>1456.54</v>
      </c>
      <c r="C4685" s="59">
        <v>2399</v>
      </c>
      <c r="D4685" s="59" t="s">
        <v>803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ht="15.2" spans="1:10">
      <c r="A4686" s="58" t="s">
        <v>5312</v>
      </c>
      <c r="B4686" s="59">
        <v>399</v>
      </c>
      <c r="C4686" s="59">
        <v>892</v>
      </c>
      <c r="D4686" s="59" t="s">
        <v>801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ht="15.2" spans="1:10">
      <c r="A4687" s="58" t="s">
        <v>5313</v>
      </c>
      <c r="B4687" s="59">
        <v>1881.54</v>
      </c>
      <c r="C4687" s="59">
        <v>3099</v>
      </c>
      <c r="D4687" s="59" t="s">
        <v>803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ht="15.2" spans="1:10">
      <c r="A4688" s="58" t="s">
        <v>5314</v>
      </c>
      <c r="B4688" s="59">
        <v>284</v>
      </c>
      <c r="C4688" s="59">
        <v>645</v>
      </c>
      <c r="D4688" s="59" t="s">
        <v>801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</v>
      </c>
      <c r="J4688" s="60">
        <f t="shared" si="222"/>
        <v>516</v>
      </c>
    </row>
    <row r="4689" ht="15.2" spans="1:10">
      <c r="A4689" s="58" t="s">
        <v>394</v>
      </c>
      <c r="B4689" s="59">
        <v>570.86</v>
      </c>
      <c r="C4689" s="59">
        <v>2840</v>
      </c>
      <c r="D4689" s="59" t="s">
        <v>801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ht="15.2" spans="1:10">
      <c r="A4690" s="58" t="s">
        <v>5315</v>
      </c>
      <c r="B4690" s="59">
        <v>452.69</v>
      </c>
      <c r="C4690" s="59">
        <v>699</v>
      </c>
      <c r="D4690" s="59" t="s">
        <v>803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ht="15.2" spans="1:10">
      <c r="A4691" s="58" t="s">
        <v>5316</v>
      </c>
      <c r="B4691" s="59">
        <v>480.9</v>
      </c>
      <c r="C4691" s="59">
        <v>1271</v>
      </c>
      <c r="D4691" s="59" t="s">
        <v>801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</v>
      </c>
    </row>
    <row r="4692" ht="15.2" spans="1:10">
      <c r="A4692" s="58" t="s">
        <v>5317</v>
      </c>
      <c r="B4692" s="59">
        <v>0</v>
      </c>
      <c r="C4692" s="59">
        <v>0</v>
      </c>
      <c r="D4692" s="59" t="s">
        <v>815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ht="15.2" spans="1:10">
      <c r="A4693" s="58" t="s">
        <v>5318</v>
      </c>
      <c r="B4693" s="59">
        <v>533</v>
      </c>
      <c r="C4693" s="59">
        <v>1361</v>
      </c>
      <c r="D4693" s="59" t="s">
        <v>801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ht="15.2" spans="1:10">
      <c r="A4694" s="58" t="s">
        <v>5319</v>
      </c>
      <c r="B4694" s="59">
        <v>303</v>
      </c>
      <c r="C4694" s="59">
        <v>690</v>
      </c>
      <c r="D4694" s="59" t="s">
        <v>801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ht="15.2" spans="1:10">
      <c r="A4695" s="58" t="s">
        <v>5320</v>
      </c>
      <c r="B4695" s="59">
        <v>1274.4</v>
      </c>
      <c r="C4695" s="59">
        <v>2099</v>
      </c>
      <c r="D4695" s="59" t="s">
        <v>803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</v>
      </c>
      <c r="J4695" s="60">
        <f t="shared" si="222"/>
        <v>4198</v>
      </c>
    </row>
    <row r="4696" ht="15.2" spans="1:10">
      <c r="A4696" s="58" t="s">
        <v>5321</v>
      </c>
      <c r="B4696" s="59">
        <v>449</v>
      </c>
      <c r="C4696" s="59">
        <v>999</v>
      </c>
      <c r="D4696" s="59" t="s">
        <v>801</v>
      </c>
      <c r="E4696" s="59">
        <v>4.9</v>
      </c>
      <c r="F4696" s="59">
        <v>4.9</v>
      </c>
      <c r="G4696" s="59">
        <v>0</v>
      </c>
      <c r="H4696" s="60">
        <f t="shared" si="220"/>
        <v>4.9</v>
      </c>
      <c r="I4696" s="60">
        <f t="shared" si="221"/>
        <v>2200.1</v>
      </c>
      <c r="J4696" s="60">
        <f t="shared" si="222"/>
        <v>4895.1</v>
      </c>
    </row>
    <row r="4697" ht="15.2" spans="1:10">
      <c r="A4697" s="58" t="s">
        <v>49</v>
      </c>
      <c r="B4697" s="59">
        <v>273</v>
      </c>
      <c r="C4697" s="59">
        <v>620</v>
      </c>
      <c r="D4697" s="59" t="s">
        <v>801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ht="15.2" spans="1:10">
      <c r="A4698" s="58" t="s">
        <v>5322</v>
      </c>
      <c r="B4698" s="59">
        <v>325</v>
      </c>
      <c r="C4698" s="59">
        <v>683</v>
      </c>
      <c r="D4698" s="59" t="s">
        <v>801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ht="15.2" spans="1:10">
      <c r="A4699" s="58" t="s">
        <v>5323</v>
      </c>
      <c r="B4699" s="59">
        <v>2061.91</v>
      </c>
      <c r="C4699" s="59">
        <v>3499</v>
      </c>
      <c r="D4699" s="59" t="s">
        <v>803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ht="15.2" spans="1:10">
      <c r="A4700" s="58" t="s">
        <v>5324</v>
      </c>
      <c r="B4700" s="59">
        <v>1549</v>
      </c>
      <c r="C4700" s="59">
        <v>3253</v>
      </c>
      <c r="D4700" s="59" t="s">
        <v>801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ht="15.2" spans="1:10">
      <c r="A4701" s="58" t="s">
        <v>5325</v>
      </c>
      <c r="B4701" s="59">
        <v>1213.68</v>
      </c>
      <c r="C4701" s="59">
        <v>1999</v>
      </c>
      <c r="D4701" s="59" t="s">
        <v>803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ht="15.2" spans="1:10">
      <c r="A4702" s="58" t="s">
        <v>5326</v>
      </c>
      <c r="B4702" s="59">
        <v>646.97</v>
      </c>
      <c r="C4702" s="59">
        <v>999</v>
      </c>
      <c r="D4702" s="59" t="s">
        <v>803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ht="15.2" spans="1:10">
      <c r="A4703" s="58" t="s">
        <v>5327</v>
      </c>
      <c r="B4703" s="59">
        <v>1395.82</v>
      </c>
      <c r="C4703" s="59">
        <v>2299</v>
      </c>
      <c r="D4703" s="59" t="s">
        <v>803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ht="15.2" spans="1:10">
      <c r="A4704" s="58" t="s">
        <v>5328</v>
      </c>
      <c r="B4704" s="59">
        <v>3338.68</v>
      </c>
      <c r="C4704" s="59">
        <v>5499</v>
      </c>
      <c r="D4704" s="59" t="s">
        <v>803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ht="15.2" spans="1:10">
      <c r="A4705" s="58" t="s">
        <v>5329</v>
      </c>
      <c r="B4705" s="59">
        <v>1395.82</v>
      </c>
      <c r="C4705" s="59">
        <v>2299</v>
      </c>
      <c r="D4705" s="59" t="s">
        <v>803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ht="15.2" spans="1:10">
      <c r="A4706" s="58" t="s">
        <v>5330</v>
      </c>
      <c r="B4706" s="59">
        <v>1247.8</v>
      </c>
      <c r="C4706" s="59">
        <v>1899</v>
      </c>
      <c r="D4706" s="59" t="s">
        <v>803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ht="15.2" spans="1:10">
      <c r="A4707" s="58" t="s">
        <v>5331</v>
      </c>
      <c r="B4707" s="59">
        <v>354</v>
      </c>
      <c r="C4707" s="59">
        <v>782</v>
      </c>
      <c r="D4707" s="59" t="s">
        <v>801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ht="15.2" spans="1:10">
      <c r="A4708" s="58" t="s">
        <v>5332</v>
      </c>
      <c r="B4708" s="59">
        <v>263</v>
      </c>
      <c r="C4708" s="59">
        <v>565</v>
      </c>
      <c r="D4708" s="59" t="s">
        <v>801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</v>
      </c>
      <c r="J4708" s="60">
        <f t="shared" si="222"/>
        <v>12882</v>
      </c>
    </row>
    <row r="4709" ht="15.2" spans="1:10">
      <c r="A4709" s="58" t="s">
        <v>5333</v>
      </c>
      <c r="B4709" s="59">
        <v>574</v>
      </c>
      <c r="C4709" s="59">
        <v>1305</v>
      </c>
      <c r="D4709" s="59" t="s">
        <v>801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401.8</v>
      </c>
      <c r="J4709" s="60">
        <f t="shared" si="222"/>
        <v>913.5</v>
      </c>
    </row>
    <row r="4710" ht="15.2" spans="1:10">
      <c r="A4710" s="58" t="s">
        <v>5334</v>
      </c>
      <c r="B4710" s="59">
        <v>384</v>
      </c>
      <c r="C4710" s="59">
        <v>911</v>
      </c>
      <c r="D4710" s="59" t="s">
        <v>801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</v>
      </c>
      <c r="J4710" s="60">
        <f t="shared" si="222"/>
        <v>182.2</v>
      </c>
    </row>
    <row r="4711" ht="15.2" spans="1:10">
      <c r="A4711" s="58" t="s">
        <v>5335</v>
      </c>
      <c r="B4711" s="59">
        <v>4249.39</v>
      </c>
      <c r="C4711" s="59">
        <v>6999</v>
      </c>
      <c r="D4711" s="59" t="s">
        <v>803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</v>
      </c>
      <c r="J4711" s="60">
        <f t="shared" si="222"/>
        <v>6999</v>
      </c>
    </row>
    <row r="4712" ht="15.2" spans="1:10">
      <c r="A4712" s="58" t="s">
        <v>5336</v>
      </c>
      <c r="B4712" s="59">
        <v>248</v>
      </c>
      <c r="C4712" s="59">
        <v>559</v>
      </c>
      <c r="D4712" s="59" t="s">
        <v>801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ht="15.2" spans="1:10">
      <c r="A4713" s="58" t="s">
        <v>5337</v>
      </c>
      <c r="B4713" s="59">
        <v>911.44</v>
      </c>
      <c r="C4713" s="59">
        <v>1399</v>
      </c>
      <c r="D4713" s="59" t="s">
        <v>803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ht="15.2" spans="1:10">
      <c r="A4714" s="58" t="s">
        <v>5338</v>
      </c>
      <c r="B4714" s="59">
        <v>984.96</v>
      </c>
      <c r="C4714" s="59">
        <v>1499</v>
      </c>
      <c r="D4714" s="59" t="s">
        <v>803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ht="15.2" spans="1:10">
      <c r="A4715" s="58" t="s">
        <v>5339</v>
      </c>
      <c r="B4715" s="59">
        <v>1313.5</v>
      </c>
      <c r="C4715" s="59">
        <v>1999</v>
      </c>
      <c r="D4715" s="59" t="s">
        <v>803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ht="15.2" spans="1:10">
      <c r="A4716" s="58" t="s">
        <v>5340</v>
      </c>
      <c r="B4716" s="59">
        <v>303</v>
      </c>
      <c r="C4716" s="59">
        <v>690</v>
      </c>
      <c r="D4716" s="59" t="s">
        <v>801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363.6</v>
      </c>
      <c r="J4716" s="60">
        <f t="shared" si="222"/>
        <v>828</v>
      </c>
    </row>
    <row r="4717" ht="15.2" spans="1:10">
      <c r="A4717" s="58" t="s">
        <v>5341</v>
      </c>
      <c r="B4717" s="59">
        <v>1287.76</v>
      </c>
      <c r="C4717" s="59">
        <v>1999</v>
      </c>
      <c r="D4717" s="59" t="s">
        <v>803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ht="15.2" spans="1:10">
      <c r="A4718" s="58" t="s">
        <v>5342</v>
      </c>
      <c r="B4718" s="59">
        <v>1116.38</v>
      </c>
      <c r="C4718" s="59">
        <v>1699</v>
      </c>
      <c r="D4718" s="59" t="s">
        <v>803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</v>
      </c>
      <c r="J4718" s="60">
        <f t="shared" si="222"/>
        <v>1699</v>
      </c>
    </row>
    <row r="4719" ht="15.2" spans="1:10">
      <c r="A4719" s="58" t="s">
        <v>284</v>
      </c>
      <c r="B4719" s="59">
        <v>1099</v>
      </c>
      <c r="C4719" s="59">
        <v>2472</v>
      </c>
      <c r="D4719" s="59" t="s">
        <v>801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</v>
      </c>
    </row>
    <row r="4720" ht="15.2" spans="1:10">
      <c r="A4720" s="58" t="s">
        <v>5343</v>
      </c>
      <c r="B4720" s="59">
        <v>2002.96</v>
      </c>
      <c r="C4720" s="59">
        <v>3299</v>
      </c>
      <c r="D4720" s="59" t="s">
        <v>803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ht="15.2" spans="1:10">
      <c r="A4721" s="58" t="s">
        <v>5344</v>
      </c>
      <c r="B4721" s="59">
        <v>1577.96</v>
      </c>
      <c r="C4721" s="59">
        <v>2599</v>
      </c>
      <c r="D4721" s="59" t="s">
        <v>803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ht="15.2" spans="1:10">
      <c r="A4722" s="58" t="s">
        <v>5345</v>
      </c>
      <c r="B4722" s="59">
        <v>4856.54</v>
      </c>
      <c r="C4722" s="59">
        <v>7999</v>
      </c>
      <c r="D4722" s="59" t="s">
        <v>803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ht="15.2" spans="1:10">
      <c r="A4723" s="58" t="s">
        <v>5346</v>
      </c>
      <c r="B4723" s="59">
        <v>4249.39</v>
      </c>
      <c r="C4723" s="59">
        <v>6999</v>
      </c>
      <c r="D4723" s="59" t="s">
        <v>803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</v>
      </c>
      <c r="J4723" s="60">
        <f t="shared" si="222"/>
        <v>13998</v>
      </c>
    </row>
    <row r="4724" ht="15.2" spans="1:10">
      <c r="A4724" s="58" t="s">
        <v>5347</v>
      </c>
      <c r="B4724" s="59">
        <v>1152.96</v>
      </c>
      <c r="C4724" s="59">
        <v>1899</v>
      </c>
      <c r="D4724" s="59" t="s">
        <v>803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ht="15.2" spans="1:10">
      <c r="A4725" s="58" t="s">
        <v>5348</v>
      </c>
      <c r="B4725" s="59">
        <v>6481.55</v>
      </c>
      <c r="C4725" s="59">
        <v>10999</v>
      </c>
      <c r="D4725" s="59" t="s">
        <v>803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ht="15.2" spans="1:10">
      <c r="A4726" s="58" t="s">
        <v>5349</v>
      </c>
      <c r="B4726" s="59">
        <v>1152.97</v>
      </c>
      <c r="C4726" s="59">
        <v>1899</v>
      </c>
      <c r="D4726" s="59" t="s">
        <v>803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ht="15.2" spans="1:10">
      <c r="A4727" s="58" t="s">
        <v>5350</v>
      </c>
      <c r="B4727" s="59">
        <v>1456.54</v>
      </c>
      <c r="C4727" s="59">
        <v>2399</v>
      </c>
      <c r="D4727" s="59" t="s">
        <v>803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ht="15.2" spans="1:10">
      <c r="A4728" s="58" t="s">
        <v>5351</v>
      </c>
      <c r="B4728" s="59">
        <v>787.84</v>
      </c>
      <c r="C4728" s="59">
        <v>1199</v>
      </c>
      <c r="D4728" s="59" t="s">
        <v>803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ht="15.2" spans="1:10">
      <c r="A4729" s="58" t="s">
        <v>5352</v>
      </c>
      <c r="B4729" s="59">
        <v>1760.11</v>
      </c>
      <c r="C4729" s="59">
        <v>2899</v>
      </c>
      <c r="D4729" s="59" t="s">
        <v>803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ht="15.2" spans="1:10">
      <c r="A4730" s="58" t="s">
        <v>5353</v>
      </c>
      <c r="B4730" s="59">
        <v>1456.54</v>
      </c>
      <c r="C4730" s="59">
        <v>2399</v>
      </c>
      <c r="D4730" s="59" t="s">
        <v>803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ht="15.2" spans="1:10">
      <c r="A4731" s="58" t="s">
        <v>5354</v>
      </c>
      <c r="B4731" s="59">
        <v>1177.98</v>
      </c>
      <c r="C4731" s="59">
        <v>1999</v>
      </c>
      <c r="D4731" s="59" t="s">
        <v>803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ht="15.2" spans="1:10">
      <c r="A4732" s="58" t="s">
        <v>5355</v>
      </c>
      <c r="B4732" s="59">
        <v>1942.25</v>
      </c>
      <c r="C4732" s="59">
        <v>3199</v>
      </c>
      <c r="D4732" s="59" t="s">
        <v>803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ht="15.2" spans="1:10">
      <c r="A4733" s="58" t="s">
        <v>5356</v>
      </c>
      <c r="B4733" s="59">
        <v>1295.84</v>
      </c>
      <c r="C4733" s="59">
        <v>2199</v>
      </c>
      <c r="D4733" s="59" t="s">
        <v>803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1295.84</v>
      </c>
      <c r="J4733" s="60">
        <f t="shared" si="222"/>
        <v>2199</v>
      </c>
    </row>
    <row r="4734" ht="15.2" spans="1:10">
      <c r="A4734" s="58" t="s">
        <v>5357</v>
      </c>
      <c r="B4734" s="59">
        <v>0</v>
      </c>
      <c r="C4734" s="59">
        <v>0</v>
      </c>
      <c r="D4734" s="59" t="s">
        <v>815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ht="15.2" spans="1:10">
      <c r="A4735" s="58" t="s">
        <v>5358</v>
      </c>
      <c r="B4735" s="59">
        <v>281</v>
      </c>
      <c r="C4735" s="59">
        <v>605</v>
      </c>
      <c r="D4735" s="59" t="s">
        <v>801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ht="15.2" spans="1:10">
      <c r="A4736" s="58" t="s">
        <v>5359</v>
      </c>
      <c r="B4736" s="59">
        <v>372.4</v>
      </c>
      <c r="C4736" s="59">
        <v>1126</v>
      </c>
      <c r="D4736" s="59" t="s">
        <v>801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ht="15.2" spans="1:10">
      <c r="A4737" s="58" t="s">
        <v>695</v>
      </c>
      <c r="B4737" s="59">
        <v>428</v>
      </c>
      <c r="C4737" s="59">
        <v>982</v>
      </c>
      <c r="D4737" s="59" t="s">
        <v>801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</v>
      </c>
      <c r="J4737" s="60">
        <f t="shared" si="222"/>
        <v>6284.8</v>
      </c>
    </row>
    <row r="4738" ht="15.2" spans="1:10">
      <c r="A4738" s="58" t="s">
        <v>5360</v>
      </c>
      <c r="B4738" s="59">
        <v>292</v>
      </c>
      <c r="C4738" s="59">
        <v>695</v>
      </c>
      <c r="D4738" s="59" t="s">
        <v>801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</v>
      </c>
      <c r="J4738" s="60">
        <f t="shared" ref="J4738:J4801" si="225">C4738*H4738</f>
        <v>69.5</v>
      </c>
    </row>
    <row r="4739" ht="15.2" spans="1:10">
      <c r="A4739" s="58" t="s">
        <v>5361</v>
      </c>
      <c r="B4739" s="59">
        <v>970.78</v>
      </c>
      <c r="C4739" s="59">
        <v>1499</v>
      </c>
      <c r="D4739" s="59" t="s">
        <v>803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ht="15.2" spans="1:10">
      <c r="A4740" s="58" t="s">
        <v>5362</v>
      </c>
      <c r="B4740" s="59">
        <v>1699.39</v>
      </c>
      <c r="C4740" s="59">
        <v>2799</v>
      </c>
      <c r="D4740" s="59" t="s">
        <v>803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ht="15.2" spans="1:10">
      <c r="A4741" s="58" t="s">
        <v>5363</v>
      </c>
      <c r="B4741" s="59">
        <v>333.6</v>
      </c>
      <c r="C4741" s="59">
        <v>924</v>
      </c>
      <c r="D4741" s="59" t="s">
        <v>801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ht="15.2" spans="1:10">
      <c r="A4742" s="58" t="s">
        <v>5364</v>
      </c>
      <c r="B4742" s="59">
        <v>1699.39</v>
      </c>
      <c r="C4742" s="59">
        <v>2799</v>
      </c>
      <c r="D4742" s="59" t="s">
        <v>803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ht="15.2" spans="1:10">
      <c r="A4743" s="58" t="s">
        <v>5365</v>
      </c>
      <c r="B4743" s="59">
        <v>1609.86</v>
      </c>
      <c r="C4743" s="59">
        <v>2499</v>
      </c>
      <c r="D4743" s="59" t="s">
        <v>803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ht="15.2" spans="1:10">
      <c r="A4744" s="58" t="s">
        <v>5366</v>
      </c>
      <c r="B4744" s="59">
        <v>1510.63</v>
      </c>
      <c r="C4744" s="59">
        <v>2299</v>
      </c>
      <c r="D4744" s="59" t="s">
        <v>803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ht="15.2" spans="1:10">
      <c r="A4745" s="58" t="s">
        <v>5367</v>
      </c>
      <c r="B4745" s="59">
        <v>396</v>
      </c>
      <c r="C4745" s="59">
        <v>925</v>
      </c>
      <c r="D4745" s="59" t="s">
        <v>801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ht="15.2" spans="1:10">
      <c r="A4746" s="58" t="s">
        <v>5368</v>
      </c>
      <c r="B4746" s="59">
        <v>1177.98</v>
      </c>
      <c r="C4746" s="59">
        <v>1999</v>
      </c>
      <c r="D4746" s="59" t="s">
        <v>803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ht="15.2" spans="1:10">
      <c r="A4747" s="58" t="s">
        <v>5369</v>
      </c>
      <c r="B4747" s="59">
        <v>970.78</v>
      </c>
      <c r="C4747" s="59">
        <v>1499</v>
      </c>
      <c r="D4747" s="59" t="s">
        <v>803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ht="15.2" spans="1:10">
      <c r="A4748" s="58" t="s">
        <v>5370</v>
      </c>
      <c r="B4748" s="59">
        <v>841.26</v>
      </c>
      <c r="C4748" s="59">
        <v>1299</v>
      </c>
      <c r="D4748" s="59" t="s">
        <v>803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ht="15.2" spans="1:10">
      <c r="A4749" s="58" t="s">
        <v>5371</v>
      </c>
      <c r="B4749" s="59">
        <v>1313.5</v>
      </c>
      <c r="C4749" s="59">
        <v>1999</v>
      </c>
      <c r="D4749" s="59" t="s">
        <v>803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ht="15.2" spans="1:10">
      <c r="A4750" s="58" t="s">
        <v>5372</v>
      </c>
      <c r="B4750" s="59">
        <v>640</v>
      </c>
      <c r="C4750" s="59">
        <v>1508</v>
      </c>
      <c r="D4750" s="59" t="s">
        <v>801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ht="15.2" spans="1:10">
      <c r="A4751" s="58" t="s">
        <v>5373</v>
      </c>
      <c r="B4751" s="59">
        <v>352</v>
      </c>
      <c r="C4751" s="59">
        <v>873</v>
      </c>
      <c r="D4751" s="59" t="s">
        <v>801</v>
      </c>
      <c r="E4751" s="59">
        <v>9.3</v>
      </c>
      <c r="F4751" s="59">
        <v>9.3</v>
      </c>
      <c r="G4751" s="59">
        <v>0</v>
      </c>
      <c r="H4751" s="60">
        <f t="shared" si="223"/>
        <v>9.3</v>
      </c>
      <c r="I4751" s="60">
        <f t="shared" si="224"/>
        <v>3273.6</v>
      </c>
      <c r="J4751" s="60">
        <f t="shared" si="225"/>
        <v>8118.9</v>
      </c>
    </row>
    <row r="4752" ht="15.2" spans="1:10">
      <c r="A4752" s="58" t="s">
        <v>5374</v>
      </c>
      <c r="B4752" s="59">
        <v>456</v>
      </c>
      <c r="C4752" s="59">
        <v>1016</v>
      </c>
      <c r="D4752" s="59" t="s">
        <v>801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1930.4</v>
      </c>
    </row>
    <row r="4753" ht="15.2" spans="1:10">
      <c r="A4753" s="58" t="s">
        <v>5375</v>
      </c>
      <c r="B4753" s="59">
        <v>338</v>
      </c>
      <c r="C4753" s="59">
        <v>775</v>
      </c>
      <c r="D4753" s="59" t="s">
        <v>801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ht="15.2" spans="1:10">
      <c r="A4754" s="58" t="s">
        <v>5376</v>
      </c>
      <c r="B4754" s="59">
        <v>1379.21</v>
      </c>
      <c r="C4754" s="59">
        <v>2099</v>
      </c>
      <c r="D4754" s="59" t="s">
        <v>803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ht="15.2" spans="1:10">
      <c r="A4755" s="58" t="s">
        <v>5377</v>
      </c>
      <c r="B4755" s="59">
        <v>1416.6</v>
      </c>
      <c r="C4755" s="59">
        <v>2199</v>
      </c>
      <c r="D4755" s="59" t="s">
        <v>803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ht="15.2" spans="1:10">
      <c r="A4756" s="58" t="s">
        <v>5378</v>
      </c>
      <c r="B4756" s="59">
        <v>1638.68</v>
      </c>
      <c r="C4756" s="59">
        <v>2699</v>
      </c>
      <c r="D4756" s="59" t="s">
        <v>803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ht="15.2" spans="1:10">
      <c r="A4757" s="58" t="s">
        <v>5379</v>
      </c>
      <c r="B4757" s="59">
        <v>615</v>
      </c>
      <c r="C4757" s="59">
        <v>1447</v>
      </c>
      <c r="D4757" s="59" t="s">
        <v>801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1374.65</v>
      </c>
    </row>
    <row r="4758" ht="15.2" spans="1:10">
      <c r="A4758" s="58" t="s">
        <v>5380</v>
      </c>
      <c r="B4758" s="59">
        <v>1116.38</v>
      </c>
      <c r="C4758" s="59">
        <v>1699</v>
      </c>
      <c r="D4758" s="59" t="s">
        <v>803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ht="15.2" spans="1:10">
      <c r="A4759" s="58" t="s">
        <v>5381</v>
      </c>
      <c r="B4759" s="59">
        <v>881</v>
      </c>
      <c r="C4759" s="59">
        <v>2207</v>
      </c>
      <c r="D4759" s="59" t="s">
        <v>801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</v>
      </c>
      <c r="J4759" s="60">
        <f t="shared" si="225"/>
        <v>441.4</v>
      </c>
    </row>
    <row r="4760" ht="15.2" spans="1:10">
      <c r="A4760" s="58" t="s">
        <v>5382</v>
      </c>
      <c r="B4760" s="59">
        <v>1060.13</v>
      </c>
      <c r="C4760" s="59">
        <v>1799</v>
      </c>
      <c r="D4760" s="59" t="s">
        <v>803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</v>
      </c>
      <c r="J4760" s="60">
        <f t="shared" si="225"/>
        <v>1799</v>
      </c>
    </row>
    <row r="4761" ht="15.2" spans="1:10">
      <c r="A4761" s="58" t="s">
        <v>5383</v>
      </c>
      <c r="B4761" s="59">
        <v>525</v>
      </c>
      <c r="C4761" s="59">
        <v>1102</v>
      </c>
      <c r="D4761" s="59" t="s">
        <v>801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ht="15.2" spans="1:10">
      <c r="A4762" s="58" t="s">
        <v>5384</v>
      </c>
      <c r="B4762" s="59">
        <v>1738.7</v>
      </c>
      <c r="C4762" s="59">
        <v>2699</v>
      </c>
      <c r="D4762" s="59" t="s">
        <v>803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ht="15.2" spans="1:10">
      <c r="A4763" s="58" t="s">
        <v>5385</v>
      </c>
      <c r="B4763" s="59">
        <v>1707.76</v>
      </c>
      <c r="C4763" s="59">
        <v>2599</v>
      </c>
      <c r="D4763" s="59" t="s">
        <v>803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ht="15.2" spans="1:10">
      <c r="A4764" s="58" t="s">
        <v>5386</v>
      </c>
      <c r="B4764" s="59">
        <v>1153</v>
      </c>
      <c r="C4764" s="59">
        <v>2849</v>
      </c>
      <c r="D4764" s="59" t="s">
        <v>801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</v>
      </c>
    </row>
    <row r="4765" ht="15.2" spans="1:10">
      <c r="A4765" s="58" t="s">
        <v>5387</v>
      </c>
      <c r="B4765" s="59">
        <v>1247.8</v>
      </c>
      <c r="C4765" s="59">
        <v>1899</v>
      </c>
      <c r="D4765" s="59" t="s">
        <v>803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ht="15.2" spans="1:10">
      <c r="A4766" s="58" t="s">
        <v>5388</v>
      </c>
      <c r="B4766" s="59">
        <v>1274.39</v>
      </c>
      <c r="C4766" s="59">
        <v>2099</v>
      </c>
      <c r="D4766" s="59" t="s">
        <v>803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ht="15.2" spans="1:10">
      <c r="A4767" s="58" t="s">
        <v>5389</v>
      </c>
      <c r="B4767" s="59">
        <v>1247.8</v>
      </c>
      <c r="C4767" s="59">
        <v>1899</v>
      </c>
      <c r="D4767" s="59" t="s">
        <v>803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ht="15.2" spans="1:10">
      <c r="A4768" s="58" t="s">
        <v>5390</v>
      </c>
      <c r="B4768" s="59">
        <v>1116.38</v>
      </c>
      <c r="C4768" s="59">
        <v>1699</v>
      </c>
      <c r="D4768" s="59" t="s">
        <v>803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ht="15.2" spans="1:10">
      <c r="A4769" s="58" t="s">
        <v>5391</v>
      </c>
      <c r="B4769" s="59">
        <v>364</v>
      </c>
      <c r="C4769" s="59">
        <v>919</v>
      </c>
      <c r="D4769" s="59" t="s">
        <v>801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ht="15.2" spans="1:10">
      <c r="A4770" s="58" t="s">
        <v>5392</v>
      </c>
      <c r="B4770" s="59">
        <v>1395.82</v>
      </c>
      <c r="C4770" s="59">
        <v>2299</v>
      </c>
      <c r="D4770" s="59" t="s">
        <v>803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ht="15.2" spans="1:10">
      <c r="A4771" s="58" t="s">
        <v>5393</v>
      </c>
      <c r="B4771" s="59">
        <v>1092.25</v>
      </c>
      <c r="C4771" s="59">
        <v>1799</v>
      </c>
      <c r="D4771" s="59" t="s">
        <v>803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ht="15.2" spans="1:10">
      <c r="A4772" s="58" t="s">
        <v>5394</v>
      </c>
      <c r="B4772" s="59">
        <v>517.45</v>
      </c>
      <c r="C4772" s="59">
        <v>799</v>
      </c>
      <c r="D4772" s="59" t="s">
        <v>803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</v>
      </c>
      <c r="J4772" s="60">
        <f t="shared" si="225"/>
        <v>1598</v>
      </c>
    </row>
    <row r="4773" ht="15.2" spans="1:10">
      <c r="A4773" s="58" t="s">
        <v>5395</v>
      </c>
      <c r="B4773" s="59">
        <v>507</v>
      </c>
      <c r="C4773" s="59">
        <v>1008</v>
      </c>
      <c r="D4773" s="59" t="s">
        <v>801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ht="15.2" spans="1:10">
      <c r="A4774" s="58" t="s">
        <v>5396</v>
      </c>
      <c r="B4774" s="59">
        <v>2102</v>
      </c>
      <c r="C4774" s="59">
        <v>3199</v>
      </c>
      <c r="D4774" s="59" t="s">
        <v>803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ht="15.2" spans="1:10">
      <c r="A4775" s="58" t="s">
        <v>5397</v>
      </c>
      <c r="B4775" s="59">
        <v>396</v>
      </c>
      <c r="C4775" s="59">
        <v>924</v>
      </c>
      <c r="D4775" s="59" t="s">
        <v>801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ht="15.2" spans="1:10">
      <c r="A4776" s="58" t="s">
        <v>5398</v>
      </c>
      <c r="B4776" s="59">
        <v>1060.13</v>
      </c>
      <c r="C4776" s="59">
        <v>1799</v>
      </c>
      <c r="D4776" s="59" t="s">
        <v>803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</v>
      </c>
      <c r="J4776" s="60">
        <f t="shared" si="225"/>
        <v>1799</v>
      </c>
    </row>
    <row r="4777" ht="15.2" spans="1:10">
      <c r="A4777" s="58" t="s">
        <v>5399</v>
      </c>
      <c r="B4777" s="59">
        <v>1331</v>
      </c>
      <c r="C4777" s="59">
        <v>3439</v>
      </c>
      <c r="D4777" s="59" t="s">
        <v>801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ht="15.2" spans="1:10">
      <c r="A4778" s="58" t="s">
        <v>5400</v>
      </c>
      <c r="B4778" s="59">
        <v>1247.8</v>
      </c>
      <c r="C4778" s="59">
        <v>1899</v>
      </c>
      <c r="D4778" s="59" t="s">
        <v>803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ht="15.2" spans="1:10">
      <c r="A4779" s="58" t="s">
        <v>5401</v>
      </c>
      <c r="B4779" s="59">
        <v>1295.84</v>
      </c>
      <c r="C4779" s="59">
        <v>2199</v>
      </c>
      <c r="D4779" s="59" t="s">
        <v>803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ht="15.2" spans="1:10">
      <c r="A4780" s="58" t="s">
        <v>5402</v>
      </c>
      <c r="B4780" s="59">
        <v>336</v>
      </c>
      <c r="C4780" s="59">
        <v>825</v>
      </c>
      <c r="D4780" s="59" t="s">
        <v>801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ht="15.2" spans="1:10">
      <c r="A4781" s="58" t="s">
        <v>5403</v>
      </c>
      <c r="B4781" s="59">
        <v>970.78</v>
      </c>
      <c r="C4781" s="59">
        <v>1499</v>
      </c>
      <c r="D4781" s="59" t="s">
        <v>803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ht="15.2" spans="1:10">
      <c r="A4782" s="58" t="s">
        <v>5404</v>
      </c>
      <c r="B4782" s="59">
        <v>1287.76</v>
      </c>
      <c r="C4782" s="59">
        <v>1999</v>
      </c>
      <c r="D4782" s="59" t="s">
        <v>803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ht="15.2" spans="1:10">
      <c r="A4783" s="58" t="s">
        <v>5405</v>
      </c>
      <c r="B4783" s="59">
        <v>394</v>
      </c>
      <c r="C4783" s="59">
        <v>918</v>
      </c>
      <c r="D4783" s="59" t="s">
        <v>801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59.1</v>
      </c>
      <c r="J4783" s="60">
        <f t="shared" si="225"/>
        <v>137.7</v>
      </c>
    </row>
    <row r="4784" ht="15.2" spans="1:10">
      <c r="A4784" s="58" t="s">
        <v>5406</v>
      </c>
      <c r="B4784" s="59">
        <v>1395.82</v>
      </c>
      <c r="C4784" s="59">
        <v>2299</v>
      </c>
      <c r="D4784" s="59" t="s">
        <v>803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ht="15.2" spans="1:10">
      <c r="A4785" s="58" t="s">
        <v>5407</v>
      </c>
      <c r="B4785" s="59">
        <v>970.78</v>
      </c>
      <c r="C4785" s="59">
        <v>1499</v>
      </c>
      <c r="D4785" s="59" t="s">
        <v>803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ht="15.2" spans="1:10">
      <c r="A4786" s="58" t="s">
        <v>5408</v>
      </c>
      <c r="B4786" s="59">
        <v>970.82</v>
      </c>
      <c r="C4786" s="59">
        <v>1599</v>
      </c>
      <c r="D4786" s="59" t="s">
        <v>803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ht="15.2" spans="1:10">
      <c r="A4787" s="58" t="s">
        <v>5409</v>
      </c>
      <c r="B4787" s="59">
        <v>3535.13</v>
      </c>
      <c r="C4787" s="59">
        <v>5999</v>
      </c>
      <c r="D4787" s="59" t="s">
        <v>803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ht="15.2" spans="1:10">
      <c r="A4788" s="58" t="s">
        <v>5410</v>
      </c>
      <c r="B4788" s="59">
        <v>908.43</v>
      </c>
      <c r="C4788" s="59">
        <v>1399</v>
      </c>
      <c r="D4788" s="59" t="s">
        <v>803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ht="15.2" spans="1:10">
      <c r="A4789" s="58" t="s">
        <v>5411</v>
      </c>
      <c r="B4789" s="59">
        <v>1274.39</v>
      </c>
      <c r="C4789" s="59">
        <v>2099</v>
      </c>
      <c r="D4789" s="59" t="s">
        <v>803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</v>
      </c>
      <c r="J4789" s="60">
        <f t="shared" si="225"/>
        <v>2099</v>
      </c>
    </row>
    <row r="4790" ht="15.2" spans="1:10">
      <c r="A4790" s="58" t="s">
        <v>5412</v>
      </c>
      <c r="B4790" s="59">
        <v>1213.68</v>
      </c>
      <c r="C4790" s="59">
        <v>1999</v>
      </c>
      <c r="D4790" s="59" t="s">
        <v>803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ht="15.2" spans="1:10">
      <c r="A4791" s="58" t="s">
        <v>5413</v>
      </c>
      <c r="B4791" s="59">
        <v>1379.21</v>
      </c>
      <c r="C4791" s="59">
        <v>2099</v>
      </c>
      <c r="D4791" s="59" t="s">
        <v>803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ht="15.2" spans="1:10">
      <c r="A4792" s="58" t="s">
        <v>5414</v>
      </c>
      <c r="B4792" s="59">
        <v>260</v>
      </c>
      <c r="C4792" s="59">
        <v>620</v>
      </c>
      <c r="D4792" s="59" t="s">
        <v>801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ht="15.2" spans="1:10">
      <c r="A4793" s="58" t="s">
        <v>5415</v>
      </c>
      <c r="B4793" s="59">
        <v>1499</v>
      </c>
      <c r="C4793" s="59">
        <v>3935</v>
      </c>
      <c r="D4793" s="59" t="s">
        <v>801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</v>
      </c>
      <c r="J4793" s="60">
        <f t="shared" si="225"/>
        <v>1770.75</v>
      </c>
    </row>
    <row r="4794" ht="15.2" spans="1:10">
      <c r="A4794" s="58" t="s">
        <v>5416</v>
      </c>
      <c r="B4794" s="59">
        <v>1444.92</v>
      </c>
      <c r="C4794" s="59">
        <v>2199</v>
      </c>
      <c r="D4794" s="59" t="s">
        <v>803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ht="15.2" spans="1:10">
      <c r="A4795" s="58" t="s">
        <v>5417</v>
      </c>
      <c r="B4795" s="59">
        <v>646.97</v>
      </c>
      <c r="C4795" s="59">
        <v>999</v>
      </c>
      <c r="D4795" s="59" t="s">
        <v>803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ht="15.2" spans="1:10">
      <c r="A4796" s="58" t="s">
        <v>5418</v>
      </c>
      <c r="B4796" s="59">
        <v>600</v>
      </c>
      <c r="C4796" s="59">
        <v>1362</v>
      </c>
      <c r="D4796" s="59" t="s">
        <v>801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2587.8</v>
      </c>
    </row>
    <row r="4797" ht="15.2" spans="1:10">
      <c r="A4797" s="58" t="s">
        <v>5419</v>
      </c>
      <c r="B4797" s="59">
        <v>1881.54</v>
      </c>
      <c r="C4797" s="59">
        <v>3099</v>
      </c>
      <c r="D4797" s="59" t="s">
        <v>803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ht="15.2" spans="1:10">
      <c r="A4798" s="58" t="s">
        <v>5420</v>
      </c>
      <c r="B4798" s="59">
        <v>398</v>
      </c>
      <c r="C4798" s="59">
        <v>913</v>
      </c>
      <c r="D4798" s="59" t="s">
        <v>801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ht="15.2" spans="1:10">
      <c r="A4799" s="58" t="s">
        <v>5421</v>
      </c>
      <c r="B4799" s="59">
        <v>1517.25</v>
      </c>
      <c r="C4799" s="59">
        <v>2499</v>
      </c>
      <c r="D4799" s="59" t="s">
        <v>803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ht="15.2" spans="1:10">
      <c r="A4800" s="58" t="s">
        <v>5422</v>
      </c>
      <c r="B4800" s="59">
        <v>787.84</v>
      </c>
      <c r="C4800" s="59">
        <v>1199</v>
      </c>
      <c r="D4800" s="59" t="s">
        <v>803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ht="15.2" spans="1:10">
      <c r="A4801" s="58" t="s">
        <v>5423</v>
      </c>
      <c r="B4801" s="59">
        <v>1213.68</v>
      </c>
      <c r="C4801" s="59">
        <v>1999</v>
      </c>
      <c r="D4801" s="59" t="s">
        <v>803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ht="15.2" spans="1:10">
      <c r="A4802" s="58" t="s">
        <v>5424</v>
      </c>
      <c r="B4802" s="59">
        <v>1354.77</v>
      </c>
      <c r="C4802" s="59">
        <v>2299</v>
      </c>
      <c r="D4802" s="59" t="s">
        <v>803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ht="15.2" spans="1:10">
      <c r="A4803" s="58" t="s">
        <v>5425</v>
      </c>
      <c r="B4803" s="59">
        <v>1092.25</v>
      </c>
      <c r="C4803" s="59">
        <v>1799</v>
      </c>
      <c r="D4803" s="59" t="s">
        <v>803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ht="15.2" spans="1:10">
      <c r="A4804" s="58" t="s">
        <v>5426</v>
      </c>
      <c r="B4804" s="59">
        <v>1119.05</v>
      </c>
      <c r="C4804" s="59">
        <v>1899</v>
      </c>
      <c r="D4804" s="59" t="s">
        <v>803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ht="15.2" spans="1:10">
      <c r="A4805" s="58" t="s">
        <v>5427</v>
      </c>
      <c r="B4805" s="59">
        <v>265</v>
      </c>
      <c r="C4805" s="59">
        <v>575</v>
      </c>
      <c r="D4805" s="59" t="s">
        <v>801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ht="15.2" spans="1:10">
      <c r="A4806" s="58" t="s">
        <v>5428</v>
      </c>
      <c r="B4806" s="59">
        <v>549</v>
      </c>
      <c r="C4806" s="59">
        <v>1153</v>
      </c>
      <c r="D4806" s="59" t="s">
        <v>801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4995.9</v>
      </c>
      <c r="J4806" s="60">
        <f t="shared" si="228"/>
        <v>10492.3</v>
      </c>
    </row>
    <row r="4807" ht="15.2" spans="1:10">
      <c r="A4807" s="58" t="s">
        <v>5429</v>
      </c>
      <c r="B4807" s="59">
        <v>1352.18</v>
      </c>
      <c r="C4807" s="59">
        <v>2099</v>
      </c>
      <c r="D4807" s="59" t="s">
        <v>803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ht="15.2" spans="1:10">
      <c r="A4808" s="58" t="s">
        <v>5430</v>
      </c>
      <c r="B4808" s="59">
        <v>1444.92</v>
      </c>
      <c r="C4808" s="59">
        <v>2199</v>
      </c>
      <c r="D4808" s="59" t="s">
        <v>803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ht="15.2" spans="1:10">
      <c r="A4809" s="58" t="s">
        <v>5431</v>
      </c>
      <c r="B4809" s="59">
        <v>1510.63</v>
      </c>
      <c r="C4809" s="59">
        <v>2299</v>
      </c>
      <c r="D4809" s="59" t="s">
        <v>803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ht="15.2" spans="1:10">
      <c r="A4810" s="58" t="s">
        <v>5432</v>
      </c>
      <c r="B4810" s="59">
        <v>1395.82</v>
      </c>
      <c r="C4810" s="59">
        <v>2299</v>
      </c>
      <c r="D4810" s="59" t="s">
        <v>803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ht="15.2" spans="1:10">
      <c r="A4811" s="58" t="s">
        <v>5433</v>
      </c>
      <c r="B4811" s="59">
        <v>1247.8</v>
      </c>
      <c r="C4811" s="59">
        <v>1899</v>
      </c>
      <c r="D4811" s="59" t="s">
        <v>803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ht="15.2" spans="1:10">
      <c r="A4812" s="58" t="s">
        <v>5434</v>
      </c>
      <c r="B4812" s="59">
        <v>4249.39</v>
      </c>
      <c r="C4812" s="59">
        <v>6999</v>
      </c>
      <c r="D4812" s="59" t="s">
        <v>803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</v>
      </c>
      <c r="J4812" s="60">
        <f t="shared" si="228"/>
        <v>6999</v>
      </c>
    </row>
    <row r="4813" ht="15.2" spans="1:10">
      <c r="A4813" s="58" t="s">
        <v>5435</v>
      </c>
      <c r="B4813" s="59">
        <v>1295.84</v>
      </c>
      <c r="C4813" s="59">
        <v>2199</v>
      </c>
      <c r="D4813" s="59" t="s">
        <v>803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1295.84</v>
      </c>
      <c r="J4813" s="60">
        <f t="shared" si="228"/>
        <v>2199</v>
      </c>
    </row>
    <row r="4814" ht="15.2" spans="1:10">
      <c r="A4814" s="58" t="s">
        <v>5436</v>
      </c>
      <c r="B4814" s="59">
        <v>1395.82</v>
      </c>
      <c r="C4814" s="59">
        <v>2299</v>
      </c>
      <c r="D4814" s="59" t="s">
        <v>803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ht="15.2" spans="1:10">
      <c r="A4815" s="58" t="s">
        <v>5437</v>
      </c>
      <c r="B4815" s="59">
        <v>288</v>
      </c>
      <c r="C4815" s="59">
        <v>624</v>
      </c>
      <c r="D4815" s="59" t="s">
        <v>801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</v>
      </c>
      <c r="J4815" s="60">
        <f t="shared" si="228"/>
        <v>811.2</v>
      </c>
    </row>
    <row r="4816" ht="15.2" spans="1:10">
      <c r="A4816" s="58" t="s">
        <v>5438</v>
      </c>
      <c r="B4816" s="59">
        <v>2766</v>
      </c>
      <c r="C4816" s="59">
        <v>7082</v>
      </c>
      <c r="D4816" s="59" t="s">
        <v>801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ht="15.2" spans="1:10">
      <c r="A4817" s="58" t="s">
        <v>5439</v>
      </c>
      <c r="B4817" s="59">
        <v>1354.77</v>
      </c>
      <c r="C4817" s="59">
        <v>2299</v>
      </c>
      <c r="D4817" s="59" t="s">
        <v>803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ht="15.2" spans="1:10">
      <c r="A4818" s="58" t="s">
        <v>5440</v>
      </c>
      <c r="B4818" s="59">
        <v>582.21</v>
      </c>
      <c r="C4818" s="59">
        <v>899</v>
      </c>
      <c r="D4818" s="59" t="s">
        <v>803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ht="15.2" spans="1:10">
      <c r="A4819" s="58" t="s">
        <v>5441</v>
      </c>
      <c r="B4819" s="59">
        <v>2185.11</v>
      </c>
      <c r="C4819" s="59">
        <v>3599</v>
      </c>
      <c r="D4819" s="59" t="s">
        <v>803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ht="15.2" spans="1:10">
      <c r="A4820" s="58" t="s">
        <v>5442</v>
      </c>
      <c r="B4820" s="59">
        <v>1030.08</v>
      </c>
      <c r="C4820" s="59">
        <v>1599</v>
      </c>
      <c r="D4820" s="59" t="s">
        <v>803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ht="15.2" spans="1:10">
      <c r="A4821" s="58" t="s">
        <v>5443</v>
      </c>
      <c r="B4821" s="59">
        <v>1177.98</v>
      </c>
      <c r="C4821" s="59">
        <v>1999</v>
      </c>
      <c r="D4821" s="59" t="s">
        <v>803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ht="15.2" spans="1:10">
      <c r="A4822" s="58" t="s">
        <v>5444</v>
      </c>
      <c r="B4822" s="59">
        <v>405</v>
      </c>
      <c r="C4822" s="59">
        <v>1025</v>
      </c>
      <c r="D4822" s="59" t="s">
        <v>801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ht="15.2" spans="1:10">
      <c r="A4823" s="58" t="s">
        <v>5445</v>
      </c>
      <c r="B4823" s="59">
        <v>1116.38</v>
      </c>
      <c r="C4823" s="59">
        <v>1699</v>
      </c>
      <c r="D4823" s="59" t="s">
        <v>803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ht="15.2" spans="1:10">
      <c r="A4824" s="58" t="s">
        <v>5446</v>
      </c>
      <c r="B4824" s="59">
        <v>259</v>
      </c>
      <c r="C4824" s="59">
        <v>635</v>
      </c>
      <c r="D4824" s="59" t="s">
        <v>801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246.05</v>
      </c>
      <c r="J4824" s="60">
        <f t="shared" si="228"/>
        <v>603.25</v>
      </c>
    </row>
    <row r="4825" ht="15.2" spans="1:10">
      <c r="A4825" s="58" t="s">
        <v>175</v>
      </c>
      <c r="B4825" s="59">
        <v>306</v>
      </c>
      <c r="C4825" s="59">
        <v>720</v>
      </c>
      <c r="D4825" s="59" t="s">
        <v>801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ht="15.2" spans="1:10">
      <c r="A4826" s="58" t="s">
        <v>5447</v>
      </c>
      <c r="B4826" s="59">
        <v>2364.83</v>
      </c>
      <c r="C4826" s="59">
        <v>3599</v>
      </c>
      <c r="D4826" s="59" t="s">
        <v>803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ht="15.2" spans="1:10">
      <c r="A4827" s="58" t="s">
        <v>5448</v>
      </c>
      <c r="B4827" s="59">
        <v>449</v>
      </c>
      <c r="C4827" s="59">
        <v>943</v>
      </c>
      <c r="D4827" s="59" t="s">
        <v>801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</v>
      </c>
      <c r="J4827" s="60">
        <f t="shared" si="228"/>
        <v>94.3</v>
      </c>
    </row>
    <row r="4828" ht="15.2" spans="1:10">
      <c r="A4828" s="58" t="s">
        <v>5449</v>
      </c>
      <c r="B4828" s="59">
        <v>428</v>
      </c>
      <c r="C4828" s="59">
        <v>982</v>
      </c>
      <c r="D4828" s="59" t="s">
        <v>801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406.6</v>
      </c>
      <c r="J4828" s="60">
        <f t="shared" si="228"/>
        <v>932.9</v>
      </c>
    </row>
    <row r="4829" ht="15.2" spans="1:10">
      <c r="A4829" s="58" t="s">
        <v>5450</v>
      </c>
      <c r="B4829" s="59">
        <v>666</v>
      </c>
      <c r="C4829" s="59">
        <v>1569</v>
      </c>
      <c r="D4829" s="59" t="s">
        <v>801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</v>
      </c>
      <c r="J4829" s="60">
        <f t="shared" si="228"/>
        <v>1255.2</v>
      </c>
    </row>
    <row r="4830" ht="15.2" spans="1:10">
      <c r="A4830" s="58" t="s">
        <v>5451</v>
      </c>
      <c r="B4830" s="59">
        <v>1213.68</v>
      </c>
      <c r="C4830" s="59">
        <v>1999</v>
      </c>
      <c r="D4830" s="59" t="s">
        <v>803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ht="15.2" spans="1:10">
      <c r="A4831" s="58" t="s">
        <v>5452</v>
      </c>
      <c r="B4831" s="59">
        <v>841.26</v>
      </c>
      <c r="C4831" s="59">
        <v>1299</v>
      </c>
      <c r="D4831" s="59" t="s">
        <v>803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ht="15.2" spans="1:10">
      <c r="A4832" s="58" t="s">
        <v>5453</v>
      </c>
      <c r="B4832" s="59">
        <v>1395.82</v>
      </c>
      <c r="C4832" s="59">
        <v>2299</v>
      </c>
      <c r="D4832" s="59" t="s">
        <v>803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ht="15.2" spans="1:10">
      <c r="A4833" s="58" t="s">
        <v>5454</v>
      </c>
      <c r="B4833" s="59">
        <v>1213.68</v>
      </c>
      <c r="C4833" s="59">
        <v>1999</v>
      </c>
      <c r="D4833" s="59" t="s">
        <v>803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ht="15.2" spans="1:10">
      <c r="A4834" s="58" t="s">
        <v>5455</v>
      </c>
      <c r="B4834" s="59">
        <v>507.1</v>
      </c>
      <c r="C4834" s="59">
        <v>1579</v>
      </c>
      <c r="D4834" s="59" t="s">
        <v>801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</v>
      </c>
      <c r="J4834" s="60">
        <f t="shared" si="228"/>
        <v>631.6</v>
      </c>
    </row>
    <row r="4835" ht="15.2" spans="1:10">
      <c r="A4835" s="58" t="s">
        <v>5456</v>
      </c>
      <c r="B4835" s="59">
        <v>525</v>
      </c>
      <c r="C4835" s="59">
        <v>799</v>
      </c>
      <c r="D4835" s="59" t="s">
        <v>803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ht="15.2" spans="1:10">
      <c r="A4836" s="58" t="s">
        <v>5457</v>
      </c>
      <c r="B4836" s="59">
        <v>908.83</v>
      </c>
      <c r="C4836" s="59">
        <v>1399</v>
      </c>
      <c r="D4836" s="59" t="s">
        <v>803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ht="15.2" spans="1:10">
      <c r="A4837" s="58" t="s">
        <v>5458</v>
      </c>
      <c r="B4837" s="59">
        <v>0</v>
      </c>
      <c r="C4837" s="59">
        <v>0</v>
      </c>
      <c r="D4837" s="59" t="s">
        <v>815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ht="15.2" spans="1:10">
      <c r="A4838" s="58" t="s">
        <v>5459</v>
      </c>
      <c r="B4838" s="59">
        <v>1354.77</v>
      </c>
      <c r="C4838" s="59">
        <v>2299</v>
      </c>
      <c r="D4838" s="59" t="s">
        <v>803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ht="15.2" spans="1:10">
      <c r="A4839" s="58" t="s">
        <v>5460</v>
      </c>
      <c r="B4839" s="59">
        <v>525</v>
      </c>
      <c r="C4839" s="59">
        <v>799</v>
      </c>
      <c r="D4839" s="59" t="s">
        <v>803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ht="15.2" spans="1:10">
      <c r="A4840" s="58" t="s">
        <v>5461</v>
      </c>
      <c r="B4840" s="59">
        <v>449</v>
      </c>
      <c r="C4840" s="59">
        <v>943</v>
      </c>
      <c r="D4840" s="59" t="s">
        <v>801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ht="15.2" spans="1:10">
      <c r="A4841" s="58" t="s">
        <v>5462</v>
      </c>
      <c r="B4841" s="59">
        <v>608</v>
      </c>
      <c r="C4841" s="59">
        <v>1347</v>
      </c>
      <c r="D4841" s="59" t="s">
        <v>801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</v>
      </c>
      <c r="J4841" s="60">
        <f t="shared" si="228"/>
        <v>1077.6</v>
      </c>
    </row>
    <row r="4842" ht="15.2" spans="1:10">
      <c r="A4842" s="58" t="s">
        <v>5463</v>
      </c>
      <c r="B4842" s="59">
        <v>1638.68</v>
      </c>
      <c r="C4842" s="59">
        <v>2699</v>
      </c>
      <c r="D4842" s="59" t="s">
        <v>803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ht="15.2" spans="1:10">
      <c r="A4843" s="58" t="s">
        <v>5464</v>
      </c>
      <c r="B4843" s="59">
        <v>1313.5</v>
      </c>
      <c r="C4843" s="59">
        <v>1999</v>
      </c>
      <c r="D4843" s="59" t="s">
        <v>803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ht="15.2" spans="1:10">
      <c r="A4844" s="58" t="s">
        <v>5465</v>
      </c>
      <c r="B4844" s="59">
        <v>1280</v>
      </c>
      <c r="C4844" s="59">
        <v>3238</v>
      </c>
      <c r="D4844" s="59" t="s">
        <v>801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ht="15.2" spans="1:10">
      <c r="A4845" s="58" t="s">
        <v>5466</v>
      </c>
      <c r="B4845" s="59">
        <v>584</v>
      </c>
      <c r="C4845" s="59">
        <v>1285</v>
      </c>
      <c r="D4845" s="59" t="s">
        <v>801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ht="15.2" spans="1:10">
      <c r="A4846" s="58" t="s">
        <v>5467</v>
      </c>
      <c r="B4846" s="59">
        <v>1295.84</v>
      </c>
      <c r="C4846" s="59">
        <v>2199</v>
      </c>
      <c r="D4846" s="59" t="s">
        <v>803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1295.84</v>
      </c>
      <c r="J4846" s="60">
        <f t="shared" si="228"/>
        <v>2199</v>
      </c>
    </row>
    <row r="4847" ht="15.2" spans="1:10">
      <c r="A4847" s="58" t="s">
        <v>5468</v>
      </c>
      <c r="B4847" s="59">
        <v>1456.54</v>
      </c>
      <c r="C4847" s="59">
        <v>2299</v>
      </c>
      <c r="D4847" s="59" t="s">
        <v>803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ht="15.2" spans="1:10">
      <c r="A4848" s="58" t="s">
        <v>5469</v>
      </c>
      <c r="B4848" s="59">
        <v>1444.92</v>
      </c>
      <c r="C4848" s="59">
        <v>2199</v>
      </c>
      <c r="D4848" s="59" t="s">
        <v>803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ht="15.2" spans="1:10">
      <c r="A4849" s="58" t="s">
        <v>5470</v>
      </c>
      <c r="B4849" s="59">
        <v>1116.38</v>
      </c>
      <c r="C4849" s="59">
        <v>1699</v>
      </c>
      <c r="D4849" s="59" t="s">
        <v>803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</v>
      </c>
      <c r="J4849" s="60">
        <f t="shared" si="228"/>
        <v>1699</v>
      </c>
    </row>
    <row r="4850" ht="15.2" spans="1:10">
      <c r="A4850" s="58" t="s">
        <v>5471</v>
      </c>
      <c r="B4850" s="59">
        <v>1092.25</v>
      </c>
      <c r="C4850" s="59">
        <v>1799</v>
      </c>
      <c r="D4850" s="59" t="s">
        <v>803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ht="15.2" spans="1:10">
      <c r="A4851" s="58" t="s">
        <v>5472</v>
      </c>
      <c r="B4851" s="59">
        <v>1844</v>
      </c>
      <c r="C4851" s="59">
        <v>4649</v>
      </c>
      <c r="D4851" s="59" t="s">
        <v>801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</v>
      </c>
    </row>
    <row r="4852" ht="15.2" spans="1:10">
      <c r="A4852" s="58" t="s">
        <v>5473</v>
      </c>
      <c r="B4852" s="59">
        <v>549.83</v>
      </c>
      <c r="C4852" s="59">
        <v>849</v>
      </c>
      <c r="D4852" s="59" t="s">
        <v>803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</v>
      </c>
      <c r="J4852" s="60">
        <f t="shared" si="228"/>
        <v>849</v>
      </c>
    </row>
    <row r="4853" ht="15.2" spans="1:10">
      <c r="A4853" s="58" t="s">
        <v>5474</v>
      </c>
      <c r="B4853" s="59">
        <v>0</v>
      </c>
      <c r="C4853" s="59">
        <v>0</v>
      </c>
      <c r="D4853" s="59" t="s">
        <v>815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ht="15.2" spans="1:10">
      <c r="A4854" s="58" t="s">
        <v>5475</v>
      </c>
      <c r="B4854" s="59">
        <v>1213.68</v>
      </c>
      <c r="C4854" s="59">
        <v>1999</v>
      </c>
      <c r="D4854" s="59" t="s">
        <v>803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ht="15.2" spans="1:10">
      <c r="A4855" s="58" t="s">
        <v>5476</v>
      </c>
      <c r="B4855" s="59">
        <v>399</v>
      </c>
      <c r="C4855" s="59">
        <v>892</v>
      </c>
      <c r="D4855" s="59" t="s">
        <v>801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</v>
      </c>
    </row>
    <row r="4856" ht="15.2" spans="1:10">
      <c r="A4856" s="58" t="s">
        <v>5477</v>
      </c>
      <c r="B4856" s="59">
        <v>1444.92</v>
      </c>
      <c r="C4856" s="59">
        <v>2199</v>
      </c>
      <c r="D4856" s="59" t="s">
        <v>803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ht="15.2" spans="1:10">
      <c r="A4857" s="58" t="s">
        <v>5478</v>
      </c>
      <c r="B4857" s="59">
        <v>1119.05</v>
      </c>
      <c r="C4857" s="59">
        <v>1899</v>
      </c>
      <c r="D4857" s="59" t="s">
        <v>803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ht="15.2" spans="1:10">
      <c r="A4858" s="58" t="s">
        <v>5479</v>
      </c>
      <c r="B4858" s="59">
        <v>517.45</v>
      </c>
      <c r="C4858" s="59">
        <v>799</v>
      </c>
      <c r="D4858" s="59" t="s">
        <v>803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</v>
      </c>
      <c r="J4858" s="60">
        <f t="shared" si="228"/>
        <v>1598</v>
      </c>
    </row>
    <row r="4859" ht="15.2" spans="1:10">
      <c r="A4859" s="58" t="s">
        <v>5480</v>
      </c>
      <c r="B4859" s="59">
        <v>665</v>
      </c>
      <c r="C4859" s="59">
        <v>1551</v>
      </c>
      <c r="D4859" s="59" t="s">
        <v>801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ht="15.2" spans="1:10">
      <c r="A4860" s="58" t="s">
        <v>692</v>
      </c>
      <c r="B4860" s="59">
        <v>1485</v>
      </c>
      <c r="C4860" s="59">
        <v>3828</v>
      </c>
      <c r="D4860" s="59" t="s">
        <v>801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62013.6</v>
      </c>
    </row>
    <row r="4861" ht="15.2" spans="1:10">
      <c r="A4861" s="58" t="s">
        <v>5481</v>
      </c>
      <c r="B4861" s="59">
        <v>1867.54</v>
      </c>
      <c r="C4861" s="59">
        <v>2899</v>
      </c>
      <c r="D4861" s="59" t="s">
        <v>803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ht="15.2" spans="1:10">
      <c r="A4862" s="58" t="s">
        <v>5482</v>
      </c>
      <c r="B4862" s="59">
        <v>1247.8</v>
      </c>
      <c r="C4862" s="59">
        <v>1899</v>
      </c>
      <c r="D4862" s="59" t="s">
        <v>803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ht="15.2" spans="1:10">
      <c r="A4863" s="58" t="s">
        <v>5483</v>
      </c>
      <c r="B4863" s="59">
        <v>1213.68</v>
      </c>
      <c r="C4863" s="59">
        <v>1999</v>
      </c>
      <c r="D4863" s="59" t="s">
        <v>803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ht="15.2" spans="1:10">
      <c r="A4864" s="58" t="s">
        <v>5484</v>
      </c>
      <c r="B4864" s="59">
        <v>1247.8</v>
      </c>
      <c r="C4864" s="59">
        <v>1899</v>
      </c>
      <c r="D4864" s="59" t="s">
        <v>803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ht="15.2" spans="1:10">
      <c r="A4865" s="58" t="s">
        <v>5485</v>
      </c>
      <c r="B4865" s="59">
        <v>1839.16</v>
      </c>
      <c r="C4865" s="59">
        <v>2799</v>
      </c>
      <c r="D4865" s="59" t="s">
        <v>803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ht="15.2" spans="1:10">
      <c r="A4866" s="58" t="s">
        <v>5486</v>
      </c>
      <c r="B4866" s="59">
        <v>695</v>
      </c>
      <c r="C4866" s="59">
        <v>1551</v>
      </c>
      <c r="D4866" s="59" t="s">
        <v>801</v>
      </c>
      <c r="E4866" s="59">
        <v>4.6</v>
      </c>
      <c r="F4866" s="59">
        <v>4.6</v>
      </c>
      <c r="G4866" s="59">
        <v>0</v>
      </c>
      <c r="H4866" s="60">
        <f t="shared" si="229"/>
        <v>4.6</v>
      </c>
      <c r="I4866" s="60">
        <f t="shared" ref="I4866:I4929" si="230">B4866*H4866</f>
        <v>3197</v>
      </c>
      <c r="J4866" s="60">
        <f t="shared" ref="J4866:J4929" si="231">C4866*H4866</f>
        <v>7134.6</v>
      </c>
    </row>
    <row r="4867" ht="15.2" spans="1:10">
      <c r="A4867" s="58" t="s">
        <v>5487</v>
      </c>
      <c r="B4867" s="59">
        <v>649</v>
      </c>
      <c r="C4867" s="59">
        <v>1447</v>
      </c>
      <c r="D4867" s="59" t="s">
        <v>801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3834.55</v>
      </c>
    </row>
    <row r="4868" ht="15.2" spans="1:10">
      <c r="A4868" s="58" t="s">
        <v>5488</v>
      </c>
      <c r="B4868" s="59">
        <v>970.78</v>
      </c>
      <c r="C4868" s="59">
        <v>1499</v>
      </c>
      <c r="D4868" s="59" t="s">
        <v>803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ht="15.2" spans="1:10">
      <c r="A4869" s="58" t="s">
        <v>5489</v>
      </c>
      <c r="B4869" s="59">
        <v>299</v>
      </c>
      <c r="C4869" s="59">
        <v>628</v>
      </c>
      <c r="D4869" s="59" t="s">
        <v>801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ht="15.2" spans="1:10">
      <c r="A4870" s="58" t="s">
        <v>134</v>
      </c>
      <c r="B4870" s="59">
        <v>450</v>
      </c>
      <c r="C4870" s="59">
        <v>1008</v>
      </c>
      <c r="D4870" s="59" t="s">
        <v>801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</v>
      </c>
    </row>
    <row r="4871" ht="15.2" spans="1:10">
      <c r="A4871" s="58" t="s">
        <v>5490</v>
      </c>
      <c r="B4871" s="59">
        <v>1395.82</v>
      </c>
      <c r="C4871" s="59">
        <v>2299</v>
      </c>
      <c r="D4871" s="59" t="s">
        <v>803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ht="15.2" spans="1:10">
      <c r="A4872" s="58" t="s">
        <v>5491</v>
      </c>
      <c r="B4872" s="59">
        <v>290.78</v>
      </c>
      <c r="C4872" s="59">
        <v>449</v>
      </c>
      <c r="D4872" s="59" t="s">
        <v>803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581.56</v>
      </c>
      <c r="J4872" s="60">
        <f t="shared" si="231"/>
        <v>898</v>
      </c>
    </row>
    <row r="4873" ht="15.2" spans="1:10">
      <c r="A4873" s="58" t="s">
        <v>5492</v>
      </c>
      <c r="B4873" s="59">
        <v>1395.82</v>
      </c>
      <c r="C4873" s="59">
        <v>2299</v>
      </c>
      <c r="D4873" s="59" t="s">
        <v>803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ht="15.2" spans="1:10">
      <c r="A4874" s="58" t="s">
        <v>5493</v>
      </c>
      <c r="B4874" s="59">
        <v>262</v>
      </c>
      <c r="C4874" s="59">
        <v>575</v>
      </c>
      <c r="D4874" s="59" t="s">
        <v>801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366.8</v>
      </c>
      <c r="J4874" s="60">
        <f t="shared" si="231"/>
        <v>805</v>
      </c>
    </row>
    <row r="4875" ht="15.2" spans="1:10">
      <c r="A4875" s="58" t="s">
        <v>5494</v>
      </c>
      <c r="B4875" s="59">
        <v>409</v>
      </c>
      <c r="C4875" s="59">
        <v>1032</v>
      </c>
      <c r="D4875" s="59" t="s">
        <v>801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3312.9</v>
      </c>
      <c r="J4875" s="60">
        <f t="shared" si="231"/>
        <v>8359.2</v>
      </c>
    </row>
    <row r="4876" ht="15.2" spans="1:10">
      <c r="A4876" s="58" t="s">
        <v>5495</v>
      </c>
      <c r="B4876" s="59">
        <v>641</v>
      </c>
      <c r="C4876" s="59">
        <v>1589</v>
      </c>
      <c r="D4876" s="59" t="s">
        <v>801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6313.85</v>
      </c>
      <c r="J4876" s="60">
        <f t="shared" si="231"/>
        <v>15651.65</v>
      </c>
    </row>
    <row r="4877" ht="15.2" spans="1:10">
      <c r="A4877" s="58" t="s">
        <v>5496</v>
      </c>
      <c r="B4877" s="59">
        <v>1274.39</v>
      </c>
      <c r="C4877" s="59">
        <v>2099</v>
      </c>
      <c r="D4877" s="59" t="s">
        <v>803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</v>
      </c>
      <c r="J4877" s="60">
        <f t="shared" si="231"/>
        <v>2099</v>
      </c>
    </row>
    <row r="4878" ht="15.2" spans="1:10">
      <c r="A4878" s="58" t="s">
        <v>5497</v>
      </c>
      <c r="B4878" s="59">
        <v>1477.78</v>
      </c>
      <c r="C4878" s="59">
        <v>2299</v>
      </c>
      <c r="D4878" s="59" t="s">
        <v>803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ht="15.2" spans="1:10">
      <c r="A4879" s="58" t="s">
        <v>5498</v>
      </c>
      <c r="B4879" s="59">
        <v>274</v>
      </c>
      <c r="C4879" s="59">
        <v>590</v>
      </c>
      <c r="D4879" s="59" t="s">
        <v>801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ht="15.2" spans="1:10">
      <c r="A4880" s="58" t="s">
        <v>5499</v>
      </c>
      <c r="B4880" s="59">
        <v>361</v>
      </c>
      <c r="C4880" s="59">
        <v>806</v>
      </c>
      <c r="D4880" s="59" t="s">
        <v>801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</v>
      </c>
    </row>
    <row r="4881" ht="15.2" spans="1:10">
      <c r="A4881" s="58" t="s">
        <v>5500</v>
      </c>
      <c r="B4881" s="59">
        <v>525</v>
      </c>
      <c r="C4881" s="59">
        <v>1102</v>
      </c>
      <c r="D4881" s="59" t="s">
        <v>801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330.6</v>
      </c>
    </row>
    <row r="4882" ht="15.2" spans="1:10">
      <c r="A4882" s="58" t="s">
        <v>5501</v>
      </c>
      <c r="B4882" s="59">
        <v>1379.21</v>
      </c>
      <c r="C4882" s="59">
        <v>2099</v>
      </c>
      <c r="D4882" s="59" t="s">
        <v>803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ht="15.2" spans="1:10">
      <c r="A4883" s="58" t="s">
        <v>5502</v>
      </c>
      <c r="B4883" s="59">
        <v>288</v>
      </c>
      <c r="C4883" s="59">
        <v>624</v>
      </c>
      <c r="D4883" s="59" t="s">
        <v>801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ht="15.2" spans="1:10">
      <c r="A4884" s="58" t="s">
        <v>5503</v>
      </c>
      <c r="B4884" s="59">
        <v>0</v>
      </c>
      <c r="C4884" s="59">
        <v>0</v>
      </c>
      <c r="D4884" s="59" t="s">
        <v>815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ht="15.2" spans="1:10">
      <c r="A4885" s="58" t="s">
        <v>5504</v>
      </c>
      <c r="B4885" s="59">
        <v>1699.39</v>
      </c>
      <c r="C4885" s="59">
        <v>2799</v>
      </c>
      <c r="D4885" s="59" t="s">
        <v>803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ht="15.2" spans="1:10">
      <c r="A4886" s="58" t="s">
        <v>5505</v>
      </c>
      <c r="B4886" s="59">
        <v>1236.91</v>
      </c>
      <c r="C4886" s="59">
        <v>2099</v>
      </c>
      <c r="D4886" s="59" t="s">
        <v>803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</v>
      </c>
      <c r="J4886" s="60">
        <f t="shared" si="231"/>
        <v>2099</v>
      </c>
    </row>
    <row r="4887" ht="15.2" spans="1:10">
      <c r="A4887" s="58" t="s">
        <v>5506</v>
      </c>
      <c r="B4887" s="59">
        <v>451</v>
      </c>
      <c r="C4887" s="59">
        <v>938</v>
      </c>
      <c r="D4887" s="59" t="s">
        <v>801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135.3</v>
      </c>
      <c r="J4887" s="60">
        <f t="shared" si="231"/>
        <v>281.4</v>
      </c>
    </row>
    <row r="4888" ht="15.2" spans="1:10">
      <c r="A4888" s="58" t="s">
        <v>5507</v>
      </c>
      <c r="B4888" s="59">
        <v>881</v>
      </c>
      <c r="C4888" s="59">
        <v>2207</v>
      </c>
      <c r="D4888" s="59" t="s">
        <v>801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9867.2</v>
      </c>
      <c r="J4888" s="60">
        <f t="shared" si="231"/>
        <v>24718.4</v>
      </c>
    </row>
    <row r="4889" ht="15.2" spans="1:10">
      <c r="A4889" s="58" t="s">
        <v>5508</v>
      </c>
      <c r="B4889" s="59">
        <v>776.49</v>
      </c>
      <c r="C4889" s="59">
        <v>1199</v>
      </c>
      <c r="D4889" s="59" t="s">
        <v>803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ht="15.2" spans="1:10">
      <c r="A4890" s="58" t="s">
        <v>5509</v>
      </c>
      <c r="B4890" s="59">
        <v>374</v>
      </c>
      <c r="C4890" s="59">
        <v>803</v>
      </c>
      <c r="D4890" s="59" t="s">
        <v>801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ht="15.2" spans="1:10">
      <c r="A4891" s="58" t="s">
        <v>5510</v>
      </c>
      <c r="B4891" s="59">
        <v>1638.68</v>
      </c>
      <c r="C4891" s="59">
        <v>2699</v>
      </c>
      <c r="D4891" s="59" t="s">
        <v>803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ht="15.2" spans="1:10">
      <c r="A4892" s="58" t="s">
        <v>5511</v>
      </c>
      <c r="B4892" s="59">
        <v>1354.77</v>
      </c>
      <c r="C4892" s="59">
        <v>2299</v>
      </c>
      <c r="D4892" s="59" t="s">
        <v>803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ht="15.2" spans="1:10">
      <c r="A4893" s="58" t="s">
        <v>5512</v>
      </c>
      <c r="B4893" s="59">
        <v>1649.41</v>
      </c>
      <c r="C4893" s="59">
        <v>2799</v>
      </c>
      <c r="D4893" s="59" t="s">
        <v>803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ht="15.2" spans="1:10">
      <c r="A4894" s="58" t="s">
        <v>5513</v>
      </c>
      <c r="B4894" s="59">
        <v>1699.39</v>
      </c>
      <c r="C4894" s="59">
        <v>2799</v>
      </c>
      <c r="D4894" s="59" t="s">
        <v>803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ht="15.2" spans="1:10">
      <c r="A4895" s="58" t="s">
        <v>5514</v>
      </c>
      <c r="B4895" s="59">
        <v>1295.84</v>
      </c>
      <c r="C4895" s="59">
        <v>2199</v>
      </c>
      <c r="D4895" s="59" t="s">
        <v>803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ht="15.2" spans="1:10">
      <c r="A4896" s="58" t="s">
        <v>5515</v>
      </c>
      <c r="B4896" s="59">
        <v>2102</v>
      </c>
      <c r="C4896" s="59">
        <v>3199</v>
      </c>
      <c r="D4896" s="59" t="s">
        <v>803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ht="15.2" spans="1:10">
      <c r="A4897" s="58" t="s">
        <v>5516</v>
      </c>
      <c r="B4897" s="59">
        <v>776.49</v>
      </c>
      <c r="C4897" s="59">
        <v>1199</v>
      </c>
      <c r="D4897" s="59" t="s">
        <v>803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ht="15.2" spans="1:10">
      <c r="A4898" s="58" t="s">
        <v>5517</v>
      </c>
      <c r="B4898" s="59">
        <v>1295.84</v>
      </c>
      <c r="C4898" s="59">
        <v>2199</v>
      </c>
      <c r="D4898" s="59" t="s">
        <v>803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1295.84</v>
      </c>
      <c r="J4898" s="60">
        <f t="shared" si="231"/>
        <v>2199</v>
      </c>
    </row>
    <row r="4899" ht="15.2" spans="1:10">
      <c r="A4899" s="58" t="s">
        <v>5518</v>
      </c>
      <c r="B4899" s="59">
        <v>396</v>
      </c>
      <c r="C4899" s="59">
        <v>982</v>
      </c>
      <c r="D4899" s="59" t="s">
        <v>801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ht="15.2" spans="1:10">
      <c r="A4900" s="58" t="s">
        <v>5519</v>
      </c>
      <c r="B4900" s="59">
        <v>1738.7</v>
      </c>
      <c r="C4900" s="59">
        <v>2699</v>
      </c>
      <c r="D4900" s="59" t="s">
        <v>803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ht="15.2" spans="1:10">
      <c r="A4901" s="58" t="s">
        <v>5520</v>
      </c>
      <c r="B4901" s="59">
        <v>525</v>
      </c>
      <c r="C4901" s="59">
        <v>799</v>
      </c>
      <c r="D4901" s="59" t="s">
        <v>803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ht="15.2" spans="1:10">
      <c r="A4902" s="58" t="s">
        <v>5521</v>
      </c>
      <c r="B4902" s="59">
        <v>656.42</v>
      </c>
      <c r="C4902" s="59">
        <v>999</v>
      </c>
      <c r="D4902" s="59" t="s">
        <v>803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ht="15.2" spans="1:10">
      <c r="A4903" s="58" t="s">
        <v>5522</v>
      </c>
      <c r="B4903" s="59">
        <v>1649.41</v>
      </c>
      <c r="C4903" s="59">
        <v>2799</v>
      </c>
      <c r="D4903" s="59" t="s">
        <v>803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ht="15.2" spans="1:10">
      <c r="A4904" s="58" t="s">
        <v>5523</v>
      </c>
      <c r="B4904" s="59">
        <v>906.75</v>
      </c>
      <c r="C4904" s="59">
        <v>1399</v>
      </c>
      <c r="D4904" s="59" t="s">
        <v>803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ht="15.2" spans="1:10">
      <c r="A4905" s="58" t="s">
        <v>5524</v>
      </c>
      <c r="B4905" s="59">
        <v>1576.34</v>
      </c>
      <c r="C4905" s="59">
        <v>2399</v>
      </c>
      <c r="D4905" s="59" t="s">
        <v>803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ht="15.2" spans="1:10">
      <c r="A4906" s="58" t="s">
        <v>5525</v>
      </c>
      <c r="B4906" s="59">
        <v>911.44</v>
      </c>
      <c r="C4906" s="59">
        <v>1399</v>
      </c>
      <c r="D4906" s="59" t="s">
        <v>803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ht="15.2" spans="1:10">
      <c r="A4907" s="58" t="s">
        <v>5526</v>
      </c>
      <c r="B4907" s="59">
        <v>461</v>
      </c>
      <c r="C4907" s="59">
        <v>1098</v>
      </c>
      <c r="D4907" s="59" t="s">
        <v>801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ht="15.2" spans="1:10">
      <c r="A4908" s="58" t="s">
        <v>5527</v>
      </c>
      <c r="B4908" s="59">
        <v>3035.11</v>
      </c>
      <c r="C4908" s="59">
        <v>4999</v>
      </c>
      <c r="D4908" s="59" t="s">
        <v>803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ht="15.2" spans="1:10">
      <c r="A4909" s="58" t="s">
        <v>5528</v>
      </c>
      <c r="B4909" s="59">
        <v>1638.68</v>
      </c>
      <c r="C4909" s="59">
        <v>2699</v>
      </c>
      <c r="D4909" s="59" t="s">
        <v>803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ht="15.2" spans="1:10">
      <c r="A4910" s="58" t="s">
        <v>5529</v>
      </c>
      <c r="B4910" s="59">
        <v>1152.96</v>
      </c>
      <c r="C4910" s="59">
        <v>1899</v>
      </c>
      <c r="D4910" s="59" t="s">
        <v>803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ht="15.2" spans="1:10">
      <c r="A4911" s="58" t="s">
        <v>5530</v>
      </c>
      <c r="B4911" s="59">
        <v>1109.09</v>
      </c>
      <c r="C4911" s="59">
        <v>1699</v>
      </c>
      <c r="D4911" s="59" t="s">
        <v>803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ht="15.2" spans="1:10">
      <c r="A4912" s="58" t="s">
        <v>5531</v>
      </c>
      <c r="B4912" s="59">
        <v>448</v>
      </c>
      <c r="C4912" s="59">
        <v>1110</v>
      </c>
      <c r="D4912" s="59" t="s">
        <v>801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ht="15.2" spans="1:10">
      <c r="A4913" s="58" t="s">
        <v>5532</v>
      </c>
      <c r="B4913" s="59">
        <v>1517.25</v>
      </c>
      <c r="C4913" s="59">
        <v>2499</v>
      </c>
      <c r="D4913" s="59" t="s">
        <v>803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ht="15.2" spans="1:10">
      <c r="A4914" s="58" t="s">
        <v>5533</v>
      </c>
      <c r="B4914" s="59">
        <v>2061.91</v>
      </c>
      <c r="C4914" s="59">
        <v>3499</v>
      </c>
      <c r="D4914" s="59" t="s">
        <v>803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ht="15.2" spans="1:10">
      <c r="A4915" s="58" t="s">
        <v>5534</v>
      </c>
      <c r="B4915" s="59">
        <v>1229</v>
      </c>
      <c r="C4915" s="59">
        <v>2927</v>
      </c>
      <c r="D4915" s="59" t="s">
        <v>801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ht="15.2" spans="1:10">
      <c r="A4916" s="58" t="s">
        <v>5535</v>
      </c>
      <c r="B4916" s="59">
        <v>675</v>
      </c>
      <c r="C4916" s="59">
        <v>1418</v>
      </c>
      <c r="D4916" s="59" t="s">
        <v>801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ht="15.2" spans="1:10">
      <c r="A4917" s="58" t="s">
        <v>5536</v>
      </c>
      <c r="B4917" s="59">
        <v>841.26</v>
      </c>
      <c r="C4917" s="59">
        <v>1299</v>
      </c>
      <c r="D4917" s="59" t="s">
        <v>803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ht="15.2" spans="1:10">
      <c r="A4918" s="58" t="s">
        <v>5537</v>
      </c>
      <c r="B4918" s="59">
        <v>1517.25</v>
      </c>
      <c r="C4918" s="59">
        <v>2499</v>
      </c>
      <c r="D4918" s="59" t="s">
        <v>803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ht="15.2" spans="1:10">
      <c r="A4919" s="58" t="s">
        <v>5538</v>
      </c>
      <c r="B4919" s="59">
        <v>1354.77</v>
      </c>
      <c r="C4919" s="59">
        <v>2299</v>
      </c>
      <c r="D4919" s="59" t="s">
        <v>803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ht="15.2" spans="1:10">
      <c r="A4920" s="58" t="s">
        <v>5539</v>
      </c>
      <c r="B4920" s="59">
        <v>1444.92</v>
      </c>
      <c r="C4920" s="59">
        <v>2199</v>
      </c>
      <c r="D4920" s="59" t="s">
        <v>803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ht="15.2" spans="1:10">
      <c r="A4921" s="58" t="s">
        <v>5540</v>
      </c>
      <c r="B4921" s="59">
        <v>970.78</v>
      </c>
      <c r="C4921" s="59">
        <v>1499</v>
      </c>
      <c r="D4921" s="59" t="s">
        <v>803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ht="15.2" spans="1:10">
      <c r="A4922" s="58" t="s">
        <v>5541</v>
      </c>
      <c r="B4922" s="59">
        <v>656.42</v>
      </c>
      <c r="C4922" s="59">
        <v>999</v>
      </c>
      <c r="D4922" s="59" t="s">
        <v>803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ht="15.2" spans="1:10">
      <c r="A4923" s="58" t="s">
        <v>5542</v>
      </c>
      <c r="B4923" s="59">
        <v>1030.08</v>
      </c>
      <c r="C4923" s="59">
        <v>1599</v>
      </c>
      <c r="D4923" s="59" t="s">
        <v>803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ht="15.2" spans="1:10">
      <c r="A4924" s="58" t="s">
        <v>5543</v>
      </c>
      <c r="B4924" s="59">
        <v>582.21</v>
      </c>
      <c r="C4924" s="59">
        <v>899</v>
      </c>
      <c r="D4924" s="59" t="s">
        <v>803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ht="15.2" spans="1:10">
      <c r="A4925" s="58" t="s">
        <v>5544</v>
      </c>
      <c r="B4925" s="59">
        <v>525</v>
      </c>
      <c r="C4925" s="59">
        <v>799</v>
      </c>
      <c r="D4925" s="59" t="s">
        <v>803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ht="15.2" spans="1:10">
      <c r="A4926" s="58" t="s">
        <v>5545</v>
      </c>
      <c r="B4926" s="59">
        <v>646.97</v>
      </c>
      <c r="C4926" s="59">
        <v>999</v>
      </c>
      <c r="D4926" s="59" t="s">
        <v>803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ht="15.2" spans="1:10">
      <c r="A4927" s="58" t="s">
        <v>5546</v>
      </c>
      <c r="B4927" s="59">
        <v>525</v>
      </c>
      <c r="C4927" s="59">
        <v>1149</v>
      </c>
      <c r="D4927" s="59" t="s">
        <v>801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ht="15.2" spans="1:10">
      <c r="A4928" s="58" t="s">
        <v>5547</v>
      </c>
      <c r="B4928" s="59">
        <v>1416.6</v>
      </c>
      <c r="C4928" s="59">
        <v>2199</v>
      </c>
      <c r="D4928" s="59" t="s">
        <v>803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ht="15.2" spans="1:10">
      <c r="A4929" s="58" t="s">
        <v>5548</v>
      </c>
      <c r="B4929" s="59">
        <v>623</v>
      </c>
      <c r="C4929" s="59">
        <v>1387</v>
      </c>
      <c r="D4929" s="59" t="s">
        <v>801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4022.3</v>
      </c>
    </row>
    <row r="4930" ht="15.2" spans="1:10">
      <c r="A4930" s="58" t="s">
        <v>5549</v>
      </c>
      <c r="B4930" s="59">
        <v>641</v>
      </c>
      <c r="C4930" s="59">
        <v>1477</v>
      </c>
      <c r="D4930" s="59" t="s">
        <v>801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ht="15.2" spans="1:10">
      <c r="A4931" s="58" t="s">
        <v>5550</v>
      </c>
      <c r="B4931" s="59">
        <v>317.3</v>
      </c>
      <c r="C4931" s="59">
        <v>877</v>
      </c>
      <c r="D4931" s="59" t="s">
        <v>801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</v>
      </c>
    </row>
    <row r="4932" ht="15.2" spans="1:10">
      <c r="A4932" s="58" t="s">
        <v>5551</v>
      </c>
      <c r="B4932" s="59">
        <v>1510.63</v>
      </c>
      <c r="C4932" s="59">
        <v>2299</v>
      </c>
      <c r="D4932" s="59" t="s">
        <v>803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ht="15.2" spans="1:10">
      <c r="A4933" s="58" t="s">
        <v>5552</v>
      </c>
      <c r="B4933" s="59">
        <v>1094.5</v>
      </c>
      <c r="C4933" s="59">
        <v>1699</v>
      </c>
      <c r="D4933" s="59" t="s">
        <v>803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ht="15.2" spans="1:10">
      <c r="A4934" s="58" t="s">
        <v>5553</v>
      </c>
      <c r="B4934" s="59">
        <v>1395.82</v>
      </c>
      <c r="C4934" s="59">
        <v>2299</v>
      </c>
      <c r="D4934" s="59" t="s">
        <v>803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ht="15.2" spans="1:10">
      <c r="A4935" s="58" t="s">
        <v>5554</v>
      </c>
      <c r="B4935" s="59">
        <v>923</v>
      </c>
      <c r="C4935" s="59">
        <v>2182</v>
      </c>
      <c r="D4935" s="59" t="s">
        <v>801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ht="15.2" spans="1:10">
      <c r="A4936" s="58" t="s">
        <v>5555</v>
      </c>
      <c r="B4936" s="59">
        <v>984.96</v>
      </c>
      <c r="C4936" s="59">
        <v>1499</v>
      </c>
      <c r="D4936" s="59" t="s">
        <v>803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ht="15.2" spans="1:10">
      <c r="A4937" s="58" t="s">
        <v>5556</v>
      </c>
      <c r="B4937" s="59">
        <v>656.42</v>
      </c>
      <c r="C4937" s="59">
        <v>999</v>
      </c>
      <c r="D4937" s="59" t="s">
        <v>803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ht="15.2" spans="1:10">
      <c r="A4938" s="58" t="s">
        <v>5557</v>
      </c>
      <c r="B4938" s="59">
        <v>1092.25</v>
      </c>
      <c r="C4938" s="59">
        <v>1799</v>
      </c>
      <c r="D4938" s="59" t="s">
        <v>803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ht="15.2" spans="1:10">
      <c r="A4939" s="58" t="s">
        <v>5558</v>
      </c>
      <c r="B4939" s="59">
        <v>1177.98</v>
      </c>
      <c r="C4939" s="59">
        <v>1999</v>
      </c>
      <c r="D4939" s="59" t="s">
        <v>803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ht="15.2" spans="1:10">
      <c r="A4940" s="58" t="s">
        <v>5559</v>
      </c>
      <c r="B4940" s="59">
        <v>665</v>
      </c>
      <c r="C4940" s="59">
        <v>1669</v>
      </c>
      <c r="D4940" s="59" t="s">
        <v>801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ht="15.2" spans="1:10">
      <c r="A4941" s="58" t="s">
        <v>5560</v>
      </c>
      <c r="B4941" s="59">
        <v>525</v>
      </c>
      <c r="C4941" s="59">
        <v>799</v>
      </c>
      <c r="D4941" s="59" t="s">
        <v>803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ht="15.2" spans="1:10">
      <c r="A4942" s="58" t="s">
        <v>5561</v>
      </c>
      <c r="B4942" s="59">
        <v>1576.34</v>
      </c>
      <c r="C4942" s="59">
        <v>2399</v>
      </c>
      <c r="D4942" s="59" t="s">
        <v>803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ht="15.2" spans="1:10">
      <c r="A4943" s="58" t="s">
        <v>5562</v>
      </c>
      <c r="B4943" s="59">
        <v>1092.25</v>
      </c>
      <c r="C4943" s="59">
        <v>1799</v>
      </c>
      <c r="D4943" s="59" t="s">
        <v>803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ht="15.2" spans="1:10">
      <c r="A4944" s="58" t="s">
        <v>5563</v>
      </c>
      <c r="B4944" s="59">
        <v>325</v>
      </c>
      <c r="C4944" s="59">
        <v>683</v>
      </c>
      <c r="D4944" s="59" t="s">
        <v>801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227.5</v>
      </c>
      <c r="J4944" s="60">
        <f t="shared" si="234"/>
        <v>478.1</v>
      </c>
    </row>
    <row r="4945" ht="15.2" spans="1:10">
      <c r="A4945" s="58" t="s">
        <v>5564</v>
      </c>
      <c r="B4945" s="59">
        <v>495</v>
      </c>
      <c r="C4945" s="59">
        <v>1040</v>
      </c>
      <c r="D4945" s="59" t="s">
        <v>801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ht="15.2" spans="1:10">
      <c r="A4946" s="58" t="s">
        <v>5565</v>
      </c>
      <c r="B4946" s="59">
        <v>1119.05</v>
      </c>
      <c r="C4946" s="59">
        <v>1899</v>
      </c>
      <c r="D4946" s="59" t="s">
        <v>803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ht="15.2" spans="1:10">
      <c r="A4947" s="58" t="s">
        <v>5566</v>
      </c>
      <c r="B4947" s="59">
        <v>4249.39</v>
      </c>
      <c r="C4947" s="59">
        <v>6999</v>
      </c>
      <c r="D4947" s="59" t="s">
        <v>803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</v>
      </c>
      <c r="J4947" s="60">
        <f t="shared" si="234"/>
        <v>6999</v>
      </c>
    </row>
    <row r="4948" ht="15.2" spans="1:10">
      <c r="A4948" s="58" t="s">
        <v>5567</v>
      </c>
      <c r="B4948" s="59">
        <v>483</v>
      </c>
      <c r="C4948" s="59">
        <v>1149</v>
      </c>
      <c r="D4948" s="59" t="s">
        <v>801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</v>
      </c>
      <c r="J4948" s="60">
        <f t="shared" si="234"/>
        <v>14132.7</v>
      </c>
    </row>
    <row r="4949" ht="15.2" spans="1:10">
      <c r="A4949" s="58" t="s">
        <v>5568</v>
      </c>
      <c r="B4949" s="59">
        <v>1577.97</v>
      </c>
      <c r="C4949" s="59">
        <v>2599</v>
      </c>
      <c r="D4949" s="59" t="s">
        <v>803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ht="15.2" spans="1:10">
      <c r="A4950" s="58" t="s">
        <v>5569</v>
      </c>
      <c r="B4950" s="59">
        <v>0</v>
      </c>
      <c r="C4950" s="59">
        <v>0</v>
      </c>
      <c r="D4950" s="59" t="s">
        <v>991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ht="15.2" spans="1:10">
      <c r="A4951" s="58" t="s">
        <v>5570</v>
      </c>
      <c r="B4951" s="59">
        <v>2002.96</v>
      </c>
      <c r="C4951" s="59">
        <v>3299</v>
      </c>
      <c r="D4951" s="59" t="s">
        <v>803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ht="15.2" spans="1:10">
      <c r="A4952" s="58" t="s">
        <v>5571</v>
      </c>
      <c r="B4952" s="59">
        <v>1152.97</v>
      </c>
      <c r="C4952" s="59">
        <v>1899</v>
      </c>
      <c r="D4952" s="59" t="s">
        <v>803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ht="15.2" spans="1:10">
      <c r="A4953" s="58" t="s">
        <v>5572</v>
      </c>
      <c r="B4953" s="59">
        <v>398</v>
      </c>
      <c r="C4953" s="59">
        <v>857</v>
      </c>
      <c r="D4953" s="59" t="s">
        <v>801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</v>
      </c>
    </row>
    <row r="4954" ht="15.2" spans="1:10">
      <c r="A4954" s="58" t="s">
        <v>5573</v>
      </c>
      <c r="B4954" s="59">
        <v>1867.54</v>
      </c>
      <c r="C4954" s="59">
        <v>2899</v>
      </c>
      <c r="D4954" s="59" t="s">
        <v>803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ht="15.2" spans="1:10">
      <c r="A4955" s="58" t="s">
        <v>5574</v>
      </c>
      <c r="B4955" s="59">
        <v>2063.68</v>
      </c>
      <c r="C4955" s="59">
        <v>3399</v>
      </c>
      <c r="D4955" s="59" t="s">
        <v>803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4127.36</v>
      </c>
      <c r="J4955" s="60">
        <f t="shared" si="234"/>
        <v>6798</v>
      </c>
    </row>
    <row r="4956" ht="15.2" spans="1:10">
      <c r="A4956" s="58" t="s">
        <v>5575</v>
      </c>
      <c r="B4956" s="59">
        <v>494</v>
      </c>
      <c r="C4956" s="59">
        <v>1125</v>
      </c>
      <c r="D4956" s="59" t="s">
        <v>801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148.2</v>
      </c>
      <c r="J4956" s="60">
        <f t="shared" si="234"/>
        <v>337.5</v>
      </c>
    </row>
    <row r="4957" ht="15.2" spans="1:10">
      <c r="A4957" s="58" t="s">
        <v>5576</v>
      </c>
      <c r="B4957" s="59">
        <v>1536</v>
      </c>
      <c r="C4957" s="59">
        <v>3565</v>
      </c>
      <c r="D4957" s="59" t="s">
        <v>801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7372.8</v>
      </c>
      <c r="J4957" s="60">
        <f t="shared" si="234"/>
        <v>17112</v>
      </c>
    </row>
    <row r="4958" ht="15.2" spans="1:10">
      <c r="A4958" s="58" t="s">
        <v>5577</v>
      </c>
      <c r="B4958" s="59">
        <v>1177.98</v>
      </c>
      <c r="C4958" s="59">
        <v>1999</v>
      </c>
      <c r="D4958" s="59" t="s">
        <v>803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ht="15.2" spans="1:10">
      <c r="A4959" s="58" t="s">
        <v>5578</v>
      </c>
      <c r="B4959" s="59">
        <v>1699.39</v>
      </c>
      <c r="C4959" s="59">
        <v>2799</v>
      </c>
      <c r="D4959" s="59" t="s">
        <v>803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ht="15.2" spans="1:10">
      <c r="A4960" s="58" t="s">
        <v>5579</v>
      </c>
      <c r="B4960" s="59">
        <v>325</v>
      </c>
      <c r="C4960" s="59">
        <v>683</v>
      </c>
      <c r="D4960" s="59" t="s">
        <v>801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ht="15.2" spans="1:10">
      <c r="A4961" s="58" t="s">
        <v>5580</v>
      </c>
      <c r="B4961" s="59">
        <v>1931.96</v>
      </c>
      <c r="C4961" s="59">
        <v>2999</v>
      </c>
      <c r="D4961" s="59" t="s">
        <v>803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ht="15.2" spans="1:10">
      <c r="A4962" s="58" t="s">
        <v>243</v>
      </c>
      <c r="B4962" s="59">
        <v>316</v>
      </c>
      <c r="C4962" s="59">
        <v>830</v>
      </c>
      <c r="D4962" s="59" t="s">
        <v>801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ht="15.2" spans="1:10">
      <c r="A4963" s="58" t="s">
        <v>5581</v>
      </c>
      <c r="B4963" s="59">
        <v>614</v>
      </c>
      <c r="C4963" s="59">
        <v>1432</v>
      </c>
      <c r="D4963" s="59" t="s">
        <v>801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ht="15.2" spans="1:10">
      <c r="A4964" s="58" t="s">
        <v>5582</v>
      </c>
      <c r="B4964" s="59">
        <v>1274.39</v>
      </c>
      <c r="C4964" s="59">
        <v>2099</v>
      </c>
      <c r="D4964" s="59" t="s">
        <v>803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ht="15.2" spans="1:10">
      <c r="A4965" s="58" t="s">
        <v>689</v>
      </c>
      <c r="B4965" s="59">
        <v>629</v>
      </c>
      <c r="C4965" s="59">
        <v>1407</v>
      </c>
      <c r="D4965" s="59" t="s">
        <v>801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</v>
      </c>
      <c r="J4965" s="60">
        <f t="shared" si="234"/>
        <v>16602.6</v>
      </c>
    </row>
    <row r="4966" ht="15.2" spans="1:10">
      <c r="A4966" s="58" t="s">
        <v>5583</v>
      </c>
      <c r="B4966" s="59">
        <v>1510.63</v>
      </c>
      <c r="C4966" s="59">
        <v>2299</v>
      </c>
      <c r="D4966" s="59" t="s">
        <v>803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ht="15.2" spans="1:10">
      <c r="A4967" s="58" t="s">
        <v>5584</v>
      </c>
      <c r="B4967" s="59">
        <v>1092.25</v>
      </c>
      <c r="C4967" s="59">
        <v>1799</v>
      </c>
      <c r="D4967" s="59" t="s">
        <v>803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ht="15.2" spans="1:10">
      <c r="A4968" s="58" t="s">
        <v>5585</v>
      </c>
      <c r="B4968" s="59">
        <v>2651.2</v>
      </c>
      <c r="C4968" s="59">
        <v>4499</v>
      </c>
      <c r="D4968" s="59" t="s">
        <v>803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ht="15.2" spans="1:10">
      <c r="A4969" s="58" t="s">
        <v>5586</v>
      </c>
      <c r="B4969" s="59">
        <v>1352.18</v>
      </c>
      <c r="C4969" s="59">
        <v>2099</v>
      </c>
      <c r="D4969" s="59" t="s">
        <v>803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ht="15.2" spans="1:10">
      <c r="A4970" s="58" t="s">
        <v>5587</v>
      </c>
      <c r="B4970" s="59">
        <v>1274.39</v>
      </c>
      <c r="C4970" s="59">
        <v>2099</v>
      </c>
      <c r="D4970" s="59" t="s">
        <v>803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ht="15.2" spans="1:10">
      <c r="A4971" s="58" t="s">
        <v>5588</v>
      </c>
      <c r="B4971" s="59">
        <v>2913.68</v>
      </c>
      <c r="C4971" s="59">
        <v>4799</v>
      </c>
      <c r="D4971" s="59" t="s">
        <v>803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ht="15.2" spans="1:10">
      <c r="A4972" s="58" t="s">
        <v>5589</v>
      </c>
      <c r="B4972" s="59">
        <v>656.42</v>
      </c>
      <c r="C4972" s="59">
        <v>999</v>
      </c>
      <c r="D4972" s="59" t="s">
        <v>803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ht="15.2" spans="1:10">
      <c r="A4973" s="58" t="s">
        <v>5590</v>
      </c>
      <c r="B4973" s="59">
        <v>2651.2</v>
      </c>
      <c r="C4973" s="59">
        <v>4499</v>
      </c>
      <c r="D4973" s="59" t="s">
        <v>803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ht="15.2" spans="1:10">
      <c r="A4974" s="58" t="s">
        <v>5591</v>
      </c>
      <c r="B4974" s="59">
        <v>1379.21</v>
      </c>
      <c r="C4974" s="59">
        <v>2099</v>
      </c>
      <c r="D4974" s="59" t="s">
        <v>803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ht="15.2" spans="1:10">
      <c r="A4975" s="58" t="s">
        <v>5592</v>
      </c>
      <c r="B4975" s="59">
        <v>1182.09</v>
      </c>
      <c r="C4975" s="59">
        <v>1799</v>
      </c>
      <c r="D4975" s="59" t="s">
        <v>803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1182.09</v>
      </c>
      <c r="J4975" s="60">
        <f t="shared" si="234"/>
        <v>1799</v>
      </c>
    </row>
    <row r="4976" ht="15.2" spans="1:10">
      <c r="A4976" s="58" t="s">
        <v>332</v>
      </c>
      <c r="B4976" s="59">
        <v>489.3</v>
      </c>
      <c r="C4976" s="59">
        <v>1468</v>
      </c>
      <c r="D4976" s="59" t="s">
        <v>801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</v>
      </c>
      <c r="J4976" s="60">
        <f t="shared" si="234"/>
        <v>19084</v>
      </c>
    </row>
    <row r="4977" ht="15.2" spans="1:10">
      <c r="A4977" s="58" t="s">
        <v>5593</v>
      </c>
      <c r="B4977" s="59">
        <v>4124.41</v>
      </c>
      <c r="C4977" s="59">
        <v>6999</v>
      </c>
      <c r="D4977" s="59" t="s">
        <v>803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ht="15.2" spans="1:10">
      <c r="A4978" s="58" t="s">
        <v>5594</v>
      </c>
      <c r="B4978" s="59">
        <v>5302.98</v>
      </c>
      <c r="C4978" s="59">
        <v>8999</v>
      </c>
      <c r="D4978" s="59" t="s">
        <v>803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ht="15.2" spans="1:10">
      <c r="A4979" s="58" t="s">
        <v>5595</v>
      </c>
      <c r="B4979" s="59">
        <v>984.96</v>
      </c>
      <c r="C4979" s="59">
        <v>1499</v>
      </c>
      <c r="D4979" s="59" t="s">
        <v>803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ht="15.2" spans="1:10">
      <c r="A4980" s="58" t="s">
        <v>5596</v>
      </c>
      <c r="B4980" s="59">
        <v>1287.76</v>
      </c>
      <c r="C4980" s="59">
        <v>1999</v>
      </c>
      <c r="D4980" s="59" t="s">
        <v>803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ht="15.2" spans="1:10">
      <c r="A4981" s="58" t="s">
        <v>5597</v>
      </c>
      <c r="B4981" s="59">
        <v>525</v>
      </c>
      <c r="C4981" s="59">
        <v>799</v>
      </c>
      <c r="D4981" s="59" t="s">
        <v>803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ht="15.2" spans="1:10">
      <c r="A4982" s="58" t="s">
        <v>5598</v>
      </c>
      <c r="B4982" s="59">
        <v>1510.63</v>
      </c>
      <c r="C4982" s="59">
        <v>2299</v>
      </c>
      <c r="D4982" s="59" t="s">
        <v>803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ht="15.2" spans="1:10">
      <c r="A4983" s="58" t="s">
        <v>5599</v>
      </c>
      <c r="B4983" s="59">
        <v>1177.98</v>
      </c>
      <c r="C4983" s="59">
        <v>1999</v>
      </c>
      <c r="D4983" s="59" t="s">
        <v>803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ht="15.2" spans="1:10">
      <c r="A4984" s="58" t="s">
        <v>5600</v>
      </c>
      <c r="B4984" s="59">
        <v>938.4</v>
      </c>
      <c r="C4984" s="59">
        <v>1449</v>
      </c>
      <c r="D4984" s="59" t="s">
        <v>803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ht="15.2" spans="1:10">
      <c r="A4985" s="58" t="s">
        <v>5601</v>
      </c>
      <c r="B4985" s="59">
        <v>4124.41</v>
      </c>
      <c r="C4985" s="59">
        <v>6999</v>
      </c>
      <c r="D4985" s="59" t="s">
        <v>803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ht="15.2" spans="1:10">
      <c r="A4986" s="58" t="s">
        <v>5602</v>
      </c>
      <c r="B4986" s="59">
        <v>1182.09</v>
      </c>
      <c r="C4986" s="59">
        <v>1799</v>
      </c>
      <c r="D4986" s="59" t="s">
        <v>803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1182.09</v>
      </c>
      <c r="J4986" s="60">
        <f t="shared" si="234"/>
        <v>1799</v>
      </c>
    </row>
    <row r="4987" ht="15.2" spans="1:10">
      <c r="A4987" s="58" t="s">
        <v>5603</v>
      </c>
      <c r="B4987" s="59">
        <v>1970.58</v>
      </c>
      <c r="C4987" s="59">
        <v>2999</v>
      </c>
      <c r="D4987" s="59" t="s">
        <v>803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ht="15.2" spans="1:10">
      <c r="A4988" s="58" t="s">
        <v>5604</v>
      </c>
      <c r="B4988" s="59">
        <v>517.45</v>
      </c>
      <c r="C4988" s="59">
        <v>799</v>
      </c>
      <c r="D4988" s="59" t="s">
        <v>803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</v>
      </c>
      <c r="J4988" s="60">
        <f t="shared" si="234"/>
        <v>799</v>
      </c>
    </row>
    <row r="4989" ht="15.2" spans="1:10">
      <c r="A4989" s="58" t="s">
        <v>5605</v>
      </c>
      <c r="B4989" s="59">
        <v>787.84</v>
      </c>
      <c r="C4989" s="59">
        <v>1199</v>
      </c>
      <c r="D4989" s="59" t="s">
        <v>803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ht="15.2" spans="1:10">
      <c r="A4990" s="58" t="s">
        <v>5606</v>
      </c>
      <c r="B4990" s="59">
        <v>582.21</v>
      </c>
      <c r="C4990" s="59">
        <v>899</v>
      </c>
      <c r="D4990" s="59" t="s">
        <v>803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ht="15.2" spans="1:10">
      <c r="A4991" s="58" t="s">
        <v>5607</v>
      </c>
      <c r="B4991" s="59">
        <v>1158.92</v>
      </c>
      <c r="C4991" s="59">
        <v>1799</v>
      </c>
      <c r="D4991" s="59" t="s">
        <v>803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ht="15.2" spans="1:10">
      <c r="A4992" s="58" t="s">
        <v>5608</v>
      </c>
      <c r="B4992" s="59">
        <v>6677.96</v>
      </c>
      <c r="C4992" s="59">
        <v>10999</v>
      </c>
      <c r="D4992" s="59" t="s">
        <v>803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ht="15.2" spans="1:10">
      <c r="A4993" s="58" t="s">
        <v>5609</v>
      </c>
      <c r="B4993" s="59">
        <v>330</v>
      </c>
      <c r="C4993" s="59">
        <v>810</v>
      </c>
      <c r="D4993" s="59" t="s">
        <v>801</v>
      </c>
      <c r="E4993" s="59">
        <v>4.4</v>
      </c>
      <c r="F4993" s="59">
        <v>4.4</v>
      </c>
      <c r="G4993" s="59">
        <v>0</v>
      </c>
      <c r="H4993" s="60">
        <f t="shared" si="235"/>
        <v>4.4</v>
      </c>
      <c r="I4993" s="60">
        <f t="shared" si="233"/>
        <v>1452</v>
      </c>
      <c r="J4993" s="60">
        <f t="shared" si="234"/>
        <v>3564</v>
      </c>
    </row>
    <row r="4994" ht="15.2" spans="1:10">
      <c r="A4994" s="58" t="s">
        <v>5610</v>
      </c>
      <c r="B4994" s="59">
        <v>1577.96</v>
      </c>
      <c r="C4994" s="59">
        <v>2599</v>
      </c>
      <c r="D4994" s="59" t="s">
        <v>803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ht="15.2" spans="1:10">
      <c r="A4995" s="58" t="s">
        <v>5611</v>
      </c>
      <c r="B4995" s="59">
        <v>224</v>
      </c>
      <c r="C4995" s="59">
        <v>460</v>
      </c>
      <c r="D4995" s="59" t="s">
        <v>801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ht="15.2" spans="1:10">
      <c r="A4996" s="58" t="s">
        <v>5612</v>
      </c>
      <c r="B4996" s="59">
        <v>784</v>
      </c>
      <c r="C4996" s="59">
        <v>1999</v>
      </c>
      <c r="D4996" s="59" t="s">
        <v>801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ht="15.2" spans="1:10">
      <c r="A4997" s="58" t="s">
        <v>5613</v>
      </c>
      <c r="B4997" s="59">
        <v>656.42</v>
      </c>
      <c r="C4997" s="59">
        <v>999</v>
      </c>
      <c r="D4997" s="59" t="s">
        <v>803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ht="15.2" spans="1:10">
      <c r="A4998" s="58" t="s">
        <v>5614</v>
      </c>
      <c r="B4998" s="59">
        <v>1274.39</v>
      </c>
      <c r="C4998" s="59">
        <v>2099</v>
      </c>
      <c r="D4998" s="59" t="s">
        <v>803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ht="15.2" spans="1:10">
      <c r="A4999" s="58" t="s">
        <v>267</v>
      </c>
      <c r="B4999" s="59">
        <v>805</v>
      </c>
      <c r="C4999" s="59">
        <v>2063</v>
      </c>
      <c r="D4999" s="59" t="s">
        <v>801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ht="15.2" spans="1:10">
      <c r="A5000" s="58" t="s">
        <v>5615</v>
      </c>
      <c r="B5000" s="59">
        <v>1247.8</v>
      </c>
      <c r="C5000" s="59">
        <v>1899</v>
      </c>
      <c r="D5000" s="59" t="s">
        <v>803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ht="15.2" spans="1:10">
      <c r="A5001" s="58" t="s">
        <v>5616</v>
      </c>
      <c r="B5001" s="59">
        <v>1092.25</v>
      </c>
      <c r="C5001" s="59">
        <v>1799</v>
      </c>
      <c r="D5001" s="59" t="s">
        <v>803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ht="15.2" spans="1:10">
      <c r="A5002" s="58" t="s">
        <v>5617</v>
      </c>
      <c r="B5002" s="59">
        <v>7892.25</v>
      </c>
      <c r="C5002" s="59">
        <v>12999</v>
      </c>
      <c r="D5002" s="59" t="s">
        <v>803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ht="15.2" spans="1:10">
      <c r="A5003" s="58" t="s">
        <v>5618</v>
      </c>
      <c r="B5003" s="59">
        <v>1177.98</v>
      </c>
      <c r="C5003" s="59">
        <v>1999</v>
      </c>
      <c r="D5003" s="59" t="s">
        <v>803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ht="15.2" spans="1:10">
      <c r="A5004" s="58" t="s">
        <v>5619</v>
      </c>
      <c r="B5004" s="59">
        <v>1287.76</v>
      </c>
      <c r="C5004" s="59">
        <v>1999</v>
      </c>
      <c r="D5004" s="59" t="s">
        <v>803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ht="15.2" spans="1:10">
      <c r="A5005" s="58" t="s">
        <v>5620</v>
      </c>
      <c r="B5005" s="59">
        <v>623</v>
      </c>
      <c r="C5005" s="59">
        <v>1387</v>
      </c>
      <c r="D5005" s="59" t="s">
        <v>801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23509.65</v>
      </c>
    </row>
    <row r="5006" ht="15.2" spans="1:10">
      <c r="A5006" s="58" t="s">
        <v>5621</v>
      </c>
      <c r="B5006" s="59">
        <v>319.2</v>
      </c>
      <c r="C5006" s="59">
        <v>838</v>
      </c>
      <c r="D5006" s="59" t="s">
        <v>801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3575.04</v>
      </c>
      <c r="J5006" s="60">
        <f t="shared" si="237"/>
        <v>9385.6</v>
      </c>
    </row>
    <row r="5007" ht="15.2" spans="1:10">
      <c r="A5007" s="58" t="s">
        <v>5622</v>
      </c>
      <c r="B5007" s="59">
        <v>490</v>
      </c>
      <c r="C5007" s="59">
        <v>1110</v>
      </c>
      <c r="D5007" s="59" t="s">
        <v>801</v>
      </c>
      <c r="E5007" s="59">
        <v>16.9</v>
      </c>
      <c r="F5007" s="59">
        <v>16.9</v>
      </c>
      <c r="G5007" s="59">
        <v>0</v>
      </c>
      <c r="H5007" s="60">
        <f t="shared" si="235"/>
        <v>16.9</v>
      </c>
      <c r="I5007" s="60">
        <f t="shared" si="236"/>
        <v>8281</v>
      </c>
      <c r="J5007" s="60">
        <f t="shared" si="237"/>
        <v>18759</v>
      </c>
    </row>
    <row r="5008" ht="15.2" spans="1:10">
      <c r="A5008" s="58" t="s">
        <v>5623</v>
      </c>
      <c r="B5008" s="59">
        <v>475</v>
      </c>
      <c r="C5008" s="59">
        <v>1057</v>
      </c>
      <c r="D5008" s="59" t="s">
        <v>801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1796.9</v>
      </c>
    </row>
    <row r="5009" ht="15.2" spans="1:10">
      <c r="A5009" s="58" t="s">
        <v>5624</v>
      </c>
      <c r="B5009" s="59">
        <v>1577.96</v>
      </c>
      <c r="C5009" s="59">
        <v>2599</v>
      </c>
      <c r="D5009" s="59" t="s">
        <v>803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ht="15.2" spans="1:10">
      <c r="A5010" s="58" t="s">
        <v>5625</v>
      </c>
      <c r="B5010" s="59">
        <v>1274.4</v>
      </c>
      <c r="C5010" s="59">
        <v>2099</v>
      </c>
      <c r="D5010" s="59" t="s">
        <v>803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ht="15.2" spans="1:10">
      <c r="A5011" s="58" t="s">
        <v>5626</v>
      </c>
      <c r="B5011" s="59">
        <v>841.26</v>
      </c>
      <c r="C5011" s="59">
        <v>1299</v>
      </c>
      <c r="D5011" s="59" t="s">
        <v>803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ht="15.2" spans="1:10">
      <c r="A5012" s="58" t="s">
        <v>5627</v>
      </c>
      <c r="B5012" s="59">
        <v>409</v>
      </c>
      <c r="C5012" s="59">
        <v>1032</v>
      </c>
      <c r="D5012" s="59" t="s">
        <v>801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572.6</v>
      </c>
      <c r="J5012" s="60">
        <f t="shared" si="237"/>
        <v>1444.8</v>
      </c>
    </row>
    <row r="5013" ht="15.2" spans="1:10">
      <c r="A5013" s="58" t="s">
        <v>5628</v>
      </c>
      <c r="B5013" s="59">
        <v>332.5</v>
      </c>
      <c r="C5013" s="59">
        <v>998</v>
      </c>
      <c r="D5013" s="59" t="s">
        <v>801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3890.25</v>
      </c>
      <c r="J5013" s="60">
        <f t="shared" si="237"/>
        <v>11676.6</v>
      </c>
    </row>
    <row r="5014" ht="15.2" spans="1:10">
      <c r="A5014" s="58" t="s">
        <v>5629</v>
      </c>
      <c r="B5014" s="59">
        <v>1694</v>
      </c>
      <c r="C5014" s="59">
        <v>3793</v>
      </c>
      <c r="D5014" s="59" t="s">
        <v>801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ht="15.2" spans="1:10">
      <c r="A5015" s="58" t="s">
        <v>5630</v>
      </c>
      <c r="B5015" s="59">
        <v>511</v>
      </c>
      <c r="C5015" s="59">
        <v>1263</v>
      </c>
      <c r="D5015" s="59" t="s">
        <v>801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</v>
      </c>
    </row>
    <row r="5016" ht="15.2" spans="1:10">
      <c r="A5016" s="58" t="s">
        <v>5631</v>
      </c>
      <c r="B5016" s="59">
        <v>970.82</v>
      </c>
      <c r="C5016" s="59">
        <v>1599</v>
      </c>
      <c r="D5016" s="59" t="s">
        <v>803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ht="15.2" spans="1:10">
      <c r="A5017" s="58" t="s">
        <v>5632</v>
      </c>
      <c r="B5017" s="59">
        <v>4856.54</v>
      </c>
      <c r="C5017" s="59">
        <v>7999</v>
      </c>
      <c r="D5017" s="59" t="s">
        <v>803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ht="15.2" spans="1:10">
      <c r="A5018" s="58" t="s">
        <v>5633</v>
      </c>
      <c r="B5018" s="59">
        <v>378</v>
      </c>
      <c r="C5018" s="59">
        <v>815</v>
      </c>
      <c r="D5018" s="59" t="s">
        <v>801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ht="15.2" spans="1:10">
      <c r="A5019" s="58" t="s">
        <v>24</v>
      </c>
      <c r="B5019" s="59">
        <v>279.3</v>
      </c>
      <c r="C5019" s="59">
        <v>838</v>
      </c>
      <c r="D5019" s="59" t="s">
        <v>801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ht="15.2" spans="1:10">
      <c r="A5020" s="58" t="s">
        <v>5634</v>
      </c>
      <c r="B5020" s="59">
        <v>1970.58</v>
      </c>
      <c r="C5020" s="59">
        <v>2999</v>
      </c>
      <c r="D5020" s="59" t="s">
        <v>803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ht="15.2" spans="1:10">
      <c r="A5021" s="58" t="s">
        <v>5635</v>
      </c>
      <c r="B5021" s="59">
        <v>874</v>
      </c>
      <c r="C5021" s="59">
        <v>2048</v>
      </c>
      <c r="D5021" s="59" t="s">
        <v>801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ht="15.2" spans="1:10">
      <c r="A5022" s="58" t="s">
        <v>5636</v>
      </c>
      <c r="B5022" s="59">
        <v>1313.5</v>
      </c>
      <c r="C5022" s="59">
        <v>1999</v>
      </c>
      <c r="D5022" s="59" t="s">
        <v>803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ht="15.2" spans="1:10">
      <c r="A5023" s="58" t="s">
        <v>5637</v>
      </c>
      <c r="B5023" s="59">
        <v>1456.54</v>
      </c>
      <c r="C5023" s="59">
        <v>2399</v>
      </c>
      <c r="D5023" s="59" t="s">
        <v>803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ht="15.2" spans="1:10">
      <c r="A5024" s="58" t="s">
        <v>5638</v>
      </c>
      <c r="B5024" s="59">
        <v>1236.91</v>
      </c>
      <c r="C5024" s="59">
        <v>2099</v>
      </c>
      <c r="D5024" s="59" t="s">
        <v>803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</v>
      </c>
      <c r="J5024" s="60">
        <f t="shared" si="237"/>
        <v>4198</v>
      </c>
    </row>
    <row r="5025" ht="15.2" spans="1:10">
      <c r="A5025" s="58" t="s">
        <v>5639</v>
      </c>
      <c r="B5025" s="59">
        <v>487</v>
      </c>
      <c r="C5025" s="59">
        <v>1107</v>
      </c>
      <c r="D5025" s="59" t="s">
        <v>801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</v>
      </c>
    </row>
    <row r="5026" ht="15.2" spans="1:10">
      <c r="A5026" s="58" t="s">
        <v>5640</v>
      </c>
      <c r="B5026" s="59">
        <v>841.26</v>
      </c>
      <c r="C5026" s="59">
        <v>1299</v>
      </c>
      <c r="D5026" s="59" t="s">
        <v>803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ht="15.2" spans="1:10">
      <c r="A5027" s="58" t="s">
        <v>5641</v>
      </c>
      <c r="B5027" s="59">
        <v>2627.66</v>
      </c>
      <c r="C5027" s="59">
        <v>3999</v>
      </c>
      <c r="D5027" s="59" t="s">
        <v>803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ht="15.2" spans="1:10">
      <c r="A5028" s="58" t="s">
        <v>5642</v>
      </c>
      <c r="B5028" s="59">
        <v>1456.54</v>
      </c>
      <c r="C5028" s="59">
        <v>2399</v>
      </c>
      <c r="D5028" s="59" t="s">
        <v>803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ht="15.2" spans="1:10">
      <c r="A5029" s="58" t="s">
        <v>5643</v>
      </c>
      <c r="B5029" s="59">
        <v>306</v>
      </c>
      <c r="C5029" s="59">
        <v>765</v>
      </c>
      <c r="D5029" s="59" t="s">
        <v>801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ht="15.2" spans="1:10">
      <c r="A5030" s="58" t="s">
        <v>5644</v>
      </c>
      <c r="B5030" s="59">
        <v>615</v>
      </c>
      <c r="C5030" s="59">
        <v>1447</v>
      </c>
      <c r="D5030" s="59" t="s">
        <v>801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</v>
      </c>
    </row>
    <row r="5031" ht="15.2" spans="1:10">
      <c r="A5031" s="58" t="s">
        <v>5645</v>
      </c>
      <c r="B5031" s="59">
        <v>1274.4</v>
      </c>
      <c r="C5031" s="59">
        <v>2099</v>
      </c>
      <c r="D5031" s="59" t="s">
        <v>803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</v>
      </c>
      <c r="J5031" s="60">
        <f t="shared" si="237"/>
        <v>2099</v>
      </c>
    </row>
    <row r="5032" ht="15.2" spans="1:10">
      <c r="A5032" s="58" t="s">
        <v>5646</v>
      </c>
      <c r="B5032" s="59">
        <v>375</v>
      </c>
      <c r="C5032" s="59">
        <v>830</v>
      </c>
      <c r="D5032" s="59" t="s">
        <v>801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ht="15.2" spans="1:10">
      <c r="A5033" s="58" t="s">
        <v>5647</v>
      </c>
      <c r="B5033" s="59">
        <v>656.42</v>
      </c>
      <c r="C5033" s="59">
        <v>999</v>
      </c>
      <c r="D5033" s="59" t="s">
        <v>803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ht="15.2" spans="1:10">
      <c r="A5034" s="58" t="s">
        <v>5648</v>
      </c>
      <c r="B5034" s="59">
        <v>500</v>
      </c>
      <c r="C5034" s="59">
        <v>1132</v>
      </c>
      <c r="D5034" s="59" t="s">
        <v>801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7697.6</v>
      </c>
    </row>
    <row r="5035" ht="15.2" spans="1:10">
      <c r="A5035" s="58" t="s">
        <v>5649</v>
      </c>
      <c r="B5035" s="59">
        <v>656.42</v>
      </c>
      <c r="C5035" s="59">
        <v>999</v>
      </c>
      <c r="D5035" s="59" t="s">
        <v>803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ht="15.2" spans="1:10">
      <c r="A5036" s="58" t="s">
        <v>5650</v>
      </c>
      <c r="B5036" s="59">
        <v>582.21</v>
      </c>
      <c r="C5036" s="59">
        <v>899</v>
      </c>
      <c r="D5036" s="59" t="s">
        <v>803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ht="15.2" spans="1:10">
      <c r="A5037" s="58" t="s">
        <v>5651</v>
      </c>
      <c r="B5037" s="59">
        <v>299</v>
      </c>
      <c r="C5037" s="59">
        <v>628</v>
      </c>
      <c r="D5037" s="59" t="s">
        <v>801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ht="15.2" spans="1:10">
      <c r="A5038" s="58" t="s">
        <v>5652</v>
      </c>
      <c r="B5038" s="59">
        <v>525</v>
      </c>
      <c r="C5038" s="59">
        <v>799</v>
      </c>
      <c r="D5038" s="59" t="s">
        <v>803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ht="15.2" spans="1:10">
      <c r="A5039" s="58" t="s">
        <v>5653</v>
      </c>
      <c r="B5039" s="59">
        <v>295.02</v>
      </c>
      <c r="C5039" s="59">
        <v>449</v>
      </c>
      <c r="D5039" s="59" t="s">
        <v>803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ht="15.2" spans="1:10">
      <c r="A5040" s="58" t="s">
        <v>5654</v>
      </c>
      <c r="B5040" s="59">
        <v>1177.98</v>
      </c>
      <c r="C5040" s="59">
        <v>1999</v>
      </c>
      <c r="D5040" s="59" t="s">
        <v>803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ht="15.2" spans="1:10">
      <c r="A5041" s="58" t="s">
        <v>5655</v>
      </c>
      <c r="B5041" s="59">
        <v>3642.25</v>
      </c>
      <c r="C5041" s="59">
        <v>5999</v>
      </c>
      <c r="D5041" s="59" t="s">
        <v>803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ht="15.2" spans="1:10">
      <c r="A5042" s="58" t="s">
        <v>5656</v>
      </c>
      <c r="B5042" s="59">
        <v>6481.55</v>
      </c>
      <c r="C5042" s="59">
        <v>10999</v>
      </c>
      <c r="D5042" s="59" t="s">
        <v>803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ht="15.2" spans="1:10">
      <c r="A5043" s="58" t="s">
        <v>5657</v>
      </c>
      <c r="B5043" s="59">
        <v>555</v>
      </c>
      <c r="C5043" s="59">
        <v>1166</v>
      </c>
      <c r="D5043" s="59" t="s">
        <v>801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</v>
      </c>
    </row>
    <row r="5044" ht="15.2" spans="1:10">
      <c r="A5044" s="58" t="s">
        <v>5658</v>
      </c>
      <c r="B5044" s="59">
        <v>1558.85</v>
      </c>
      <c r="C5044" s="59">
        <v>2499</v>
      </c>
      <c r="D5044" s="59" t="s">
        <v>803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4676.55</v>
      </c>
      <c r="J5044" s="60">
        <f t="shared" si="237"/>
        <v>7497</v>
      </c>
    </row>
    <row r="5045" ht="15.2" spans="1:10">
      <c r="A5045" s="58" t="s">
        <v>5659</v>
      </c>
      <c r="B5045" s="59">
        <v>841.26</v>
      </c>
      <c r="C5045" s="59">
        <v>1299</v>
      </c>
      <c r="D5045" s="59" t="s">
        <v>803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ht="15.2" spans="1:10">
      <c r="A5046" s="58" t="s">
        <v>5660</v>
      </c>
      <c r="B5046" s="59">
        <v>395</v>
      </c>
      <c r="C5046" s="59">
        <v>935</v>
      </c>
      <c r="D5046" s="59" t="s">
        <v>801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ht="15.2" spans="1:10">
      <c r="A5047" s="58" t="s">
        <v>5661</v>
      </c>
      <c r="B5047" s="59">
        <v>1517.25</v>
      </c>
      <c r="C5047" s="59">
        <v>2499</v>
      </c>
      <c r="D5047" s="59" t="s">
        <v>803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ht="15.2" spans="1:10">
      <c r="A5048" s="58" t="s">
        <v>5662</v>
      </c>
      <c r="B5048" s="59">
        <v>449</v>
      </c>
      <c r="C5048" s="59">
        <v>999</v>
      </c>
      <c r="D5048" s="59" t="s">
        <v>801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</v>
      </c>
      <c r="J5048" s="60">
        <f t="shared" si="237"/>
        <v>2847.15</v>
      </c>
    </row>
    <row r="5049" ht="15.2" spans="1:10">
      <c r="A5049" s="58" t="s">
        <v>5663</v>
      </c>
      <c r="B5049" s="59">
        <v>1050.67</v>
      </c>
      <c r="C5049" s="59">
        <v>1599</v>
      </c>
      <c r="D5049" s="59" t="s">
        <v>803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ht="15.2" spans="1:10">
      <c r="A5050" s="58" t="s">
        <v>5664</v>
      </c>
      <c r="B5050" s="59">
        <v>212</v>
      </c>
      <c r="C5050" s="59">
        <v>599</v>
      </c>
      <c r="D5050" s="59" t="s">
        <v>801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ht="15.2" spans="1:10">
      <c r="A5051" s="58" t="s">
        <v>5665</v>
      </c>
      <c r="B5051" s="59">
        <v>799</v>
      </c>
      <c r="C5051" s="59">
        <v>1678</v>
      </c>
      <c r="D5051" s="59" t="s">
        <v>801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ht="15.2" spans="1:10">
      <c r="A5052" s="58" t="s">
        <v>5666</v>
      </c>
      <c r="B5052" s="59">
        <v>1576.34</v>
      </c>
      <c r="C5052" s="59">
        <v>2399</v>
      </c>
      <c r="D5052" s="59" t="s">
        <v>803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ht="15.2" spans="1:10">
      <c r="A5053" s="58" t="s">
        <v>5667</v>
      </c>
      <c r="B5053" s="59">
        <v>1158.92</v>
      </c>
      <c r="C5053" s="59">
        <v>1799</v>
      </c>
      <c r="D5053" s="59" t="s">
        <v>803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ht="15.2" spans="1:10">
      <c r="A5054" s="58" t="s">
        <v>5668</v>
      </c>
      <c r="B5054" s="59">
        <v>1287.76</v>
      </c>
      <c r="C5054" s="59">
        <v>1999</v>
      </c>
      <c r="D5054" s="59" t="s">
        <v>803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ht="15.2" spans="1:10">
      <c r="A5055" s="58" t="s">
        <v>73</v>
      </c>
      <c r="B5055" s="59">
        <v>2513.47</v>
      </c>
      <c r="C5055" s="59">
        <v>5670</v>
      </c>
      <c r="D5055" s="59" t="s">
        <v>801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18474.0045</v>
      </c>
      <c r="J5055" s="60">
        <f t="shared" si="237"/>
        <v>41674.5</v>
      </c>
    </row>
    <row r="5056" ht="15.2" spans="1:10">
      <c r="A5056" s="58" t="s">
        <v>5669</v>
      </c>
      <c r="B5056" s="59">
        <v>949</v>
      </c>
      <c r="C5056" s="59">
        <v>1993</v>
      </c>
      <c r="D5056" s="59" t="s">
        <v>801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ht="15.2" spans="1:10">
      <c r="A5057" s="58" t="s">
        <v>5670</v>
      </c>
      <c r="B5057" s="59">
        <v>819</v>
      </c>
      <c r="C5057" s="59">
        <v>1910</v>
      </c>
      <c r="D5057" s="59" t="s">
        <v>801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ht="15.2" spans="1:10">
      <c r="A5058" s="58" t="s">
        <v>5671</v>
      </c>
      <c r="B5058" s="59">
        <v>409</v>
      </c>
      <c r="C5058" s="59">
        <v>970</v>
      </c>
      <c r="D5058" s="59" t="s">
        <v>801</v>
      </c>
      <c r="E5058" s="59">
        <v>9.7</v>
      </c>
      <c r="F5058" s="59">
        <v>9.7</v>
      </c>
      <c r="G5058" s="59">
        <v>0</v>
      </c>
      <c r="H5058" s="60">
        <f t="shared" si="238"/>
        <v>9.7</v>
      </c>
      <c r="I5058" s="60">
        <f t="shared" ref="I5058:I5121" si="239">B5058*H5058</f>
        <v>3967.3</v>
      </c>
      <c r="J5058" s="60">
        <f t="shared" ref="J5058:J5121" si="240">C5058*H5058</f>
        <v>9409</v>
      </c>
    </row>
    <row r="5059" ht="15.2" spans="1:10">
      <c r="A5059" s="58" t="s">
        <v>5672</v>
      </c>
      <c r="B5059" s="59">
        <v>1638.68</v>
      </c>
      <c r="C5059" s="59">
        <v>2699</v>
      </c>
      <c r="D5059" s="59" t="s">
        <v>803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ht="15.2" spans="1:10">
      <c r="A5060" s="58" t="s">
        <v>5673</v>
      </c>
      <c r="B5060" s="59">
        <v>1517.25</v>
      </c>
      <c r="C5060" s="59">
        <v>2499</v>
      </c>
      <c r="D5060" s="59" t="s">
        <v>803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ht="15.2" spans="1:10">
      <c r="A5061" s="58" t="s">
        <v>5674</v>
      </c>
      <c r="B5061" s="59">
        <v>1313.5</v>
      </c>
      <c r="C5061" s="59">
        <v>1999</v>
      </c>
      <c r="D5061" s="59" t="s">
        <v>803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ht="15.2" spans="1:10">
      <c r="A5062" s="58" t="s">
        <v>5675</v>
      </c>
      <c r="B5062" s="59">
        <v>299</v>
      </c>
      <c r="C5062" s="59">
        <v>660</v>
      </c>
      <c r="D5062" s="59" t="s">
        <v>801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ht="15.2" spans="1:10">
      <c r="A5063" s="58" t="s">
        <v>5676</v>
      </c>
      <c r="B5063" s="59">
        <v>259</v>
      </c>
      <c r="C5063" s="59">
        <v>601</v>
      </c>
      <c r="D5063" s="59" t="s">
        <v>801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ht="15.2" spans="1:10">
      <c r="A5064" s="58" t="s">
        <v>5677</v>
      </c>
      <c r="B5064" s="59">
        <v>1577.97</v>
      </c>
      <c r="C5064" s="59">
        <v>2599</v>
      </c>
      <c r="D5064" s="59" t="s">
        <v>803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ht="15.2" spans="1:10">
      <c r="A5065" s="58" t="s">
        <v>5678</v>
      </c>
      <c r="B5065" s="59">
        <v>0</v>
      </c>
      <c r="C5065" s="59">
        <v>0</v>
      </c>
      <c r="D5065" s="59" t="s">
        <v>815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ht="15.2" spans="1:10">
      <c r="A5066" s="58" t="s">
        <v>5679</v>
      </c>
      <c r="B5066" s="59">
        <v>1820.82</v>
      </c>
      <c r="C5066" s="59">
        <v>2999</v>
      </c>
      <c r="D5066" s="59" t="s">
        <v>803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ht="15.2" spans="1:10">
      <c r="A5067" s="58" t="s">
        <v>5680</v>
      </c>
      <c r="B5067" s="59">
        <v>2102</v>
      </c>
      <c r="C5067" s="59">
        <v>3199</v>
      </c>
      <c r="D5067" s="59" t="s">
        <v>803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ht="15.2" spans="1:10">
      <c r="A5068" s="58" t="s">
        <v>50</v>
      </c>
      <c r="B5068" s="59">
        <v>399</v>
      </c>
      <c r="C5068" s="59">
        <v>927</v>
      </c>
      <c r="D5068" s="59" t="s">
        <v>801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ht="15.2" spans="1:10">
      <c r="A5069" s="58" t="s">
        <v>5681</v>
      </c>
      <c r="B5069" s="59">
        <v>1456.54</v>
      </c>
      <c r="C5069" s="59">
        <v>2399</v>
      </c>
      <c r="D5069" s="59" t="s">
        <v>803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ht="15.2" spans="1:10">
      <c r="A5070" s="58" t="s">
        <v>5682</v>
      </c>
      <c r="B5070" s="59">
        <v>1092.25</v>
      </c>
      <c r="C5070" s="59">
        <v>1799</v>
      </c>
      <c r="D5070" s="59" t="s">
        <v>803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ht="15.2" spans="1:10">
      <c r="A5071" s="58" t="s">
        <v>5683</v>
      </c>
      <c r="B5071" s="59">
        <v>1182.09</v>
      </c>
      <c r="C5071" s="59">
        <v>1799</v>
      </c>
      <c r="D5071" s="59" t="s">
        <v>803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ht="15.2" spans="1:10">
      <c r="A5072" s="58" t="s">
        <v>5684</v>
      </c>
      <c r="B5072" s="59">
        <v>599</v>
      </c>
      <c r="C5072" s="59">
        <v>1407</v>
      </c>
      <c r="D5072" s="59" t="s">
        <v>801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</v>
      </c>
      <c r="J5072" s="60">
        <f t="shared" si="240"/>
        <v>281.4</v>
      </c>
    </row>
    <row r="5073" ht="15.2" spans="1:10">
      <c r="A5073" s="58" t="s">
        <v>5685</v>
      </c>
      <c r="B5073" s="59">
        <v>841.26</v>
      </c>
      <c r="C5073" s="59">
        <v>1299</v>
      </c>
      <c r="D5073" s="59" t="s">
        <v>803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ht="15.2" spans="1:10">
      <c r="A5074" s="58" t="s">
        <v>5686</v>
      </c>
      <c r="B5074" s="59">
        <v>319</v>
      </c>
      <c r="C5074" s="59">
        <v>705</v>
      </c>
      <c r="D5074" s="59" t="s">
        <v>801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ht="15.2" spans="1:10">
      <c r="A5075" s="58" t="s">
        <v>5687</v>
      </c>
      <c r="B5075" s="59">
        <v>1638.68</v>
      </c>
      <c r="C5075" s="59">
        <v>2699</v>
      </c>
      <c r="D5075" s="59" t="s">
        <v>803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ht="15.2" spans="1:10">
      <c r="A5076" s="58" t="s">
        <v>5688</v>
      </c>
      <c r="B5076" s="59">
        <v>1395.82</v>
      </c>
      <c r="C5076" s="59">
        <v>2299</v>
      </c>
      <c r="D5076" s="59" t="s">
        <v>803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ht="15.2" spans="1:10">
      <c r="A5077" s="58" t="s">
        <v>5689</v>
      </c>
      <c r="B5077" s="59">
        <v>2002.96</v>
      </c>
      <c r="C5077" s="59">
        <v>3299</v>
      </c>
      <c r="D5077" s="59" t="s">
        <v>803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ht="15.2" spans="1:10">
      <c r="A5078" s="58" t="s">
        <v>5690</v>
      </c>
      <c r="B5078" s="59">
        <v>1274.39</v>
      </c>
      <c r="C5078" s="59">
        <v>2099</v>
      </c>
      <c r="D5078" s="59" t="s">
        <v>803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ht="15.2" spans="1:10">
      <c r="A5079" s="58" t="s">
        <v>5691</v>
      </c>
      <c r="B5079" s="59">
        <v>252</v>
      </c>
      <c r="C5079" s="59">
        <v>585</v>
      </c>
      <c r="D5079" s="59" t="s">
        <v>801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ht="15.2" spans="1:10">
      <c r="A5080" s="58" t="s">
        <v>5692</v>
      </c>
      <c r="B5080" s="59">
        <v>292</v>
      </c>
      <c r="C5080" s="59">
        <v>711</v>
      </c>
      <c r="D5080" s="59" t="s">
        <v>801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ht="15.2" spans="1:10">
      <c r="A5081" s="58" t="s">
        <v>5693</v>
      </c>
      <c r="B5081" s="59">
        <v>519.4</v>
      </c>
      <c r="C5081" s="59">
        <v>1466</v>
      </c>
      <c r="D5081" s="59" t="s">
        <v>801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ht="15.2" spans="1:10">
      <c r="A5082" s="58" t="s">
        <v>5694</v>
      </c>
      <c r="B5082" s="59">
        <v>525</v>
      </c>
      <c r="C5082" s="59">
        <v>1172</v>
      </c>
      <c r="D5082" s="59" t="s">
        <v>801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ht="15.2" spans="1:10">
      <c r="A5083" s="58" t="s">
        <v>5695</v>
      </c>
      <c r="B5083" s="59">
        <v>1577.97</v>
      </c>
      <c r="C5083" s="59">
        <v>2599</v>
      </c>
      <c r="D5083" s="59" t="s">
        <v>803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ht="15.2" spans="1:10">
      <c r="A5084" s="58" t="s">
        <v>5696</v>
      </c>
      <c r="B5084" s="59">
        <v>3642.25</v>
      </c>
      <c r="C5084" s="59">
        <v>5999</v>
      </c>
      <c r="D5084" s="59" t="s">
        <v>803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ht="15.2" spans="1:10">
      <c r="A5085" s="58" t="s">
        <v>5697</v>
      </c>
      <c r="B5085" s="59">
        <v>1510.63</v>
      </c>
      <c r="C5085" s="59">
        <v>2299</v>
      </c>
      <c r="D5085" s="59" t="s">
        <v>803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ht="15.2" spans="1:10">
      <c r="A5086" s="58" t="s">
        <v>5698</v>
      </c>
      <c r="B5086" s="59">
        <v>1379.21</v>
      </c>
      <c r="C5086" s="59">
        <v>2099</v>
      </c>
      <c r="D5086" s="59" t="s">
        <v>803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ht="15.2" spans="1:10">
      <c r="A5087" s="58" t="s">
        <v>5699</v>
      </c>
      <c r="B5087" s="59">
        <v>1395.82</v>
      </c>
      <c r="C5087" s="59">
        <v>2299</v>
      </c>
      <c r="D5087" s="59" t="s">
        <v>803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ht="15.2" spans="1:10">
      <c r="A5088" s="58" t="s">
        <v>5700</v>
      </c>
      <c r="B5088" s="59">
        <v>2102</v>
      </c>
      <c r="C5088" s="59">
        <v>3199</v>
      </c>
      <c r="D5088" s="59" t="s">
        <v>803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ht="15.2" spans="1:10">
      <c r="A5089" s="58" t="s">
        <v>5701</v>
      </c>
      <c r="B5089" s="59">
        <v>1177.98</v>
      </c>
      <c r="C5089" s="59">
        <v>1999</v>
      </c>
      <c r="D5089" s="59" t="s">
        <v>803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ht="15.2" spans="1:10">
      <c r="A5090" s="58" t="s">
        <v>5702</v>
      </c>
      <c r="B5090" s="59">
        <v>665</v>
      </c>
      <c r="C5090" s="59">
        <v>1669</v>
      </c>
      <c r="D5090" s="59" t="s">
        <v>801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ht="15.2" spans="1:10">
      <c r="A5091" s="58" t="s">
        <v>5703</v>
      </c>
      <c r="B5091" s="59">
        <v>1760.11</v>
      </c>
      <c r="C5091" s="59">
        <v>2899</v>
      </c>
      <c r="D5091" s="59" t="s">
        <v>803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ht="15.2" spans="1:10">
      <c r="A5092" s="58" t="s">
        <v>5704</v>
      </c>
      <c r="B5092" s="59">
        <v>1158.92</v>
      </c>
      <c r="C5092" s="59">
        <v>1799</v>
      </c>
      <c r="D5092" s="59" t="s">
        <v>803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ht="15.2" spans="1:10">
      <c r="A5093" s="58" t="s">
        <v>5705</v>
      </c>
      <c r="B5093" s="59">
        <v>1510.63</v>
      </c>
      <c r="C5093" s="59">
        <v>2299</v>
      </c>
      <c r="D5093" s="59" t="s">
        <v>803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ht="15.2" spans="1:10">
      <c r="A5094" s="58" t="s">
        <v>5706</v>
      </c>
      <c r="B5094" s="59">
        <v>249</v>
      </c>
      <c r="C5094" s="59">
        <v>550</v>
      </c>
      <c r="D5094" s="59" t="s">
        <v>801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ht="15.2" spans="1:10">
      <c r="A5095" s="58" t="s">
        <v>5707</v>
      </c>
      <c r="B5095" s="59">
        <v>1213.68</v>
      </c>
      <c r="C5095" s="59">
        <v>1999</v>
      </c>
      <c r="D5095" s="59" t="s">
        <v>803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ht="15.2" spans="1:10">
      <c r="A5096" s="58" t="s">
        <v>5708</v>
      </c>
      <c r="B5096" s="59">
        <v>1295.84</v>
      </c>
      <c r="C5096" s="59">
        <v>2199</v>
      </c>
      <c r="D5096" s="59" t="s">
        <v>803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ht="15.2" spans="1:10">
      <c r="A5097" s="58" t="s">
        <v>5709</v>
      </c>
      <c r="B5097" s="59">
        <v>354</v>
      </c>
      <c r="C5097" s="59">
        <v>782</v>
      </c>
      <c r="D5097" s="59" t="s">
        <v>801</v>
      </c>
      <c r="E5097" s="59">
        <v>0.55</v>
      </c>
      <c r="F5097" s="59">
        <v>0.55</v>
      </c>
      <c r="G5097" s="59">
        <v>0</v>
      </c>
      <c r="H5097" s="60">
        <f t="shared" si="241"/>
        <v>0.55</v>
      </c>
      <c r="I5097" s="60">
        <f t="shared" si="239"/>
        <v>194.7</v>
      </c>
      <c r="J5097" s="60">
        <f t="shared" si="240"/>
        <v>430.1</v>
      </c>
    </row>
    <row r="5098" ht="15.2" spans="1:10">
      <c r="A5098" s="58" t="s">
        <v>5710</v>
      </c>
      <c r="B5098" s="59">
        <v>906.02</v>
      </c>
      <c r="C5098" s="59">
        <v>1399</v>
      </c>
      <c r="D5098" s="59" t="s">
        <v>803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ht="15.2" spans="1:10">
      <c r="A5099" s="58" t="s">
        <v>5711</v>
      </c>
      <c r="B5099" s="59">
        <v>392.3</v>
      </c>
      <c r="C5099" s="59">
        <v>1263</v>
      </c>
      <c r="D5099" s="59" t="s">
        <v>801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ht="15.2" spans="1:10">
      <c r="A5100" s="58" t="s">
        <v>5712</v>
      </c>
      <c r="B5100" s="59">
        <v>656.42</v>
      </c>
      <c r="C5100" s="59">
        <v>999</v>
      </c>
      <c r="D5100" s="59" t="s">
        <v>803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ht="15.2" spans="1:10">
      <c r="A5101" s="58" t="s">
        <v>5713</v>
      </c>
      <c r="B5101" s="59">
        <v>251</v>
      </c>
      <c r="C5101" s="59">
        <v>640</v>
      </c>
      <c r="D5101" s="59" t="s">
        <v>801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ht="15.2" spans="1:10">
      <c r="A5102" s="58" t="s">
        <v>5714</v>
      </c>
      <c r="B5102" s="59">
        <v>6481.55</v>
      </c>
      <c r="C5102" s="59">
        <v>10999</v>
      </c>
      <c r="D5102" s="59" t="s">
        <v>803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ht="15.2" spans="1:10">
      <c r="A5103" s="58" t="s">
        <v>5715</v>
      </c>
      <c r="B5103" s="59">
        <v>452.69</v>
      </c>
      <c r="C5103" s="59">
        <v>699</v>
      </c>
      <c r="D5103" s="59" t="s">
        <v>803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ht="15.2" spans="1:10">
      <c r="A5104" s="58" t="s">
        <v>5716</v>
      </c>
      <c r="B5104" s="59">
        <v>399</v>
      </c>
      <c r="C5104" s="59">
        <v>838</v>
      </c>
      <c r="D5104" s="59" t="s">
        <v>801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</v>
      </c>
      <c r="J5104" s="60">
        <f t="shared" si="240"/>
        <v>544.7</v>
      </c>
    </row>
    <row r="5105" ht="15.2" spans="1:10">
      <c r="A5105" s="58" t="s">
        <v>5717</v>
      </c>
      <c r="B5105" s="59">
        <v>1200</v>
      </c>
      <c r="C5105" s="59">
        <v>2400</v>
      </c>
      <c r="D5105" s="59" t="s">
        <v>801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ht="15.2" spans="1:10">
      <c r="A5106" s="58" t="s">
        <v>5718</v>
      </c>
      <c r="B5106" s="59">
        <v>2102</v>
      </c>
      <c r="C5106" s="59">
        <v>3199</v>
      </c>
      <c r="D5106" s="59" t="s">
        <v>803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ht="15.2" spans="1:10">
      <c r="A5107" s="58" t="s">
        <v>5719</v>
      </c>
      <c r="B5107" s="59">
        <v>1213.68</v>
      </c>
      <c r="C5107" s="59">
        <v>1999</v>
      </c>
      <c r="D5107" s="59" t="s">
        <v>803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ht="15.2" spans="1:10">
      <c r="A5108" s="58" t="s">
        <v>63</v>
      </c>
      <c r="B5108" s="59">
        <v>820</v>
      </c>
      <c r="C5108" s="59">
        <v>1949</v>
      </c>
      <c r="D5108" s="59" t="s">
        <v>801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8380.7</v>
      </c>
    </row>
    <row r="5109" ht="15.2" spans="1:10">
      <c r="A5109" s="58" t="s">
        <v>5720</v>
      </c>
      <c r="B5109" s="59">
        <v>1510.63</v>
      </c>
      <c r="C5109" s="59">
        <v>2299</v>
      </c>
      <c r="D5109" s="59" t="s">
        <v>803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ht="15.2" spans="1:10">
      <c r="A5110" s="58" t="s">
        <v>5721</v>
      </c>
      <c r="B5110" s="59">
        <v>649</v>
      </c>
      <c r="C5110" s="59">
        <v>1447</v>
      </c>
      <c r="D5110" s="59" t="s">
        <v>801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ht="15.2" spans="1:10">
      <c r="A5111" s="58" t="s">
        <v>5722</v>
      </c>
      <c r="B5111" s="59">
        <v>646.97</v>
      </c>
      <c r="C5111" s="59">
        <v>999</v>
      </c>
      <c r="D5111" s="59" t="s">
        <v>803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ht="15.2" spans="1:10">
      <c r="A5112" s="58" t="s">
        <v>5723</v>
      </c>
      <c r="B5112" s="59">
        <v>984.96</v>
      </c>
      <c r="C5112" s="59">
        <v>1499</v>
      </c>
      <c r="D5112" s="59" t="s">
        <v>803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ht="15.2" spans="1:10">
      <c r="A5113" s="58" t="s">
        <v>5724</v>
      </c>
      <c r="B5113" s="59">
        <v>375</v>
      </c>
      <c r="C5113" s="59">
        <v>788</v>
      </c>
      <c r="D5113" s="59" t="s">
        <v>801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ht="15.2" spans="1:10">
      <c r="A5114" s="58" t="s">
        <v>5725</v>
      </c>
      <c r="B5114" s="59">
        <v>306</v>
      </c>
      <c r="C5114" s="59">
        <v>720</v>
      </c>
      <c r="D5114" s="59" t="s">
        <v>801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</v>
      </c>
      <c r="J5114" s="60">
        <f t="shared" si="240"/>
        <v>10008</v>
      </c>
    </row>
    <row r="5115" ht="15.2" spans="1:10">
      <c r="A5115" s="58" t="s">
        <v>5726</v>
      </c>
      <c r="B5115" s="59">
        <v>1295.84</v>
      </c>
      <c r="C5115" s="59">
        <v>2199</v>
      </c>
      <c r="D5115" s="59" t="s">
        <v>803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1295.84</v>
      </c>
      <c r="J5115" s="60">
        <f t="shared" si="240"/>
        <v>2199</v>
      </c>
    </row>
    <row r="5116" ht="15.2" spans="1:10">
      <c r="A5116" s="58" t="s">
        <v>5727</v>
      </c>
      <c r="B5116" s="59">
        <v>564</v>
      </c>
      <c r="C5116" s="59">
        <v>1393</v>
      </c>
      <c r="D5116" s="59" t="s">
        <v>801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ht="15.2" spans="1:10">
      <c r="A5117" s="58" t="s">
        <v>201</v>
      </c>
      <c r="B5117" s="59">
        <v>1619</v>
      </c>
      <c r="C5117" s="59">
        <v>3778</v>
      </c>
      <c r="D5117" s="59" t="s">
        <v>801</v>
      </c>
      <c r="E5117" s="59">
        <v>8.3</v>
      </c>
      <c r="F5117" s="59">
        <v>8.3</v>
      </c>
      <c r="G5117" s="59">
        <v>0</v>
      </c>
      <c r="H5117" s="60">
        <f t="shared" si="241"/>
        <v>8.3</v>
      </c>
      <c r="I5117" s="60">
        <f t="shared" si="239"/>
        <v>13437.7</v>
      </c>
      <c r="J5117" s="60">
        <f t="shared" si="240"/>
        <v>31357.4</v>
      </c>
    </row>
    <row r="5118" ht="15.2" spans="1:10">
      <c r="A5118" s="58" t="s">
        <v>5728</v>
      </c>
      <c r="B5118" s="59">
        <v>1395.82</v>
      </c>
      <c r="C5118" s="59">
        <v>2299</v>
      </c>
      <c r="D5118" s="59" t="s">
        <v>803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ht="15.2" spans="1:10">
      <c r="A5119" s="58" t="s">
        <v>5729</v>
      </c>
      <c r="B5119" s="59">
        <v>661</v>
      </c>
      <c r="C5119" s="59">
        <v>1348</v>
      </c>
      <c r="D5119" s="59" t="s">
        <v>801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ht="15.2" spans="1:10">
      <c r="A5120" s="58" t="s">
        <v>5730</v>
      </c>
      <c r="B5120" s="59">
        <v>1182.09</v>
      </c>
      <c r="C5120" s="59">
        <v>1799</v>
      </c>
      <c r="D5120" s="59" t="s">
        <v>803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ht="15.2" spans="1:10">
      <c r="A5121" s="58" t="s">
        <v>5731</v>
      </c>
      <c r="B5121" s="59">
        <v>193</v>
      </c>
      <c r="C5121" s="59">
        <v>406</v>
      </c>
      <c r="D5121" s="59" t="s">
        <v>801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ht="15.2" spans="1:10">
      <c r="A5122" s="58" t="s">
        <v>5732</v>
      </c>
      <c r="B5122" s="59">
        <v>200</v>
      </c>
      <c r="C5122" s="59">
        <v>1231</v>
      </c>
      <c r="D5122" s="59" t="s">
        <v>801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ht="15.2" spans="1:10">
      <c r="A5123" s="58" t="s">
        <v>5733</v>
      </c>
      <c r="B5123" s="59">
        <v>499</v>
      </c>
      <c r="C5123" s="59">
        <v>1117</v>
      </c>
      <c r="D5123" s="59" t="s">
        <v>801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</v>
      </c>
    </row>
    <row r="5124" ht="15.2" spans="1:10">
      <c r="A5124" s="58" t="s">
        <v>5734</v>
      </c>
      <c r="B5124" s="59">
        <v>984.96</v>
      </c>
      <c r="C5124" s="59">
        <v>1499</v>
      </c>
      <c r="D5124" s="59" t="s">
        <v>803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ht="15.2" spans="1:10">
      <c r="A5125" s="58" t="s">
        <v>5735</v>
      </c>
      <c r="B5125" s="59">
        <v>656.42</v>
      </c>
      <c r="C5125" s="59">
        <v>999</v>
      </c>
      <c r="D5125" s="59" t="s">
        <v>803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ht="15.2" spans="1:10">
      <c r="A5126" s="58" t="s">
        <v>5736</v>
      </c>
      <c r="B5126" s="59">
        <v>656.42</v>
      </c>
      <c r="C5126" s="59">
        <v>999</v>
      </c>
      <c r="D5126" s="59" t="s">
        <v>803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ht="15.2" spans="1:10">
      <c r="A5127" s="58" t="s">
        <v>5737</v>
      </c>
      <c r="B5127" s="59">
        <v>207</v>
      </c>
      <c r="C5127" s="59">
        <v>615</v>
      </c>
      <c r="D5127" s="59" t="s">
        <v>801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</v>
      </c>
      <c r="J5127" s="60">
        <f t="shared" si="243"/>
        <v>123</v>
      </c>
    </row>
    <row r="5128" ht="15.2" spans="1:10">
      <c r="A5128" s="58" t="s">
        <v>5738</v>
      </c>
      <c r="B5128" s="59">
        <v>784</v>
      </c>
      <c r="C5128" s="59">
        <v>1867</v>
      </c>
      <c r="D5128" s="59" t="s">
        <v>801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1773.65</v>
      </c>
    </row>
    <row r="5129" ht="15.2" spans="1:10">
      <c r="A5129" s="58" t="s">
        <v>5739</v>
      </c>
      <c r="B5129" s="59">
        <v>483</v>
      </c>
      <c r="C5129" s="59">
        <v>1149</v>
      </c>
      <c r="D5129" s="59" t="s">
        <v>801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</v>
      </c>
      <c r="J5129" s="60">
        <f t="shared" si="243"/>
        <v>3676.8</v>
      </c>
    </row>
    <row r="5130" ht="15.2" spans="1:10">
      <c r="A5130" s="58" t="s">
        <v>5740</v>
      </c>
      <c r="B5130" s="59">
        <v>1820.82</v>
      </c>
      <c r="C5130" s="59">
        <v>2999</v>
      </c>
      <c r="D5130" s="59" t="s">
        <v>803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ht="15.2" spans="1:10">
      <c r="A5131" s="58" t="s">
        <v>5741</v>
      </c>
      <c r="B5131" s="59">
        <v>1274.39</v>
      </c>
      <c r="C5131" s="59">
        <v>2099</v>
      </c>
      <c r="D5131" s="59" t="s">
        <v>803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</v>
      </c>
      <c r="J5131" s="60">
        <f t="shared" si="243"/>
        <v>2099</v>
      </c>
    </row>
    <row r="5132" ht="15.2" spans="1:10">
      <c r="A5132" s="58" t="s">
        <v>5742</v>
      </c>
      <c r="B5132" s="59">
        <v>490</v>
      </c>
      <c r="C5132" s="59">
        <v>1138</v>
      </c>
      <c r="D5132" s="59" t="s">
        <v>801</v>
      </c>
      <c r="E5132" s="59">
        <v>0.55</v>
      </c>
      <c r="F5132" s="59">
        <v>0.55</v>
      </c>
      <c r="G5132" s="59">
        <v>0</v>
      </c>
      <c r="H5132" s="60">
        <f t="shared" si="241"/>
        <v>0.55</v>
      </c>
      <c r="I5132" s="60">
        <f t="shared" si="242"/>
        <v>269.5</v>
      </c>
      <c r="J5132" s="60">
        <f t="shared" si="243"/>
        <v>625.9</v>
      </c>
    </row>
    <row r="5133" ht="15.2" spans="1:10">
      <c r="A5133" s="58" t="s">
        <v>5743</v>
      </c>
      <c r="B5133" s="59">
        <v>374</v>
      </c>
      <c r="C5133" s="59">
        <v>951</v>
      </c>
      <c r="D5133" s="59" t="s">
        <v>801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ht="15.2" spans="1:10">
      <c r="A5134" s="58" t="s">
        <v>5744</v>
      </c>
      <c r="B5134" s="59">
        <v>579</v>
      </c>
      <c r="C5134" s="59">
        <v>1290</v>
      </c>
      <c r="D5134" s="59" t="s">
        <v>801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ht="15.2" spans="1:10">
      <c r="A5135" s="58" t="s">
        <v>5745</v>
      </c>
      <c r="B5135" s="59">
        <v>1119.05</v>
      </c>
      <c r="C5135" s="59">
        <v>1899</v>
      </c>
      <c r="D5135" s="59" t="s">
        <v>803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ht="15.2" spans="1:10">
      <c r="A5136" s="58" t="s">
        <v>5746</v>
      </c>
      <c r="B5136" s="59">
        <v>445</v>
      </c>
      <c r="C5136" s="59">
        <v>929</v>
      </c>
      <c r="D5136" s="59" t="s">
        <v>801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ht="15.2" spans="1:10">
      <c r="A5137" s="58" t="s">
        <v>5747</v>
      </c>
      <c r="B5137" s="59">
        <v>336</v>
      </c>
      <c r="C5137" s="59">
        <v>790</v>
      </c>
      <c r="D5137" s="59" t="s">
        <v>801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</v>
      </c>
      <c r="J5137" s="60">
        <f t="shared" si="243"/>
        <v>6083</v>
      </c>
    </row>
    <row r="5138" ht="15.2" spans="1:10">
      <c r="A5138" s="58" t="s">
        <v>5748</v>
      </c>
      <c r="B5138" s="59">
        <v>1970.58</v>
      </c>
      <c r="C5138" s="59">
        <v>2999</v>
      </c>
      <c r="D5138" s="59" t="s">
        <v>803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ht="15.2" spans="1:10">
      <c r="A5139" s="58" t="s">
        <v>5749</v>
      </c>
      <c r="B5139" s="59">
        <v>1444.92</v>
      </c>
      <c r="C5139" s="59">
        <v>2199</v>
      </c>
      <c r="D5139" s="59" t="s">
        <v>803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ht="15.2" spans="1:10">
      <c r="A5140" s="58" t="s">
        <v>5750</v>
      </c>
      <c r="B5140" s="59">
        <v>1638.68</v>
      </c>
      <c r="C5140" s="59">
        <v>2699</v>
      </c>
      <c r="D5140" s="59" t="s">
        <v>803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ht="15.2" spans="1:10">
      <c r="A5141" s="58" t="s">
        <v>5751</v>
      </c>
      <c r="B5141" s="59">
        <v>242</v>
      </c>
      <c r="C5141" s="59">
        <v>570</v>
      </c>
      <c r="D5141" s="59" t="s">
        <v>801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ht="15.2" spans="1:10">
      <c r="A5142" s="58" t="s">
        <v>5752</v>
      </c>
      <c r="B5142" s="59">
        <v>1472.63</v>
      </c>
      <c r="C5142" s="59">
        <v>2499</v>
      </c>
      <c r="D5142" s="59" t="s">
        <v>803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ht="15.2" spans="1:10">
      <c r="A5143" s="58" t="s">
        <v>5753</v>
      </c>
      <c r="B5143" s="59">
        <v>374</v>
      </c>
      <c r="C5143" s="59">
        <v>827</v>
      </c>
      <c r="D5143" s="59" t="s">
        <v>801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ht="15.2" spans="1:10">
      <c r="A5144" s="58" t="s">
        <v>5754</v>
      </c>
      <c r="B5144" s="59">
        <v>5463.68</v>
      </c>
      <c r="C5144" s="59">
        <v>8999</v>
      </c>
      <c r="D5144" s="59" t="s">
        <v>803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ht="15.2" spans="1:10">
      <c r="A5145" s="58" t="s">
        <v>5755</v>
      </c>
      <c r="B5145" s="59">
        <v>1116.38</v>
      </c>
      <c r="C5145" s="59">
        <v>1699</v>
      </c>
      <c r="D5145" s="59" t="s">
        <v>803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ht="15.2" spans="1:10">
      <c r="A5146" s="58" t="s">
        <v>5756</v>
      </c>
      <c r="B5146" s="59">
        <v>409</v>
      </c>
      <c r="C5146" s="59">
        <v>970</v>
      </c>
      <c r="D5146" s="59" t="s">
        <v>801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</v>
      </c>
      <c r="J5146" s="60">
        <f t="shared" si="243"/>
        <v>97</v>
      </c>
    </row>
    <row r="5147" ht="15.2" spans="1:10">
      <c r="A5147" s="58" t="s">
        <v>5757</v>
      </c>
      <c r="B5147" s="59">
        <v>1456.54</v>
      </c>
      <c r="C5147" s="59">
        <v>2399</v>
      </c>
      <c r="D5147" s="59" t="s">
        <v>803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ht="15.2" spans="1:10">
      <c r="A5148" s="58" t="s">
        <v>5758</v>
      </c>
      <c r="B5148" s="59">
        <v>325</v>
      </c>
      <c r="C5148" s="59">
        <v>720</v>
      </c>
      <c r="D5148" s="59" t="s">
        <v>801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ht="15.2" spans="1:10">
      <c r="A5149" s="58" t="s">
        <v>5759</v>
      </c>
      <c r="B5149" s="59">
        <v>363</v>
      </c>
      <c r="C5149" s="59">
        <v>860</v>
      </c>
      <c r="D5149" s="59" t="s">
        <v>801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ht="15.2" spans="1:10">
      <c r="A5150" s="58" t="s">
        <v>5760</v>
      </c>
      <c r="B5150" s="59">
        <v>1092.25</v>
      </c>
      <c r="C5150" s="59">
        <v>1799</v>
      </c>
      <c r="D5150" s="59" t="s">
        <v>803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ht="15.2" spans="1:10">
      <c r="A5151" s="58" t="s">
        <v>5761</v>
      </c>
      <c r="B5151" s="59">
        <v>775</v>
      </c>
      <c r="C5151" s="59">
        <v>1747</v>
      </c>
      <c r="D5151" s="59" t="s">
        <v>801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ht="15.2" spans="1:10">
      <c r="A5152" s="58" t="s">
        <v>5762</v>
      </c>
      <c r="B5152" s="59">
        <v>4249.39</v>
      </c>
      <c r="C5152" s="59">
        <v>6999</v>
      </c>
      <c r="D5152" s="59" t="s">
        <v>803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</v>
      </c>
      <c r="J5152" s="60">
        <f t="shared" si="243"/>
        <v>6999</v>
      </c>
    </row>
    <row r="5153" ht="15.2" spans="1:10">
      <c r="A5153" s="58" t="s">
        <v>5763</v>
      </c>
      <c r="B5153" s="59">
        <v>390</v>
      </c>
      <c r="C5153" s="59">
        <v>873</v>
      </c>
      <c r="D5153" s="59" t="s">
        <v>801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5325.3</v>
      </c>
    </row>
    <row r="5154" ht="15.2" spans="1:10">
      <c r="A5154" s="58" t="s">
        <v>5764</v>
      </c>
      <c r="B5154" s="59">
        <v>452.69</v>
      </c>
      <c r="C5154" s="59">
        <v>699</v>
      </c>
      <c r="D5154" s="59" t="s">
        <v>803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ht="15.2" spans="1:10">
      <c r="A5155" s="58" t="s">
        <v>5765</v>
      </c>
      <c r="B5155" s="59">
        <v>4124.41</v>
      </c>
      <c r="C5155" s="59">
        <v>6999</v>
      </c>
      <c r="D5155" s="59" t="s">
        <v>803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ht="15.2" spans="1:10">
      <c r="A5156" s="58" t="s">
        <v>5766</v>
      </c>
      <c r="B5156" s="59">
        <v>570.86</v>
      </c>
      <c r="C5156" s="59">
        <v>2410</v>
      </c>
      <c r="D5156" s="59" t="s">
        <v>801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ht="15.2" spans="1:10">
      <c r="A5157" s="58" t="s">
        <v>5767</v>
      </c>
      <c r="B5157" s="59">
        <v>984.96</v>
      </c>
      <c r="C5157" s="59">
        <v>1499</v>
      </c>
      <c r="D5157" s="59" t="s">
        <v>803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ht="15.2" spans="1:10">
      <c r="A5158" s="58" t="s">
        <v>5768</v>
      </c>
      <c r="B5158" s="59">
        <v>1247.8</v>
      </c>
      <c r="C5158" s="59">
        <v>1899</v>
      </c>
      <c r="D5158" s="59" t="s">
        <v>803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ht="15.2" spans="1:10">
      <c r="A5159" s="58" t="s">
        <v>5769</v>
      </c>
      <c r="B5159" s="59">
        <v>2102</v>
      </c>
      <c r="C5159" s="59">
        <v>3199</v>
      </c>
      <c r="D5159" s="59" t="s">
        <v>803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ht="15.2" spans="1:10">
      <c r="A5160" s="58" t="s">
        <v>5770</v>
      </c>
      <c r="B5160" s="59">
        <v>1335.11</v>
      </c>
      <c r="C5160" s="59">
        <v>2199</v>
      </c>
      <c r="D5160" s="59" t="s">
        <v>803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ht="15.2" spans="1:10">
      <c r="A5161" s="58" t="s">
        <v>5771</v>
      </c>
      <c r="B5161" s="59">
        <v>722.13</v>
      </c>
      <c r="C5161" s="59">
        <v>1099</v>
      </c>
      <c r="D5161" s="59" t="s">
        <v>803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ht="15.2" spans="1:10">
      <c r="A5162" s="58" t="s">
        <v>5772</v>
      </c>
      <c r="B5162" s="59">
        <v>1510.63</v>
      </c>
      <c r="C5162" s="59">
        <v>2299</v>
      </c>
      <c r="D5162" s="59" t="s">
        <v>803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ht="15.2" spans="1:10">
      <c r="A5163" s="58" t="s">
        <v>5773</v>
      </c>
      <c r="B5163" s="59">
        <v>517.45</v>
      </c>
      <c r="C5163" s="59">
        <v>799</v>
      </c>
      <c r="D5163" s="59" t="s">
        <v>803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ht="15.2" spans="1:10">
      <c r="A5164" s="58" t="s">
        <v>5774</v>
      </c>
      <c r="B5164" s="59">
        <v>2002.96</v>
      </c>
      <c r="C5164" s="59">
        <v>3299</v>
      </c>
      <c r="D5164" s="59" t="s">
        <v>803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ht="15.2" spans="1:10">
      <c r="A5165" s="58" t="s">
        <v>5775</v>
      </c>
      <c r="B5165" s="59">
        <v>2364.83</v>
      </c>
      <c r="C5165" s="59">
        <v>3599</v>
      </c>
      <c r="D5165" s="59" t="s">
        <v>803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ht="15.2" spans="1:10">
      <c r="A5166" s="58" t="s">
        <v>5776</v>
      </c>
      <c r="B5166" s="59">
        <v>1881.54</v>
      </c>
      <c r="C5166" s="59">
        <v>3099</v>
      </c>
      <c r="D5166" s="59" t="s">
        <v>803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ht="15.2" spans="1:10">
      <c r="A5167" s="58" t="s">
        <v>5777</v>
      </c>
      <c r="B5167" s="59">
        <v>1577.96</v>
      </c>
      <c r="C5167" s="59">
        <v>2599</v>
      </c>
      <c r="D5167" s="59" t="s">
        <v>803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ht="15.2" spans="1:10">
      <c r="A5168" s="58" t="s">
        <v>5778</v>
      </c>
      <c r="B5168" s="59">
        <v>2005</v>
      </c>
      <c r="C5168" s="59">
        <v>4389</v>
      </c>
      <c r="D5168" s="59" t="s">
        <v>801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</v>
      </c>
    </row>
    <row r="5169" ht="15.2" spans="1:10">
      <c r="A5169" s="58" t="s">
        <v>5779</v>
      </c>
      <c r="B5169" s="59">
        <v>1062</v>
      </c>
      <c r="C5169" s="59">
        <v>2494</v>
      </c>
      <c r="D5169" s="59" t="s">
        <v>801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ht="15.2" spans="1:10">
      <c r="A5170" s="58" t="s">
        <v>5780</v>
      </c>
      <c r="B5170" s="59">
        <v>5892.27</v>
      </c>
      <c r="C5170" s="59">
        <v>9999</v>
      </c>
      <c r="D5170" s="59" t="s">
        <v>803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ht="15.2" spans="1:10">
      <c r="A5171" s="58" t="s">
        <v>5781</v>
      </c>
      <c r="B5171" s="59">
        <v>492</v>
      </c>
      <c r="C5171" s="59">
        <v>1157</v>
      </c>
      <c r="D5171" s="59" t="s">
        <v>801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</v>
      </c>
    </row>
    <row r="5172" ht="15.2" spans="1:10">
      <c r="A5172" s="58" t="s">
        <v>5782</v>
      </c>
      <c r="B5172" s="59">
        <v>1576.34</v>
      </c>
      <c r="C5172" s="59">
        <v>2399</v>
      </c>
      <c r="D5172" s="59" t="s">
        <v>803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ht="15.2" spans="1:10">
      <c r="A5173" s="58" t="s">
        <v>5783</v>
      </c>
      <c r="B5173" s="59">
        <v>0</v>
      </c>
      <c r="C5173" s="59">
        <v>0</v>
      </c>
      <c r="D5173" s="59" t="s">
        <v>815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ht="15.2" spans="1:10">
      <c r="A5174" s="58" t="s">
        <v>5784</v>
      </c>
      <c r="B5174" s="59">
        <v>955</v>
      </c>
      <c r="C5174" s="59">
        <v>2224</v>
      </c>
      <c r="D5174" s="59" t="s">
        <v>801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1334.4</v>
      </c>
    </row>
    <row r="5175" ht="15.2" spans="1:10">
      <c r="A5175" s="58" t="s">
        <v>5785</v>
      </c>
      <c r="B5175" s="59">
        <v>299</v>
      </c>
      <c r="C5175" s="59">
        <v>660</v>
      </c>
      <c r="D5175" s="59" t="s">
        <v>801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ht="15.2" spans="1:10">
      <c r="A5176" s="58" t="s">
        <v>5786</v>
      </c>
      <c r="B5176" s="59">
        <v>841.26</v>
      </c>
      <c r="C5176" s="59">
        <v>1299</v>
      </c>
      <c r="D5176" s="59" t="s">
        <v>803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ht="15.2" spans="1:10">
      <c r="A5177" s="58" t="s">
        <v>5787</v>
      </c>
      <c r="B5177" s="59">
        <v>1444.92</v>
      </c>
      <c r="C5177" s="59">
        <v>2199</v>
      </c>
      <c r="D5177" s="59" t="s">
        <v>803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ht="15.2" spans="1:10">
      <c r="A5178" s="58" t="s">
        <v>5788</v>
      </c>
      <c r="B5178" s="59">
        <v>281</v>
      </c>
      <c r="C5178" s="59">
        <v>589</v>
      </c>
      <c r="D5178" s="59" t="s">
        <v>801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ht="15.2" spans="1:10">
      <c r="A5179" s="58" t="s">
        <v>5789</v>
      </c>
      <c r="B5179" s="59">
        <v>1213.68</v>
      </c>
      <c r="C5179" s="59">
        <v>1999</v>
      </c>
      <c r="D5179" s="59" t="s">
        <v>803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ht="15.2" spans="1:10">
      <c r="A5180" s="58" t="s">
        <v>5790</v>
      </c>
      <c r="B5180" s="59">
        <v>1649.41</v>
      </c>
      <c r="C5180" s="59">
        <v>2799</v>
      </c>
      <c r="D5180" s="59" t="s">
        <v>803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ht="15.2" spans="1:10">
      <c r="A5181" s="58" t="s">
        <v>5791</v>
      </c>
      <c r="B5181" s="59">
        <v>1577.96</v>
      </c>
      <c r="C5181" s="59">
        <v>2599</v>
      </c>
      <c r="D5181" s="59" t="s">
        <v>803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ht="15.2" spans="1:10">
      <c r="A5182" s="58" t="s">
        <v>5792</v>
      </c>
      <c r="B5182" s="59">
        <v>599</v>
      </c>
      <c r="C5182" s="59">
        <v>1321</v>
      </c>
      <c r="D5182" s="59" t="s">
        <v>801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</v>
      </c>
      <c r="J5182" s="60">
        <f t="shared" si="243"/>
        <v>528.4</v>
      </c>
    </row>
    <row r="5183" ht="15.2" spans="1:10">
      <c r="A5183" s="58" t="s">
        <v>5793</v>
      </c>
      <c r="B5183" s="59">
        <v>299</v>
      </c>
      <c r="C5183" s="59">
        <v>628</v>
      </c>
      <c r="D5183" s="59" t="s">
        <v>801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ht="15.2" spans="1:10">
      <c r="A5184" s="58" t="s">
        <v>5794</v>
      </c>
      <c r="B5184" s="59">
        <v>1313.5</v>
      </c>
      <c r="C5184" s="59">
        <v>1999</v>
      </c>
      <c r="D5184" s="59" t="s">
        <v>803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ht="15.2" spans="1:10">
      <c r="A5185" s="58" t="s">
        <v>5795</v>
      </c>
      <c r="B5185" s="59">
        <v>1178</v>
      </c>
      <c r="C5185" s="59">
        <v>2959</v>
      </c>
      <c r="D5185" s="59" t="s">
        <v>801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ht="15.2" spans="1:10">
      <c r="A5186" s="58" t="s">
        <v>5796</v>
      </c>
      <c r="B5186" s="59">
        <v>1247.8</v>
      </c>
      <c r="C5186" s="59">
        <v>1899</v>
      </c>
      <c r="D5186" s="59" t="s">
        <v>803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ht="15.2" spans="1:10">
      <c r="A5187" s="58" t="s">
        <v>5797</v>
      </c>
      <c r="B5187" s="59">
        <v>646.97</v>
      </c>
      <c r="C5187" s="59">
        <v>999</v>
      </c>
      <c r="D5187" s="59" t="s">
        <v>803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ht="15.2" spans="1:10">
      <c r="A5188" s="58" t="s">
        <v>5798</v>
      </c>
      <c r="B5188" s="59">
        <v>1803.12</v>
      </c>
      <c r="C5188" s="59">
        <v>2799</v>
      </c>
      <c r="D5188" s="59" t="s">
        <v>803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ht="15.2" spans="1:10">
      <c r="A5189" s="58" t="s">
        <v>5799</v>
      </c>
      <c r="B5189" s="59">
        <v>1379.21</v>
      </c>
      <c r="C5189" s="59">
        <v>2099</v>
      </c>
      <c r="D5189" s="59" t="s">
        <v>803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ht="15.2" spans="1:10">
      <c r="A5190" s="58" t="s">
        <v>5800</v>
      </c>
      <c r="B5190" s="59">
        <v>351.7</v>
      </c>
      <c r="C5190" s="59">
        <v>1165</v>
      </c>
      <c r="D5190" s="59" t="s">
        <v>801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633.06</v>
      </c>
      <c r="J5190" s="60">
        <f t="shared" si="246"/>
        <v>2097</v>
      </c>
    </row>
    <row r="5191" ht="15.2" spans="1:10">
      <c r="A5191" s="58" t="s">
        <v>5801</v>
      </c>
      <c r="B5191" s="59">
        <v>901.24</v>
      </c>
      <c r="C5191" s="59">
        <v>1399</v>
      </c>
      <c r="D5191" s="59" t="s">
        <v>803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ht="15.2" spans="1:10">
      <c r="A5192" s="58" t="s">
        <v>5802</v>
      </c>
      <c r="B5192" s="59">
        <v>1152.96</v>
      </c>
      <c r="C5192" s="59">
        <v>1899</v>
      </c>
      <c r="D5192" s="59" t="s">
        <v>803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ht="15.2" spans="1:10">
      <c r="A5193" s="58" t="s">
        <v>5803</v>
      </c>
      <c r="B5193" s="59">
        <v>863</v>
      </c>
      <c r="C5193" s="59">
        <v>2164</v>
      </c>
      <c r="D5193" s="59" t="s">
        <v>801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ht="15.2" spans="1:10">
      <c r="A5194" s="58" t="s">
        <v>5804</v>
      </c>
      <c r="B5194" s="59">
        <v>450</v>
      </c>
      <c r="C5194" s="59">
        <v>1008</v>
      </c>
      <c r="D5194" s="59" t="s">
        <v>801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</v>
      </c>
    </row>
    <row r="5195" ht="15.2" spans="1:10">
      <c r="A5195" s="58" t="s">
        <v>5805</v>
      </c>
      <c r="B5195" s="59">
        <v>1200.38</v>
      </c>
      <c r="C5195" s="59">
        <v>1899</v>
      </c>
      <c r="D5195" s="59" t="s">
        <v>803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</v>
      </c>
      <c r="J5195" s="60">
        <f t="shared" si="246"/>
        <v>1899</v>
      </c>
    </row>
    <row r="5196" ht="15.2" spans="1:10">
      <c r="A5196" s="58" t="s">
        <v>5806</v>
      </c>
      <c r="B5196" s="59">
        <v>1699.39</v>
      </c>
      <c r="C5196" s="59">
        <v>2799</v>
      </c>
      <c r="D5196" s="59" t="s">
        <v>803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ht="15.2" spans="1:10">
      <c r="A5197" s="58" t="s">
        <v>5807</v>
      </c>
      <c r="B5197" s="59">
        <v>348.2</v>
      </c>
      <c r="C5197" s="59">
        <v>1128</v>
      </c>
      <c r="D5197" s="59" t="s">
        <v>801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</v>
      </c>
    </row>
    <row r="5198" ht="15.2" spans="1:10">
      <c r="A5198" s="58" t="s">
        <v>5808</v>
      </c>
      <c r="B5198" s="59">
        <v>517.45</v>
      </c>
      <c r="C5198" s="59">
        <v>799</v>
      </c>
      <c r="D5198" s="59" t="s">
        <v>803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</v>
      </c>
      <c r="J5198" s="60">
        <f t="shared" si="246"/>
        <v>1598</v>
      </c>
    </row>
    <row r="5199" ht="15.2" spans="1:10">
      <c r="A5199" s="58" t="s">
        <v>5809</v>
      </c>
      <c r="B5199" s="59">
        <v>1395.82</v>
      </c>
      <c r="C5199" s="59">
        <v>2299</v>
      </c>
      <c r="D5199" s="59" t="s">
        <v>803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ht="15.2" spans="1:10">
      <c r="A5200" s="58" t="s">
        <v>5810</v>
      </c>
      <c r="B5200" s="59">
        <v>1760.11</v>
      </c>
      <c r="C5200" s="59">
        <v>2899</v>
      </c>
      <c r="D5200" s="59" t="s">
        <v>803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ht="15.2" spans="1:10">
      <c r="A5201" s="58" t="s">
        <v>5811</v>
      </c>
      <c r="B5201" s="59">
        <v>299</v>
      </c>
      <c r="C5201" s="59">
        <v>628</v>
      </c>
      <c r="D5201" s="59" t="s">
        <v>801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209.3</v>
      </c>
      <c r="J5201" s="60">
        <f t="shared" si="246"/>
        <v>439.6</v>
      </c>
    </row>
    <row r="5202" ht="15.2" spans="1:10">
      <c r="A5202" s="58" t="s">
        <v>5812</v>
      </c>
      <c r="B5202" s="59">
        <v>361.7</v>
      </c>
      <c r="C5202" s="59">
        <v>1064</v>
      </c>
      <c r="D5202" s="59" t="s">
        <v>801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343.615</v>
      </c>
      <c r="J5202" s="60">
        <f t="shared" si="246"/>
        <v>1010.8</v>
      </c>
    </row>
    <row r="5203" ht="15.2" spans="1:10">
      <c r="A5203" s="58" t="s">
        <v>5813</v>
      </c>
      <c r="B5203" s="59">
        <v>2233.41</v>
      </c>
      <c r="C5203" s="59">
        <v>3399</v>
      </c>
      <c r="D5203" s="59" t="s">
        <v>803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ht="15.2" spans="1:10">
      <c r="A5204" s="58" t="s">
        <v>5814</v>
      </c>
      <c r="B5204" s="59">
        <v>349</v>
      </c>
      <c r="C5204" s="59">
        <v>733</v>
      </c>
      <c r="D5204" s="59" t="s">
        <v>801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ht="15.2" spans="1:10">
      <c r="A5205" s="58" t="s">
        <v>5815</v>
      </c>
      <c r="B5205" s="59">
        <v>346.6</v>
      </c>
      <c r="C5205" s="59">
        <v>1008</v>
      </c>
      <c r="D5205" s="59" t="s">
        <v>801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</v>
      </c>
      <c r="J5205" s="60">
        <f t="shared" si="246"/>
        <v>403.2</v>
      </c>
    </row>
    <row r="5206" ht="15.2" spans="1:10">
      <c r="A5206" s="58" t="s">
        <v>177</v>
      </c>
      <c r="B5206" s="59">
        <v>399</v>
      </c>
      <c r="C5206" s="59">
        <v>892</v>
      </c>
      <c r="D5206" s="59" t="s">
        <v>801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ht="15.2" spans="1:10">
      <c r="A5207" s="58" t="s">
        <v>5816</v>
      </c>
      <c r="B5207" s="59">
        <v>1820.82</v>
      </c>
      <c r="C5207" s="59">
        <v>2999</v>
      </c>
      <c r="D5207" s="59" t="s">
        <v>803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ht="15.2" spans="1:10">
      <c r="A5208" s="58" t="s">
        <v>5817</v>
      </c>
      <c r="B5208" s="59">
        <v>431</v>
      </c>
      <c r="C5208" s="59">
        <v>1092</v>
      </c>
      <c r="D5208" s="59" t="s">
        <v>801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5861.6</v>
      </c>
      <c r="J5208" s="60">
        <f t="shared" si="246"/>
        <v>14851.2</v>
      </c>
    </row>
    <row r="5209" ht="15.2" spans="1:10">
      <c r="A5209" s="58" t="s">
        <v>61</v>
      </c>
      <c r="B5209" s="59">
        <v>597</v>
      </c>
      <c r="C5209" s="59">
        <v>1430</v>
      </c>
      <c r="D5209" s="59" t="s">
        <v>801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ht="15.2" spans="1:10">
      <c r="A5210" s="58" t="s">
        <v>5818</v>
      </c>
      <c r="B5210" s="59">
        <v>4249.39</v>
      </c>
      <c r="C5210" s="59">
        <v>6999</v>
      </c>
      <c r="D5210" s="59" t="s">
        <v>803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</v>
      </c>
      <c r="J5210" s="60">
        <f t="shared" si="246"/>
        <v>6999</v>
      </c>
    </row>
    <row r="5211" ht="15.2" spans="1:10">
      <c r="A5211" s="58" t="s">
        <v>5819</v>
      </c>
      <c r="B5211" s="59">
        <v>1638.68</v>
      </c>
      <c r="C5211" s="59">
        <v>2699</v>
      </c>
      <c r="D5211" s="59" t="s">
        <v>803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ht="15.2" spans="1:10">
      <c r="A5212" s="58" t="s">
        <v>5820</v>
      </c>
      <c r="B5212" s="59">
        <v>906.94</v>
      </c>
      <c r="C5212" s="59">
        <v>1399</v>
      </c>
      <c r="D5212" s="59" t="s">
        <v>803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ht="15.2" spans="1:10">
      <c r="A5213" s="58" t="s">
        <v>5821</v>
      </c>
      <c r="B5213" s="59">
        <v>1416.6</v>
      </c>
      <c r="C5213" s="59">
        <v>2199</v>
      </c>
      <c r="D5213" s="59" t="s">
        <v>803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ht="15.2" spans="1:10">
      <c r="A5214" s="58" t="s">
        <v>5822</v>
      </c>
      <c r="B5214" s="59">
        <v>1769</v>
      </c>
      <c r="C5214" s="59">
        <v>3950</v>
      </c>
      <c r="D5214" s="59" t="s">
        <v>801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ht="15.2" spans="1:10">
      <c r="A5215" s="58" t="s">
        <v>5823</v>
      </c>
      <c r="B5215" s="59">
        <v>1287.76</v>
      </c>
      <c r="C5215" s="59">
        <v>1999</v>
      </c>
      <c r="D5215" s="59" t="s">
        <v>803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ht="15.2" spans="1:10">
      <c r="A5216" s="58" t="s">
        <v>5824</v>
      </c>
      <c r="B5216" s="59">
        <v>1444.92</v>
      </c>
      <c r="C5216" s="59">
        <v>2199</v>
      </c>
      <c r="D5216" s="59" t="s">
        <v>803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ht="15.2" spans="1:10">
      <c r="A5217" s="58" t="s">
        <v>5825</v>
      </c>
      <c r="B5217" s="59">
        <v>1456.54</v>
      </c>
      <c r="C5217" s="59">
        <v>2399</v>
      </c>
      <c r="D5217" s="59" t="s">
        <v>803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ht="15.2" spans="1:10">
      <c r="A5218" s="58" t="s">
        <v>5826</v>
      </c>
      <c r="B5218" s="59">
        <v>564</v>
      </c>
      <c r="C5218" s="59">
        <v>1431</v>
      </c>
      <c r="D5218" s="59" t="s">
        <v>801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</v>
      </c>
      <c r="J5218" s="60">
        <f t="shared" si="246"/>
        <v>16885.8</v>
      </c>
    </row>
    <row r="5219" ht="15.2" spans="1:10">
      <c r="A5219" s="58" t="s">
        <v>5827</v>
      </c>
      <c r="B5219" s="59">
        <v>535</v>
      </c>
      <c r="C5219" s="59">
        <v>1172</v>
      </c>
      <c r="D5219" s="59" t="s">
        <v>801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11251.2</v>
      </c>
    </row>
    <row r="5220" ht="15.2" spans="1:10">
      <c r="A5220" s="58" t="s">
        <v>5828</v>
      </c>
      <c r="B5220" s="59">
        <v>508.1</v>
      </c>
      <c r="C5220" s="59">
        <v>1689</v>
      </c>
      <c r="D5220" s="59" t="s">
        <v>801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ht="15.2" spans="1:10">
      <c r="A5221" s="58" t="s">
        <v>5829</v>
      </c>
      <c r="B5221" s="59">
        <v>3535.13</v>
      </c>
      <c r="C5221" s="59">
        <v>5999</v>
      </c>
      <c r="D5221" s="59" t="s">
        <v>803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ht="15.2" spans="1:10">
      <c r="A5222" s="58" t="s">
        <v>5830</v>
      </c>
      <c r="B5222" s="59">
        <v>517.45</v>
      </c>
      <c r="C5222" s="59">
        <v>799</v>
      </c>
      <c r="D5222" s="59" t="s">
        <v>803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ht="15.2" spans="1:10">
      <c r="A5223" s="58" t="s">
        <v>5831</v>
      </c>
      <c r="B5223" s="59">
        <v>2063.68</v>
      </c>
      <c r="C5223" s="59">
        <v>3399</v>
      </c>
      <c r="D5223" s="59" t="s">
        <v>803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2063.68</v>
      </c>
      <c r="J5223" s="60">
        <f t="shared" si="246"/>
        <v>3399</v>
      </c>
    </row>
    <row r="5224" ht="15.2" spans="1:10">
      <c r="A5224" s="58" t="s">
        <v>5832</v>
      </c>
      <c r="B5224" s="59">
        <v>2102</v>
      </c>
      <c r="C5224" s="59">
        <v>3199</v>
      </c>
      <c r="D5224" s="59" t="s">
        <v>803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ht="15.2" spans="1:10">
      <c r="A5225" s="58" t="s">
        <v>5833</v>
      </c>
      <c r="B5225" s="59">
        <v>1395.82</v>
      </c>
      <c r="C5225" s="59">
        <v>2299</v>
      </c>
      <c r="D5225" s="59" t="s">
        <v>803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ht="15.2" spans="1:10">
      <c r="A5226" s="58" t="s">
        <v>5834</v>
      </c>
      <c r="B5226" s="59">
        <v>248</v>
      </c>
      <c r="C5226" s="59">
        <v>559</v>
      </c>
      <c r="D5226" s="59" t="s">
        <v>801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</v>
      </c>
    </row>
    <row r="5227" ht="15.2" spans="1:10">
      <c r="A5227" s="58" t="s">
        <v>5835</v>
      </c>
      <c r="B5227" s="59">
        <v>1177.98</v>
      </c>
      <c r="C5227" s="59">
        <v>1999</v>
      </c>
      <c r="D5227" s="59" t="s">
        <v>803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ht="15.2" spans="1:10">
      <c r="A5228" s="58" t="s">
        <v>5836</v>
      </c>
      <c r="B5228" s="59">
        <v>1313.5</v>
      </c>
      <c r="C5228" s="59">
        <v>1999</v>
      </c>
      <c r="D5228" s="59" t="s">
        <v>803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ht="15.2" spans="1:10">
      <c r="A5229" s="58" t="s">
        <v>5837</v>
      </c>
      <c r="B5229" s="59">
        <v>456</v>
      </c>
      <c r="C5229" s="59">
        <v>958</v>
      </c>
      <c r="D5229" s="59" t="s">
        <v>801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ht="15.2" spans="1:10">
      <c r="A5230" s="58" t="s">
        <v>5838</v>
      </c>
      <c r="B5230" s="59">
        <v>722.13</v>
      </c>
      <c r="C5230" s="59">
        <v>1099</v>
      </c>
      <c r="D5230" s="59" t="s">
        <v>803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ht="15.2" spans="1:10">
      <c r="A5231" s="58" t="s">
        <v>5839</v>
      </c>
      <c r="B5231" s="59">
        <v>1354.77</v>
      </c>
      <c r="C5231" s="59">
        <v>2299</v>
      </c>
      <c r="D5231" s="59" t="s">
        <v>803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ht="15.2" spans="1:10">
      <c r="A5232" s="58" t="s">
        <v>5840</v>
      </c>
      <c r="B5232" s="59">
        <v>1638.68</v>
      </c>
      <c r="C5232" s="59">
        <v>2699</v>
      </c>
      <c r="D5232" s="59" t="s">
        <v>803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ht="15.2" spans="1:10">
      <c r="A5233" s="58" t="s">
        <v>5841</v>
      </c>
      <c r="B5233" s="59">
        <v>2651.2</v>
      </c>
      <c r="C5233" s="59">
        <v>4499</v>
      </c>
      <c r="D5233" s="59" t="s">
        <v>803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ht="15.2" spans="1:10">
      <c r="A5234" s="58" t="s">
        <v>5842</v>
      </c>
      <c r="B5234" s="59">
        <v>661</v>
      </c>
      <c r="C5234" s="59">
        <v>1382</v>
      </c>
      <c r="D5234" s="59" t="s">
        <v>801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ht="15.2" spans="1:10">
      <c r="A5235" s="58" t="s">
        <v>5843</v>
      </c>
      <c r="B5235" s="59">
        <v>1545.44</v>
      </c>
      <c r="C5235" s="59">
        <v>2399</v>
      </c>
      <c r="D5235" s="59" t="s">
        <v>803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ht="15.2" spans="1:10">
      <c r="A5236" s="58" t="s">
        <v>5844</v>
      </c>
      <c r="B5236" s="59">
        <v>461</v>
      </c>
      <c r="C5236" s="59">
        <v>1094</v>
      </c>
      <c r="D5236" s="59" t="s">
        <v>801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ht="15.2" spans="1:10">
      <c r="A5237" s="58" t="s">
        <v>5845</v>
      </c>
      <c r="B5237" s="59">
        <v>299</v>
      </c>
      <c r="C5237" s="59">
        <v>628</v>
      </c>
      <c r="D5237" s="59" t="s">
        <v>801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ht="15.2" spans="1:10">
      <c r="A5238" s="58" t="s">
        <v>5846</v>
      </c>
      <c r="B5238" s="59">
        <v>1576.34</v>
      </c>
      <c r="C5238" s="59">
        <v>2399</v>
      </c>
      <c r="D5238" s="59" t="s">
        <v>803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ht="15.2" spans="1:10">
      <c r="A5239" s="58" t="s">
        <v>5847</v>
      </c>
      <c r="B5239" s="59">
        <v>1313.5</v>
      </c>
      <c r="C5239" s="59">
        <v>1999</v>
      </c>
      <c r="D5239" s="59" t="s">
        <v>803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ht="15.2" spans="1:10">
      <c r="A5240" s="58" t="s">
        <v>5848</v>
      </c>
      <c r="B5240" s="59">
        <v>358</v>
      </c>
      <c r="C5240" s="59">
        <v>880</v>
      </c>
      <c r="D5240" s="59" t="s">
        <v>801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</v>
      </c>
      <c r="J5240" s="60">
        <f t="shared" si="246"/>
        <v>1408</v>
      </c>
    </row>
    <row r="5241" ht="15.2" spans="1:10">
      <c r="A5241" s="58" t="s">
        <v>5849</v>
      </c>
      <c r="B5241" s="59">
        <v>1638.68</v>
      </c>
      <c r="C5241" s="59">
        <v>2699</v>
      </c>
      <c r="D5241" s="59" t="s">
        <v>803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ht="15.2" spans="1:10">
      <c r="A5242" s="58" t="s">
        <v>5850</v>
      </c>
      <c r="B5242" s="59">
        <v>525</v>
      </c>
      <c r="C5242" s="59">
        <v>799</v>
      </c>
      <c r="D5242" s="59" t="s">
        <v>803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ht="15.2" spans="1:10">
      <c r="A5243" s="58" t="s">
        <v>5851</v>
      </c>
      <c r="B5243" s="59">
        <v>1354.77</v>
      </c>
      <c r="C5243" s="59">
        <v>2299</v>
      </c>
      <c r="D5243" s="59" t="s">
        <v>803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ht="15.2" spans="1:10">
      <c r="A5244" s="58" t="s">
        <v>5852</v>
      </c>
      <c r="B5244" s="59">
        <v>1158.92</v>
      </c>
      <c r="C5244" s="59">
        <v>1799</v>
      </c>
      <c r="D5244" s="59" t="s">
        <v>803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ht="15.2" spans="1:10">
      <c r="A5245" s="58" t="s">
        <v>5853</v>
      </c>
      <c r="B5245" s="59">
        <v>908.84</v>
      </c>
      <c r="C5245" s="59">
        <v>1399</v>
      </c>
      <c r="D5245" s="59" t="s">
        <v>803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ht="15.2" spans="1:10">
      <c r="A5246" s="58" t="s">
        <v>5854</v>
      </c>
      <c r="B5246" s="59">
        <v>1335.11</v>
      </c>
      <c r="C5246" s="59">
        <v>2199</v>
      </c>
      <c r="D5246" s="59" t="s">
        <v>803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ht="15.2" spans="1:10">
      <c r="A5247" s="58" t="s">
        <v>5855</v>
      </c>
      <c r="B5247" s="59">
        <v>1820.82</v>
      </c>
      <c r="C5247" s="59">
        <v>2899</v>
      </c>
      <c r="D5247" s="59" t="s">
        <v>803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ht="15.2" spans="1:10">
      <c r="A5248" s="58" t="s">
        <v>5856</v>
      </c>
      <c r="B5248" s="59">
        <v>970.78</v>
      </c>
      <c r="C5248" s="59">
        <v>1499</v>
      </c>
      <c r="D5248" s="59" t="s">
        <v>803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ht="15.2" spans="1:10">
      <c r="A5249" s="58" t="s">
        <v>5857</v>
      </c>
      <c r="B5249" s="59">
        <v>965.66</v>
      </c>
      <c r="C5249" s="59">
        <v>1499</v>
      </c>
      <c r="D5249" s="59" t="s">
        <v>803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ht="15.2" spans="1:10">
      <c r="A5250" s="58" t="s">
        <v>5858</v>
      </c>
      <c r="B5250" s="59">
        <v>1287.76</v>
      </c>
      <c r="C5250" s="59">
        <v>1999</v>
      </c>
      <c r="D5250" s="59" t="s">
        <v>803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ht="15.2" spans="1:10">
      <c r="A5251" s="58" t="s">
        <v>109</v>
      </c>
      <c r="B5251" s="59">
        <v>699</v>
      </c>
      <c r="C5251" s="59">
        <v>1468</v>
      </c>
      <c r="D5251" s="59" t="s">
        <v>801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ht="15.2" spans="1:10">
      <c r="A5252" s="58" t="s">
        <v>5859</v>
      </c>
      <c r="B5252" s="59">
        <v>390</v>
      </c>
      <c r="C5252" s="59">
        <v>928</v>
      </c>
      <c r="D5252" s="59" t="s">
        <v>801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8908.8</v>
      </c>
    </row>
    <row r="5253" ht="15.2" spans="1:10">
      <c r="A5253" s="58" t="s">
        <v>5860</v>
      </c>
      <c r="B5253" s="59">
        <v>629</v>
      </c>
      <c r="C5253" s="59">
        <v>1407</v>
      </c>
      <c r="D5253" s="59" t="s">
        <v>801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</v>
      </c>
      <c r="J5253" s="60">
        <f t="shared" si="249"/>
        <v>16602.6</v>
      </c>
    </row>
    <row r="5254" ht="15.2" spans="1:10">
      <c r="A5254" s="58" t="s">
        <v>5861</v>
      </c>
      <c r="B5254" s="59">
        <v>1577.96</v>
      </c>
      <c r="C5254" s="59">
        <v>2499</v>
      </c>
      <c r="D5254" s="59" t="s">
        <v>803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ht="15.2" spans="1:10">
      <c r="A5255" s="58" t="s">
        <v>5862</v>
      </c>
      <c r="B5255" s="59">
        <v>1576.34</v>
      </c>
      <c r="C5255" s="59">
        <v>2399</v>
      </c>
      <c r="D5255" s="59" t="s">
        <v>803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ht="15.2" spans="1:10">
      <c r="A5256" s="58" t="s">
        <v>5863</v>
      </c>
      <c r="B5256" s="59">
        <v>2002.96</v>
      </c>
      <c r="C5256" s="59">
        <v>3299</v>
      </c>
      <c r="D5256" s="59" t="s">
        <v>803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ht="15.2" spans="1:10">
      <c r="A5257" s="58" t="s">
        <v>5864</v>
      </c>
      <c r="B5257" s="59">
        <v>1456.54</v>
      </c>
      <c r="C5257" s="59">
        <v>2399</v>
      </c>
      <c r="D5257" s="59" t="s">
        <v>803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ht="15.2" spans="1:10">
      <c r="A5258" s="58" t="s">
        <v>5865</v>
      </c>
      <c r="B5258" s="59">
        <v>1384</v>
      </c>
      <c r="C5258" s="59">
        <v>2977</v>
      </c>
      <c r="D5258" s="59" t="s">
        <v>801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</v>
      </c>
      <c r="J5258" s="60">
        <f t="shared" si="249"/>
        <v>17713.15</v>
      </c>
    </row>
    <row r="5259" ht="15.2" spans="1:10">
      <c r="A5259" s="58" t="s">
        <v>693</v>
      </c>
      <c r="B5259" s="59">
        <v>409</v>
      </c>
      <c r="C5259" s="59">
        <v>1032</v>
      </c>
      <c r="D5259" s="59" t="s">
        <v>801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ht="15.2" spans="1:10">
      <c r="A5260" s="58" t="s">
        <v>5866</v>
      </c>
      <c r="B5260" s="59">
        <v>319.2</v>
      </c>
      <c r="C5260" s="59">
        <v>838</v>
      </c>
      <c r="D5260" s="59" t="s">
        <v>801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3575.04</v>
      </c>
      <c r="J5260" s="60">
        <f t="shared" si="249"/>
        <v>9385.6</v>
      </c>
    </row>
    <row r="5261" ht="15.2" spans="1:10">
      <c r="A5261" s="58" t="s">
        <v>5867</v>
      </c>
      <c r="B5261" s="59">
        <v>4249.39</v>
      </c>
      <c r="C5261" s="59">
        <v>6999</v>
      </c>
      <c r="D5261" s="59" t="s">
        <v>803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ht="15.2" spans="1:10">
      <c r="A5262" s="58" t="s">
        <v>5868</v>
      </c>
      <c r="B5262" s="59">
        <v>1576.34</v>
      </c>
      <c r="C5262" s="59">
        <v>2399</v>
      </c>
      <c r="D5262" s="59" t="s">
        <v>803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ht="15.2" spans="1:10">
      <c r="A5263" s="58" t="s">
        <v>5869</v>
      </c>
      <c r="B5263" s="59">
        <v>1638.68</v>
      </c>
      <c r="C5263" s="59">
        <v>2699</v>
      </c>
      <c r="D5263" s="59" t="s">
        <v>803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ht="15.2" spans="1:10">
      <c r="A5264" s="58" t="s">
        <v>5870</v>
      </c>
      <c r="B5264" s="59">
        <v>901.24</v>
      </c>
      <c r="C5264" s="59">
        <v>1399</v>
      </c>
      <c r="D5264" s="59" t="s">
        <v>803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ht="15.2" spans="1:10">
      <c r="A5265" s="58" t="s">
        <v>148</v>
      </c>
      <c r="B5265" s="59">
        <v>502</v>
      </c>
      <c r="C5265" s="59">
        <v>1181</v>
      </c>
      <c r="D5265" s="59" t="s">
        <v>801</v>
      </c>
      <c r="E5265" s="59">
        <v>17.6</v>
      </c>
      <c r="F5265" s="59">
        <v>17.6</v>
      </c>
      <c r="G5265" s="59">
        <v>0</v>
      </c>
      <c r="H5265" s="60">
        <f t="shared" si="247"/>
        <v>17.6</v>
      </c>
      <c r="I5265" s="60">
        <f t="shared" si="248"/>
        <v>8835.2</v>
      </c>
      <c r="J5265" s="60">
        <f t="shared" si="249"/>
        <v>20785.6</v>
      </c>
    </row>
    <row r="5266" ht="15.2" spans="1:10">
      <c r="A5266" s="58" t="s">
        <v>5871</v>
      </c>
      <c r="B5266" s="59">
        <v>656.42</v>
      </c>
      <c r="C5266" s="59">
        <v>999</v>
      </c>
      <c r="D5266" s="59" t="s">
        <v>803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ht="15.2" spans="1:10">
      <c r="A5267" s="58" t="s">
        <v>5872</v>
      </c>
      <c r="B5267" s="59">
        <v>649</v>
      </c>
      <c r="C5267" s="59">
        <v>1447</v>
      </c>
      <c r="D5267" s="59" t="s">
        <v>801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3111.05</v>
      </c>
    </row>
    <row r="5268" ht="15.2" spans="1:10">
      <c r="A5268" s="58" t="s">
        <v>204</v>
      </c>
      <c r="B5268" s="59">
        <v>399</v>
      </c>
      <c r="C5268" s="59">
        <v>892</v>
      </c>
      <c r="D5268" s="59" t="s">
        <v>801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6957.6</v>
      </c>
    </row>
    <row r="5269" ht="15.2" spans="1:10">
      <c r="A5269" s="58" t="s">
        <v>5873</v>
      </c>
      <c r="B5269" s="59">
        <v>5892.27</v>
      </c>
      <c r="C5269" s="59">
        <v>9999</v>
      </c>
      <c r="D5269" s="59" t="s">
        <v>803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ht="15.2" spans="1:10">
      <c r="A5270" s="58" t="s">
        <v>5874</v>
      </c>
      <c r="B5270" s="59">
        <v>1444.92</v>
      </c>
      <c r="C5270" s="59">
        <v>2199</v>
      </c>
      <c r="D5270" s="59" t="s">
        <v>803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ht="15.2" spans="1:10">
      <c r="A5271" s="58" t="s">
        <v>5875</v>
      </c>
      <c r="B5271" s="59">
        <v>296</v>
      </c>
      <c r="C5271" s="59">
        <v>638</v>
      </c>
      <c r="D5271" s="59" t="s">
        <v>801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</v>
      </c>
    </row>
    <row r="5272" ht="15.2" spans="1:10">
      <c r="A5272" s="58" t="s">
        <v>5876</v>
      </c>
      <c r="B5272" s="59">
        <v>274</v>
      </c>
      <c r="C5272" s="59">
        <v>560</v>
      </c>
      <c r="D5272" s="59" t="s">
        <v>801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</v>
      </c>
      <c r="J5272" s="60">
        <f t="shared" si="249"/>
        <v>224</v>
      </c>
    </row>
    <row r="5273" ht="15.2" spans="1:10">
      <c r="A5273" s="58" t="s">
        <v>5877</v>
      </c>
      <c r="B5273" s="59">
        <v>1182.09</v>
      </c>
      <c r="C5273" s="59">
        <v>1799</v>
      </c>
      <c r="D5273" s="59" t="s">
        <v>803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ht="15.2" spans="1:10">
      <c r="A5274" s="58" t="s">
        <v>5878</v>
      </c>
      <c r="B5274" s="59">
        <v>1274.4</v>
      </c>
      <c r="C5274" s="59">
        <v>2099</v>
      </c>
      <c r="D5274" s="59" t="s">
        <v>803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ht="15.2" spans="1:10">
      <c r="A5275" s="58" t="s">
        <v>5879</v>
      </c>
      <c r="B5275" s="59">
        <v>1213.68</v>
      </c>
      <c r="C5275" s="59">
        <v>1999</v>
      </c>
      <c r="D5275" s="59" t="s">
        <v>803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ht="15.2" spans="1:10">
      <c r="A5276" s="58" t="s">
        <v>5880</v>
      </c>
      <c r="B5276" s="59">
        <v>305.5</v>
      </c>
      <c r="C5276" s="59">
        <v>845</v>
      </c>
      <c r="D5276" s="59" t="s">
        <v>801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ht="15.2" spans="1:10">
      <c r="A5277" s="58" t="s">
        <v>5881</v>
      </c>
      <c r="B5277" s="59">
        <v>590.71</v>
      </c>
      <c r="C5277" s="59">
        <v>899</v>
      </c>
      <c r="D5277" s="59" t="s">
        <v>803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ht="15.2" spans="1:10">
      <c r="A5278" s="58" t="s">
        <v>314</v>
      </c>
      <c r="B5278" s="59">
        <v>499</v>
      </c>
      <c r="C5278" s="59">
        <v>1048</v>
      </c>
      <c r="D5278" s="59" t="s">
        <v>801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ht="15.2" spans="1:10">
      <c r="A5279" s="58" t="s">
        <v>5882</v>
      </c>
      <c r="B5279" s="59">
        <v>4249.39</v>
      </c>
      <c r="C5279" s="59">
        <v>6999</v>
      </c>
      <c r="D5279" s="59" t="s">
        <v>803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</v>
      </c>
      <c r="J5279" s="60">
        <f t="shared" si="249"/>
        <v>6999</v>
      </c>
    </row>
    <row r="5280" ht="15.2" spans="1:10">
      <c r="A5280" s="58" t="s">
        <v>5883</v>
      </c>
      <c r="B5280" s="59">
        <v>1444.92</v>
      </c>
      <c r="C5280" s="59">
        <v>2199</v>
      </c>
      <c r="D5280" s="59" t="s">
        <v>803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ht="15.2" spans="1:10">
      <c r="A5281" s="58" t="s">
        <v>5884</v>
      </c>
      <c r="B5281" s="59">
        <v>1820.82</v>
      </c>
      <c r="C5281" s="59">
        <v>2999</v>
      </c>
      <c r="D5281" s="59" t="s">
        <v>803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ht="15.2" spans="1:10">
      <c r="A5282" s="58" t="s">
        <v>5885</v>
      </c>
      <c r="B5282" s="59">
        <v>906.02</v>
      </c>
      <c r="C5282" s="59">
        <v>1399</v>
      </c>
      <c r="D5282" s="59" t="s">
        <v>803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ht="15.2" spans="1:10">
      <c r="A5283" s="58" t="s">
        <v>5886</v>
      </c>
      <c r="B5283" s="59">
        <v>425</v>
      </c>
      <c r="C5283" s="59">
        <v>951</v>
      </c>
      <c r="D5283" s="59" t="s">
        <v>801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ht="15.2" spans="1:10">
      <c r="A5284" s="58" t="s">
        <v>5887</v>
      </c>
      <c r="B5284" s="59">
        <v>459</v>
      </c>
      <c r="C5284" s="59">
        <v>1132</v>
      </c>
      <c r="D5284" s="59" t="s">
        <v>801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</v>
      </c>
      <c r="J5284" s="60">
        <f t="shared" si="249"/>
        <v>11772.8</v>
      </c>
    </row>
    <row r="5285" ht="15.2" spans="1:10">
      <c r="A5285" s="58" t="s">
        <v>5888</v>
      </c>
      <c r="B5285" s="59">
        <v>1354.77</v>
      </c>
      <c r="C5285" s="59">
        <v>2299</v>
      </c>
      <c r="D5285" s="59" t="s">
        <v>803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ht="15.2" spans="1:10">
      <c r="A5286" s="58" t="s">
        <v>5889</v>
      </c>
      <c r="B5286" s="59">
        <v>1517.25</v>
      </c>
      <c r="C5286" s="59">
        <v>2499</v>
      </c>
      <c r="D5286" s="59" t="s">
        <v>803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ht="15.2" spans="1:10">
      <c r="A5287" s="58" t="s">
        <v>5890</v>
      </c>
      <c r="B5287" s="59">
        <v>1638.68</v>
      </c>
      <c r="C5287" s="59">
        <v>2699</v>
      </c>
      <c r="D5287" s="59" t="s">
        <v>803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ht="15.2" spans="1:10">
      <c r="A5288" s="58" t="s">
        <v>5891</v>
      </c>
      <c r="B5288" s="59">
        <v>438</v>
      </c>
      <c r="C5288" s="59">
        <v>1049</v>
      </c>
      <c r="D5288" s="59" t="s">
        <v>801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ht="15.2" spans="1:10">
      <c r="A5289" s="58" t="s">
        <v>5892</v>
      </c>
      <c r="B5289" s="59">
        <v>273</v>
      </c>
      <c r="C5289" s="59">
        <v>561</v>
      </c>
      <c r="D5289" s="59" t="s">
        <v>801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ht="15.2" spans="1:10">
      <c r="A5290" s="58" t="s">
        <v>5893</v>
      </c>
      <c r="B5290" s="59">
        <v>1152.96</v>
      </c>
      <c r="C5290" s="59">
        <v>1899</v>
      </c>
      <c r="D5290" s="59" t="s">
        <v>803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ht="15.2" spans="1:10">
      <c r="A5291" s="58" t="s">
        <v>5894</v>
      </c>
      <c r="B5291" s="59">
        <v>1274.39</v>
      </c>
      <c r="C5291" s="59">
        <v>2099</v>
      </c>
      <c r="D5291" s="59" t="s">
        <v>803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</v>
      </c>
      <c r="J5291" s="60">
        <f t="shared" si="249"/>
        <v>4198</v>
      </c>
    </row>
    <row r="5292" ht="15.2" spans="1:10">
      <c r="A5292" s="58" t="s">
        <v>5895</v>
      </c>
      <c r="B5292" s="59">
        <v>1472.63</v>
      </c>
      <c r="C5292" s="59">
        <v>2499</v>
      </c>
      <c r="D5292" s="59" t="s">
        <v>803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ht="15.2" spans="1:10">
      <c r="A5293" s="58" t="s">
        <v>5896</v>
      </c>
      <c r="B5293" s="59">
        <v>495</v>
      </c>
      <c r="C5293" s="59">
        <v>1040</v>
      </c>
      <c r="D5293" s="59" t="s">
        <v>801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ht="15.2" spans="1:10">
      <c r="A5294" s="58" t="s">
        <v>5897</v>
      </c>
      <c r="B5294" s="59">
        <v>306.3</v>
      </c>
      <c r="C5294" s="59">
        <v>989</v>
      </c>
      <c r="D5294" s="59" t="s">
        <v>801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ht="15.2" spans="1:10">
      <c r="A5295" s="58" t="s">
        <v>5898</v>
      </c>
      <c r="B5295" s="59">
        <v>1213.68</v>
      </c>
      <c r="C5295" s="59">
        <v>1999</v>
      </c>
      <c r="D5295" s="59" t="s">
        <v>803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ht="15.2" spans="1:10">
      <c r="A5296" s="58" t="s">
        <v>5899</v>
      </c>
      <c r="B5296" s="59">
        <v>1444.92</v>
      </c>
      <c r="C5296" s="59">
        <v>2199</v>
      </c>
      <c r="D5296" s="59" t="s">
        <v>803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ht="15.2" spans="1:10">
      <c r="A5297" s="58" t="s">
        <v>5900</v>
      </c>
      <c r="B5297" s="59">
        <v>1287.76</v>
      </c>
      <c r="C5297" s="59">
        <v>1999</v>
      </c>
      <c r="D5297" s="59" t="s">
        <v>803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ht="15.2" spans="1:10">
      <c r="A5298" s="58" t="s">
        <v>5901</v>
      </c>
      <c r="B5298" s="59">
        <v>1395.82</v>
      </c>
      <c r="C5298" s="59">
        <v>2299</v>
      </c>
      <c r="D5298" s="59" t="s">
        <v>803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ht="15.2" spans="1:10">
      <c r="A5299" s="58" t="s">
        <v>5902</v>
      </c>
      <c r="B5299" s="59">
        <v>1416.6</v>
      </c>
      <c r="C5299" s="59">
        <v>2199</v>
      </c>
      <c r="D5299" s="59" t="s">
        <v>803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ht="15.2" spans="1:10">
      <c r="A5300" s="58" t="s">
        <v>5903</v>
      </c>
      <c r="B5300" s="59">
        <v>906.02</v>
      </c>
      <c r="C5300" s="59">
        <v>1399</v>
      </c>
      <c r="D5300" s="59" t="s">
        <v>803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ht="15.2" spans="1:10">
      <c r="A5301" s="58" t="s">
        <v>5904</v>
      </c>
      <c r="B5301" s="59">
        <v>1313.5</v>
      </c>
      <c r="C5301" s="59">
        <v>1999</v>
      </c>
      <c r="D5301" s="59" t="s">
        <v>803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ht="15.2" spans="1:10">
      <c r="A5302" s="58" t="s">
        <v>5905</v>
      </c>
      <c r="B5302" s="59">
        <v>1576.34</v>
      </c>
      <c r="C5302" s="59">
        <v>2399</v>
      </c>
      <c r="D5302" s="59" t="s">
        <v>803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ht="15.2" spans="1:10">
      <c r="A5303" s="58" t="s">
        <v>5906</v>
      </c>
      <c r="B5303" s="59">
        <v>1456.54</v>
      </c>
      <c r="C5303" s="59">
        <v>2399</v>
      </c>
      <c r="D5303" s="59" t="s">
        <v>803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ht="15.2" spans="1:10">
      <c r="A5304" s="58" t="s">
        <v>5907</v>
      </c>
      <c r="B5304" s="59">
        <v>5463.68</v>
      </c>
      <c r="C5304" s="59">
        <v>8999</v>
      </c>
      <c r="D5304" s="59" t="s">
        <v>803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ht="15.2" spans="1:10">
      <c r="A5305" s="58" t="s">
        <v>5908</v>
      </c>
      <c r="B5305" s="59">
        <v>409</v>
      </c>
      <c r="C5305" s="59">
        <v>970</v>
      </c>
      <c r="D5305" s="59" t="s">
        <v>801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</v>
      </c>
      <c r="J5305" s="60">
        <f t="shared" si="249"/>
        <v>194</v>
      </c>
    </row>
    <row r="5306" ht="15.2" spans="1:10">
      <c r="A5306" s="58" t="s">
        <v>5909</v>
      </c>
      <c r="B5306" s="59">
        <v>1510.63</v>
      </c>
      <c r="C5306" s="59">
        <v>2299</v>
      </c>
      <c r="D5306" s="59" t="s">
        <v>803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ht="15.2" spans="1:10">
      <c r="A5307" s="58" t="s">
        <v>5910</v>
      </c>
      <c r="B5307" s="59">
        <v>496.7</v>
      </c>
      <c r="C5307" s="59">
        <v>1658</v>
      </c>
      <c r="D5307" s="59" t="s">
        <v>801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ht="15.2" spans="1:10">
      <c r="A5308" s="58" t="s">
        <v>5911</v>
      </c>
      <c r="B5308" s="59">
        <v>2356.55</v>
      </c>
      <c r="C5308" s="59">
        <v>3999</v>
      </c>
      <c r="D5308" s="59" t="s">
        <v>803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</v>
      </c>
      <c r="J5308" s="60">
        <f t="shared" si="249"/>
        <v>3999</v>
      </c>
    </row>
    <row r="5309" ht="15.2" spans="1:10">
      <c r="A5309" s="58" t="s">
        <v>5912</v>
      </c>
      <c r="B5309" s="59">
        <v>1472.63</v>
      </c>
      <c r="C5309" s="59">
        <v>2499</v>
      </c>
      <c r="D5309" s="59" t="s">
        <v>803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ht="15.2" spans="1:10">
      <c r="A5310" s="58" t="s">
        <v>5913</v>
      </c>
      <c r="B5310" s="59">
        <v>923</v>
      </c>
      <c r="C5310" s="59">
        <v>2490</v>
      </c>
      <c r="D5310" s="59" t="s">
        <v>801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</v>
      </c>
      <c r="J5310" s="60">
        <f t="shared" si="249"/>
        <v>5851.5</v>
      </c>
    </row>
    <row r="5311" ht="15.2" spans="1:10">
      <c r="A5311" s="58" t="s">
        <v>5914</v>
      </c>
      <c r="B5311" s="59">
        <v>1760.11</v>
      </c>
      <c r="C5311" s="59">
        <v>2899</v>
      </c>
      <c r="D5311" s="59" t="s">
        <v>803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ht="15.2" spans="1:10">
      <c r="A5312" s="58" t="s">
        <v>5915</v>
      </c>
      <c r="B5312" s="59">
        <v>420</v>
      </c>
      <c r="C5312" s="59">
        <v>1040</v>
      </c>
      <c r="D5312" s="59" t="s">
        <v>801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ht="15.2" spans="1:10">
      <c r="A5313" s="58" t="s">
        <v>222</v>
      </c>
      <c r="B5313" s="59">
        <v>399</v>
      </c>
      <c r="C5313" s="59">
        <v>892</v>
      </c>
      <c r="D5313" s="59" t="s">
        <v>801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</v>
      </c>
      <c r="J5313" s="60">
        <f t="shared" si="249"/>
        <v>1382.6</v>
      </c>
    </row>
    <row r="5314" ht="15.2" spans="1:10">
      <c r="A5314" s="58" t="s">
        <v>5916</v>
      </c>
      <c r="B5314" s="59">
        <v>1247.8</v>
      </c>
      <c r="C5314" s="59">
        <v>1899</v>
      </c>
      <c r="D5314" s="59" t="s">
        <v>803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ht="15.2" spans="1:10">
      <c r="A5315" s="58" t="s">
        <v>5917</v>
      </c>
      <c r="B5315" s="59">
        <v>1313.5</v>
      </c>
      <c r="C5315" s="59">
        <v>1999</v>
      </c>
      <c r="D5315" s="59" t="s">
        <v>803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ht="15.2" spans="1:10">
      <c r="A5316" s="58" t="s">
        <v>5918</v>
      </c>
      <c r="B5316" s="59">
        <v>1517.25</v>
      </c>
      <c r="C5316" s="59">
        <v>2499</v>
      </c>
      <c r="D5316" s="59" t="s">
        <v>803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ht="15.2" spans="1:10">
      <c r="A5317" s="58" t="s">
        <v>5919</v>
      </c>
      <c r="B5317" s="59">
        <v>906.02</v>
      </c>
      <c r="C5317" s="59">
        <v>1399</v>
      </c>
      <c r="D5317" s="59" t="s">
        <v>803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ht="15.2" spans="1:10">
      <c r="A5318" s="58" t="s">
        <v>5920</v>
      </c>
      <c r="B5318" s="59">
        <v>2005</v>
      </c>
      <c r="C5318" s="59">
        <v>4741</v>
      </c>
      <c r="D5318" s="59" t="s">
        <v>801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</v>
      </c>
    </row>
    <row r="5319" ht="15.2" spans="1:10">
      <c r="A5319" s="58" t="s">
        <v>5921</v>
      </c>
      <c r="B5319" s="59">
        <v>267</v>
      </c>
      <c r="C5319" s="59">
        <v>546</v>
      </c>
      <c r="D5319" s="59" t="s">
        <v>801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80.1</v>
      </c>
      <c r="J5319" s="60">
        <f t="shared" si="252"/>
        <v>163.8</v>
      </c>
    </row>
    <row r="5320" ht="15.2" spans="1:10">
      <c r="A5320" s="58" t="s">
        <v>5922</v>
      </c>
      <c r="B5320" s="59">
        <v>257</v>
      </c>
      <c r="C5320" s="59">
        <v>565</v>
      </c>
      <c r="D5320" s="59" t="s">
        <v>801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ht="15.2" spans="1:10">
      <c r="A5321" s="58" t="s">
        <v>5923</v>
      </c>
      <c r="B5321" s="59">
        <v>661</v>
      </c>
      <c r="C5321" s="59">
        <v>1567</v>
      </c>
      <c r="D5321" s="59" t="s">
        <v>801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</v>
      </c>
      <c r="J5321" s="60">
        <f t="shared" si="252"/>
        <v>15121.55</v>
      </c>
    </row>
    <row r="5322" ht="15.2" spans="1:10">
      <c r="A5322" s="58" t="s">
        <v>5924</v>
      </c>
      <c r="B5322" s="59">
        <v>1456.54</v>
      </c>
      <c r="C5322" s="59">
        <v>2399</v>
      </c>
      <c r="D5322" s="59" t="s">
        <v>803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ht="15.2" spans="1:10">
      <c r="A5323" s="58" t="s">
        <v>5925</v>
      </c>
      <c r="B5323" s="59">
        <v>970.78</v>
      </c>
      <c r="C5323" s="59">
        <v>1499</v>
      </c>
      <c r="D5323" s="59" t="s">
        <v>803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ht="15.2" spans="1:10">
      <c r="A5324" s="58" t="s">
        <v>5926</v>
      </c>
      <c r="B5324" s="59">
        <v>1456.54</v>
      </c>
      <c r="C5324" s="59">
        <v>2399</v>
      </c>
      <c r="D5324" s="59" t="s">
        <v>803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ht="15.2" spans="1:10">
      <c r="A5325" s="58" t="s">
        <v>350</v>
      </c>
      <c r="B5325" s="59">
        <v>502</v>
      </c>
      <c r="C5325" s="59">
        <v>1117</v>
      </c>
      <c r="D5325" s="59" t="s">
        <v>801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ht="15.2" spans="1:10">
      <c r="A5326" s="58" t="s">
        <v>5927</v>
      </c>
      <c r="B5326" s="59">
        <v>1213.68</v>
      </c>
      <c r="C5326" s="59">
        <v>1999</v>
      </c>
      <c r="D5326" s="59" t="s">
        <v>803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ht="15.2" spans="1:10">
      <c r="A5327" s="58" t="s">
        <v>5928</v>
      </c>
      <c r="B5327" s="59">
        <v>9106.54</v>
      </c>
      <c r="C5327" s="59">
        <v>14999</v>
      </c>
      <c r="D5327" s="59" t="s">
        <v>803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</v>
      </c>
      <c r="J5327" s="60">
        <f t="shared" si="252"/>
        <v>14999</v>
      </c>
    </row>
    <row r="5328" ht="15.2" spans="1:10">
      <c r="A5328" s="58" t="s">
        <v>5929</v>
      </c>
      <c r="B5328" s="59">
        <v>1699.39</v>
      </c>
      <c r="C5328" s="59">
        <v>2799</v>
      </c>
      <c r="D5328" s="59" t="s">
        <v>803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ht="15.2" spans="1:10">
      <c r="A5329" s="58" t="s">
        <v>5930</v>
      </c>
      <c r="B5329" s="59">
        <v>1287.76</v>
      </c>
      <c r="C5329" s="59">
        <v>1999</v>
      </c>
      <c r="D5329" s="59" t="s">
        <v>803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ht="15.2" spans="1:10">
      <c r="A5330" s="58" t="s">
        <v>5931</v>
      </c>
      <c r="B5330" s="59">
        <v>2102</v>
      </c>
      <c r="C5330" s="59">
        <v>3199</v>
      </c>
      <c r="D5330" s="59" t="s">
        <v>803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ht="15.2" spans="1:10">
      <c r="A5331" s="58" t="s">
        <v>5932</v>
      </c>
      <c r="B5331" s="59">
        <v>495</v>
      </c>
      <c r="C5331" s="59">
        <v>1040</v>
      </c>
      <c r="D5331" s="59" t="s">
        <v>801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ht="15.2" spans="1:10">
      <c r="A5332" s="58" t="s">
        <v>5933</v>
      </c>
      <c r="B5332" s="59">
        <v>1213.68</v>
      </c>
      <c r="C5332" s="59">
        <v>1999</v>
      </c>
      <c r="D5332" s="59" t="s">
        <v>803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ht="15.2" spans="1:10">
      <c r="A5333" s="58" t="s">
        <v>5934</v>
      </c>
      <c r="B5333" s="59">
        <v>1576.34</v>
      </c>
      <c r="C5333" s="59">
        <v>2399</v>
      </c>
      <c r="D5333" s="59" t="s">
        <v>803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ht="15.2" spans="1:10">
      <c r="A5334" s="58" t="s">
        <v>158</v>
      </c>
      <c r="B5334" s="59">
        <v>409</v>
      </c>
      <c r="C5334" s="59">
        <v>1032</v>
      </c>
      <c r="D5334" s="59" t="s">
        <v>801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9570.6</v>
      </c>
      <c r="J5334" s="60">
        <f t="shared" si="252"/>
        <v>24148.8</v>
      </c>
    </row>
    <row r="5335" ht="15.2" spans="1:10">
      <c r="A5335" s="58" t="s">
        <v>5935</v>
      </c>
      <c r="B5335" s="59">
        <v>1274.39</v>
      </c>
      <c r="C5335" s="59">
        <v>2099</v>
      </c>
      <c r="D5335" s="59" t="s">
        <v>803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ht="15.2" spans="1:10">
      <c r="A5336" s="58" t="s">
        <v>5936</v>
      </c>
      <c r="B5336" s="59">
        <v>340</v>
      </c>
      <c r="C5336" s="59">
        <v>788</v>
      </c>
      <c r="D5336" s="59" t="s">
        <v>801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</v>
      </c>
    </row>
    <row r="5337" ht="15.2" spans="1:10">
      <c r="A5337" s="58" t="s">
        <v>5937</v>
      </c>
      <c r="B5337" s="59">
        <v>1576.34</v>
      </c>
      <c r="C5337" s="59">
        <v>2399</v>
      </c>
      <c r="D5337" s="59" t="s">
        <v>803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ht="15.2" spans="1:10">
      <c r="A5338" s="58" t="s">
        <v>5938</v>
      </c>
      <c r="B5338" s="59">
        <v>582.21</v>
      </c>
      <c r="C5338" s="59">
        <v>899</v>
      </c>
      <c r="D5338" s="59" t="s">
        <v>803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ht="15.2" spans="1:10">
      <c r="A5339" s="58" t="s">
        <v>5939</v>
      </c>
      <c r="B5339" s="59">
        <v>1092.25</v>
      </c>
      <c r="C5339" s="59">
        <v>1799</v>
      </c>
      <c r="D5339" s="59" t="s">
        <v>803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ht="15.2" spans="1:10">
      <c r="A5340" s="58" t="s">
        <v>5940</v>
      </c>
      <c r="B5340" s="59">
        <v>905</v>
      </c>
      <c r="C5340" s="59">
        <v>2338</v>
      </c>
      <c r="D5340" s="59" t="s">
        <v>801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ht="15.2" spans="1:10">
      <c r="A5341" s="58" t="s">
        <v>5941</v>
      </c>
      <c r="B5341" s="59">
        <v>656.42</v>
      </c>
      <c r="C5341" s="59">
        <v>999</v>
      </c>
      <c r="D5341" s="59" t="s">
        <v>803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ht="15.2" spans="1:10">
      <c r="A5342" s="58" t="s">
        <v>5942</v>
      </c>
      <c r="B5342" s="59">
        <v>1247.8</v>
      </c>
      <c r="C5342" s="59">
        <v>1899</v>
      </c>
      <c r="D5342" s="59" t="s">
        <v>803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ht="15.2" spans="1:10">
      <c r="A5343" s="58" t="s">
        <v>5943</v>
      </c>
      <c r="B5343" s="59">
        <v>1456.54</v>
      </c>
      <c r="C5343" s="59">
        <v>2399</v>
      </c>
      <c r="D5343" s="59" t="s">
        <v>803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ht="15.2" spans="1:10">
      <c r="A5344" s="58" t="s">
        <v>5944</v>
      </c>
      <c r="B5344" s="59">
        <v>1904.87</v>
      </c>
      <c r="C5344" s="59">
        <v>2899</v>
      </c>
      <c r="D5344" s="59" t="s">
        <v>803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ht="15.2" spans="1:10">
      <c r="A5345" s="58" t="s">
        <v>5945</v>
      </c>
      <c r="B5345" s="59">
        <v>1062</v>
      </c>
      <c r="C5345" s="59">
        <v>2494</v>
      </c>
      <c r="D5345" s="59" t="s">
        <v>801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ht="15.2" spans="1:10">
      <c r="A5346" s="58" t="s">
        <v>5946</v>
      </c>
      <c r="B5346" s="59">
        <v>1395.82</v>
      </c>
      <c r="C5346" s="59">
        <v>2299</v>
      </c>
      <c r="D5346" s="59" t="s">
        <v>803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ht="15.2" spans="1:10">
      <c r="A5347" s="58" t="s">
        <v>5947</v>
      </c>
      <c r="B5347" s="59">
        <v>429</v>
      </c>
      <c r="C5347" s="59">
        <v>929</v>
      </c>
      <c r="D5347" s="59" t="s">
        <v>801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</v>
      </c>
      <c r="J5347" s="60">
        <f t="shared" si="252"/>
        <v>185.8</v>
      </c>
    </row>
    <row r="5348" ht="15.2" spans="1:10">
      <c r="A5348" s="58" t="s">
        <v>5948</v>
      </c>
      <c r="B5348" s="59">
        <v>319.2</v>
      </c>
      <c r="C5348" s="59">
        <v>838</v>
      </c>
      <c r="D5348" s="59" t="s">
        <v>801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ht="15.2" spans="1:10">
      <c r="A5349" s="58" t="s">
        <v>5949</v>
      </c>
      <c r="B5349" s="59">
        <v>340.15</v>
      </c>
      <c r="C5349" s="59">
        <v>788</v>
      </c>
      <c r="D5349" s="59" t="s">
        <v>801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3826.6875</v>
      </c>
      <c r="J5349" s="60">
        <f t="shared" si="252"/>
        <v>8865</v>
      </c>
    </row>
    <row r="5350" ht="15.2" spans="1:10">
      <c r="A5350" s="58" t="s">
        <v>5950</v>
      </c>
      <c r="B5350" s="59">
        <v>787.84</v>
      </c>
      <c r="C5350" s="59">
        <v>1199</v>
      </c>
      <c r="D5350" s="59" t="s">
        <v>803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ht="15.2" spans="1:10">
      <c r="A5351" s="58" t="s">
        <v>5951</v>
      </c>
      <c r="B5351" s="59">
        <v>1970.58</v>
      </c>
      <c r="C5351" s="59">
        <v>2999</v>
      </c>
      <c r="D5351" s="59" t="s">
        <v>803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ht="15.2" spans="1:10">
      <c r="A5352" s="58" t="s">
        <v>5952</v>
      </c>
      <c r="B5352" s="59">
        <v>380</v>
      </c>
      <c r="C5352" s="59">
        <v>873</v>
      </c>
      <c r="D5352" s="59" t="s">
        <v>801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ht="15.2" spans="1:10">
      <c r="A5353" s="58" t="s">
        <v>5953</v>
      </c>
      <c r="B5353" s="59">
        <v>1236.91</v>
      </c>
      <c r="C5353" s="59">
        <v>2099</v>
      </c>
      <c r="D5353" s="59" t="s">
        <v>803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</v>
      </c>
      <c r="J5353" s="60">
        <f t="shared" si="252"/>
        <v>4198</v>
      </c>
    </row>
    <row r="5354" ht="15.2" spans="1:10">
      <c r="A5354" s="58" t="s">
        <v>5954</v>
      </c>
      <c r="B5354" s="59">
        <v>332.1</v>
      </c>
      <c r="C5354" s="59">
        <v>810</v>
      </c>
      <c r="D5354" s="59" t="s">
        <v>801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</v>
      </c>
      <c r="J5354" s="60">
        <f t="shared" si="252"/>
        <v>2916</v>
      </c>
    </row>
    <row r="5355" ht="15.2" spans="1:10">
      <c r="A5355" s="58" t="s">
        <v>5955</v>
      </c>
      <c r="B5355" s="59">
        <v>1510.63</v>
      </c>
      <c r="C5355" s="59">
        <v>2299</v>
      </c>
      <c r="D5355" s="59" t="s">
        <v>803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ht="15.2" spans="1:10">
      <c r="A5356" s="58" t="s">
        <v>5956</v>
      </c>
      <c r="B5356" s="59">
        <v>2364.83</v>
      </c>
      <c r="C5356" s="59">
        <v>3599</v>
      </c>
      <c r="D5356" s="59" t="s">
        <v>803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ht="15.2" spans="1:10">
      <c r="A5357" s="58" t="s">
        <v>5957</v>
      </c>
      <c r="B5357" s="59">
        <v>1247.8</v>
      </c>
      <c r="C5357" s="59">
        <v>1899</v>
      </c>
      <c r="D5357" s="59" t="s">
        <v>803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ht="15.2" spans="1:10">
      <c r="A5358" s="58" t="s">
        <v>5958</v>
      </c>
      <c r="B5358" s="59">
        <v>317</v>
      </c>
      <c r="C5358" s="59">
        <v>795</v>
      </c>
      <c r="D5358" s="59" t="s">
        <v>801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</v>
      </c>
      <c r="J5358" s="60">
        <f t="shared" si="252"/>
        <v>1272</v>
      </c>
    </row>
    <row r="5359" ht="15.2" spans="1:10">
      <c r="A5359" s="58" t="s">
        <v>5959</v>
      </c>
      <c r="B5359" s="59">
        <v>1577.96</v>
      </c>
      <c r="C5359" s="59">
        <v>2599</v>
      </c>
      <c r="D5359" s="59" t="s">
        <v>803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ht="15.2" spans="1:10">
      <c r="A5360" s="58" t="s">
        <v>5960</v>
      </c>
      <c r="B5360" s="59">
        <v>1354.77</v>
      </c>
      <c r="C5360" s="59">
        <v>2299</v>
      </c>
      <c r="D5360" s="59" t="s">
        <v>803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ht="15.2" spans="1:10">
      <c r="A5361" s="58" t="s">
        <v>5961</v>
      </c>
      <c r="B5361" s="59">
        <v>582.21</v>
      </c>
      <c r="C5361" s="59">
        <v>899</v>
      </c>
      <c r="D5361" s="59" t="s">
        <v>803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ht="15.2" spans="1:10">
      <c r="A5362" s="58" t="s">
        <v>5962</v>
      </c>
      <c r="B5362" s="59">
        <v>970.78</v>
      </c>
      <c r="C5362" s="59">
        <v>1499</v>
      </c>
      <c r="D5362" s="59" t="s">
        <v>803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ht="15.2" spans="1:10">
      <c r="A5363" s="58" t="s">
        <v>5963</v>
      </c>
      <c r="B5363" s="59">
        <v>1213.68</v>
      </c>
      <c r="C5363" s="59">
        <v>1999</v>
      </c>
      <c r="D5363" s="59" t="s">
        <v>803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ht="15.2" spans="1:10">
      <c r="A5364" s="58" t="s">
        <v>5964</v>
      </c>
      <c r="B5364" s="59">
        <v>1092.25</v>
      </c>
      <c r="C5364" s="59">
        <v>1799</v>
      </c>
      <c r="D5364" s="59" t="s">
        <v>803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ht="15.2" spans="1:10">
      <c r="A5365" s="58" t="s">
        <v>5965</v>
      </c>
      <c r="B5365" s="59">
        <v>1158.92</v>
      </c>
      <c r="C5365" s="59">
        <v>1799</v>
      </c>
      <c r="D5365" s="59" t="s">
        <v>803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ht="15.2" spans="1:10">
      <c r="A5366" s="58" t="s">
        <v>5966</v>
      </c>
      <c r="B5366" s="59">
        <v>1699.4</v>
      </c>
      <c r="C5366" s="59">
        <v>2799</v>
      </c>
      <c r="D5366" s="59" t="s">
        <v>803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ht="15.2" spans="1:10">
      <c r="A5367" s="58" t="s">
        <v>5967</v>
      </c>
      <c r="B5367" s="59">
        <v>1760.11</v>
      </c>
      <c r="C5367" s="59">
        <v>2899</v>
      </c>
      <c r="D5367" s="59" t="s">
        <v>803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ht="15.2" spans="1:10">
      <c r="A5368" s="58" t="s">
        <v>5968</v>
      </c>
      <c r="B5368" s="59">
        <v>1354.77</v>
      </c>
      <c r="C5368" s="59">
        <v>2299</v>
      </c>
      <c r="D5368" s="59" t="s">
        <v>803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ht="15.2" spans="1:10">
      <c r="A5369" s="58" t="s">
        <v>5969</v>
      </c>
      <c r="B5369" s="59">
        <v>629</v>
      </c>
      <c r="C5369" s="59">
        <v>1560</v>
      </c>
      <c r="D5369" s="59" t="s">
        <v>801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ht="15.2" spans="1:10">
      <c r="A5370" s="58" t="s">
        <v>5970</v>
      </c>
      <c r="B5370" s="59">
        <v>871</v>
      </c>
      <c r="C5370" s="59">
        <v>2063</v>
      </c>
      <c r="D5370" s="59" t="s">
        <v>801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ht="15.2" spans="1:10">
      <c r="A5371" s="58" t="s">
        <v>5971</v>
      </c>
      <c r="B5371" s="59">
        <v>4124.41</v>
      </c>
      <c r="C5371" s="59">
        <v>6999</v>
      </c>
      <c r="D5371" s="59" t="s">
        <v>803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ht="15.2" spans="1:10">
      <c r="A5372" s="58" t="s">
        <v>21</v>
      </c>
      <c r="B5372" s="59">
        <v>353</v>
      </c>
      <c r="C5372" s="59">
        <v>805</v>
      </c>
      <c r="D5372" s="59" t="s">
        <v>801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</v>
      </c>
      <c r="J5372" s="60">
        <f t="shared" si="252"/>
        <v>6359.5</v>
      </c>
    </row>
    <row r="5373" ht="15.2" spans="1:10">
      <c r="A5373" s="58" t="s">
        <v>5972</v>
      </c>
      <c r="B5373" s="59">
        <v>1030.08</v>
      </c>
      <c r="C5373" s="59">
        <v>1599</v>
      </c>
      <c r="D5373" s="59" t="s">
        <v>803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ht="15.2" spans="1:10">
      <c r="A5374" s="58" t="s">
        <v>5973</v>
      </c>
      <c r="B5374" s="59">
        <v>646</v>
      </c>
      <c r="C5374" s="59">
        <v>1358</v>
      </c>
      <c r="D5374" s="59" t="s">
        <v>801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ht="15.2" spans="1:10">
      <c r="A5375" s="58" t="s">
        <v>5974</v>
      </c>
      <c r="B5375" s="59">
        <v>656.42</v>
      </c>
      <c r="C5375" s="59">
        <v>999</v>
      </c>
      <c r="D5375" s="59" t="s">
        <v>803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ht="15.2" spans="1:10">
      <c r="A5376" s="58" t="s">
        <v>5975</v>
      </c>
      <c r="B5376" s="59">
        <v>1213.68</v>
      </c>
      <c r="C5376" s="59">
        <v>1999</v>
      </c>
      <c r="D5376" s="59" t="s">
        <v>803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ht="15.2" spans="1:10">
      <c r="A5377" s="58" t="s">
        <v>5976</v>
      </c>
      <c r="B5377" s="59">
        <v>1152.96</v>
      </c>
      <c r="C5377" s="59">
        <v>1899</v>
      </c>
      <c r="D5377" s="59" t="s">
        <v>803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ht="15.2" spans="1:10">
      <c r="A5378" s="58" t="s">
        <v>5977</v>
      </c>
      <c r="B5378" s="59">
        <v>452.69</v>
      </c>
      <c r="C5378" s="59">
        <v>699</v>
      </c>
      <c r="D5378" s="59" t="s">
        <v>803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ht="15.2" spans="1:10">
      <c r="A5379" s="58" t="s">
        <v>155</v>
      </c>
      <c r="B5379" s="59">
        <v>359</v>
      </c>
      <c r="C5379" s="59">
        <v>907</v>
      </c>
      <c r="D5379" s="59" t="s">
        <v>801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</v>
      </c>
      <c r="J5379" s="60">
        <f t="shared" si="255"/>
        <v>24761.1</v>
      </c>
    </row>
    <row r="5380" ht="15.2" spans="1:10">
      <c r="A5380" s="58" t="s">
        <v>5978</v>
      </c>
      <c r="B5380" s="59">
        <v>1092.25</v>
      </c>
      <c r="C5380" s="59">
        <v>1799</v>
      </c>
      <c r="D5380" s="59" t="s">
        <v>803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ht="15.2" spans="1:10">
      <c r="A5381" s="58" t="s">
        <v>5979</v>
      </c>
      <c r="B5381" s="59">
        <v>283</v>
      </c>
      <c r="C5381" s="59">
        <v>665</v>
      </c>
      <c r="D5381" s="59" t="s">
        <v>801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ht="15.2" spans="1:10">
      <c r="A5382" s="58" t="s">
        <v>5980</v>
      </c>
      <c r="B5382" s="59">
        <v>314</v>
      </c>
      <c r="C5382" s="59">
        <v>650</v>
      </c>
      <c r="D5382" s="59" t="s">
        <v>801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</v>
      </c>
      <c r="J5382" s="60">
        <f t="shared" si="255"/>
        <v>2340</v>
      </c>
    </row>
    <row r="5383" ht="15.2" spans="1:10">
      <c r="A5383" s="58" t="s">
        <v>5981</v>
      </c>
      <c r="B5383" s="59">
        <v>662</v>
      </c>
      <c r="C5383" s="59">
        <v>1479</v>
      </c>
      <c r="D5383" s="59" t="s">
        <v>801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ht="15.2" spans="1:10">
      <c r="A5384" s="58" t="s">
        <v>5982</v>
      </c>
      <c r="B5384" s="59">
        <v>525</v>
      </c>
      <c r="C5384" s="59">
        <v>1102</v>
      </c>
      <c r="D5384" s="59" t="s">
        <v>801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ht="15.2" spans="1:10">
      <c r="A5385" s="58" t="s">
        <v>5983</v>
      </c>
      <c r="B5385" s="59">
        <v>564</v>
      </c>
      <c r="C5385" s="59">
        <v>1343</v>
      </c>
      <c r="D5385" s="59" t="s">
        <v>801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ht="15.2" spans="1:10">
      <c r="A5386" s="58" t="s">
        <v>5984</v>
      </c>
      <c r="B5386" s="59">
        <v>1352.18</v>
      </c>
      <c r="C5386" s="59">
        <v>2099</v>
      </c>
      <c r="D5386" s="59" t="s">
        <v>803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ht="15.2" spans="1:10">
      <c r="A5387" s="58" t="s">
        <v>5985</v>
      </c>
      <c r="B5387" s="59">
        <v>4249.39</v>
      </c>
      <c r="C5387" s="59">
        <v>6999</v>
      </c>
      <c r="D5387" s="59" t="s">
        <v>803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ht="15.2" spans="1:10">
      <c r="A5388" s="58" t="s">
        <v>713</v>
      </c>
      <c r="B5388" s="59">
        <v>1102</v>
      </c>
      <c r="C5388" s="59">
        <v>2818</v>
      </c>
      <c r="D5388" s="59" t="s">
        <v>801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</v>
      </c>
      <c r="J5388" s="60">
        <f t="shared" si="255"/>
        <v>11835.6</v>
      </c>
    </row>
    <row r="5389" ht="15.2" spans="1:10">
      <c r="A5389" s="58" t="s">
        <v>5986</v>
      </c>
      <c r="B5389" s="59">
        <v>646</v>
      </c>
      <c r="C5389" s="59">
        <v>1358</v>
      </c>
      <c r="D5389" s="59" t="s">
        <v>801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ht="15.2" spans="1:10">
      <c r="A5390" s="58" t="s">
        <v>5987</v>
      </c>
      <c r="B5390" s="59">
        <v>1313.5</v>
      </c>
      <c r="C5390" s="59">
        <v>1999</v>
      </c>
      <c r="D5390" s="59" t="s">
        <v>803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ht="15.2" spans="1:10">
      <c r="A5391" s="58" t="s">
        <v>5988</v>
      </c>
      <c r="B5391" s="59">
        <v>1152.96</v>
      </c>
      <c r="C5391" s="59">
        <v>1899</v>
      </c>
      <c r="D5391" s="59" t="s">
        <v>803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ht="15.2" spans="1:10">
      <c r="A5392" s="58" t="s">
        <v>5989</v>
      </c>
      <c r="B5392" s="59">
        <v>901.24</v>
      </c>
      <c r="C5392" s="59">
        <v>1399</v>
      </c>
      <c r="D5392" s="59" t="s">
        <v>803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ht="15.2" spans="1:10">
      <c r="A5393" s="58" t="s">
        <v>5990</v>
      </c>
      <c r="B5393" s="59">
        <v>1250.72</v>
      </c>
      <c r="C5393" s="59">
        <v>1999</v>
      </c>
      <c r="D5393" s="59" t="s">
        <v>803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ht="15.2" spans="1:10">
      <c r="A5394" s="58" t="s">
        <v>5991</v>
      </c>
      <c r="B5394" s="59">
        <v>1416.6</v>
      </c>
      <c r="C5394" s="59">
        <v>2199</v>
      </c>
      <c r="D5394" s="59" t="s">
        <v>803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ht="15.2" spans="1:10">
      <c r="A5395" s="58" t="s">
        <v>5992</v>
      </c>
      <c r="B5395" s="59">
        <v>1247.8</v>
      </c>
      <c r="C5395" s="59">
        <v>1899</v>
      </c>
      <c r="D5395" s="59" t="s">
        <v>803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ht="15.2" spans="1:10">
      <c r="A5396" s="58" t="s">
        <v>5993</v>
      </c>
      <c r="B5396" s="59">
        <v>1395.82</v>
      </c>
      <c r="C5396" s="59">
        <v>2299</v>
      </c>
      <c r="D5396" s="59" t="s">
        <v>803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ht="15.2" spans="1:10">
      <c r="A5397" s="58" t="s">
        <v>5994</v>
      </c>
      <c r="B5397" s="59">
        <v>1177.98</v>
      </c>
      <c r="C5397" s="59">
        <v>1999</v>
      </c>
      <c r="D5397" s="59" t="s">
        <v>803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ht="15.2" spans="1:10">
      <c r="A5398" s="58" t="s">
        <v>5995</v>
      </c>
      <c r="B5398" s="59">
        <v>2102</v>
      </c>
      <c r="C5398" s="59">
        <v>3199</v>
      </c>
      <c r="D5398" s="59" t="s">
        <v>803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ht="15.2" spans="1:10">
      <c r="A5399" s="58" t="s">
        <v>5996</v>
      </c>
      <c r="B5399" s="59">
        <v>656.42</v>
      </c>
      <c r="C5399" s="59">
        <v>999</v>
      </c>
      <c r="D5399" s="59" t="s">
        <v>803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ht="15.2" spans="1:10">
      <c r="A5400" s="58" t="s">
        <v>5997</v>
      </c>
      <c r="B5400" s="59">
        <v>1182.09</v>
      </c>
      <c r="C5400" s="59">
        <v>1799</v>
      </c>
      <c r="D5400" s="59" t="s">
        <v>803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ht="15.2" spans="1:10">
      <c r="A5401" s="58" t="s">
        <v>5998</v>
      </c>
      <c r="B5401" s="59">
        <v>1236.91</v>
      </c>
      <c r="C5401" s="59">
        <v>2099</v>
      </c>
      <c r="D5401" s="59" t="s">
        <v>803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</v>
      </c>
      <c r="J5401" s="60">
        <f t="shared" si="255"/>
        <v>6297</v>
      </c>
    </row>
    <row r="5402" ht="15.2" spans="1:10">
      <c r="A5402" s="58" t="s">
        <v>5999</v>
      </c>
      <c r="B5402" s="59">
        <v>4249.39</v>
      </c>
      <c r="C5402" s="59">
        <v>6999</v>
      </c>
      <c r="D5402" s="59" t="s">
        <v>803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</v>
      </c>
      <c r="J5402" s="60">
        <f t="shared" si="255"/>
        <v>6999</v>
      </c>
    </row>
    <row r="5403" ht="15.2" spans="1:10">
      <c r="A5403" s="58" t="s">
        <v>6000</v>
      </c>
      <c r="B5403" s="59">
        <v>425</v>
      </c>
      <c r="C5403" s="59">
        <v>951</v>
      </c>
      <c r="D5403" s="59" t="s">
        <v>801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ht="15.2" spans="1:10">
      <c r="A5404" s="58" t="s">
        <v>6001</v>
      </c>
      <c r="B5404" s="59">
        <v>487</v>
      </c>
      <c r="C5404" s="59">
        <v>1154</v>
      </c>
      <c r="D5404" s="59" t="s">
        <v>801</v>
      </c>
      <c r="E5404" s="59">
        <v>0.55</v>
      </c>
      <c r="F5404" s="59">
        <v>0.55</v>
      </c>
      <c r="G5404" s="59">
        <v>0</v>
      </c>
      <c r="H5404" s="60">
        <f t="shared" si="253"/>
        <v>0.55</v>
      </c>
      <c r="I5404" s="60">
        <f t="shared" si="254"/>
        <v>267.85</v>
      </c>
      <c r="J5404" s="60">
        <f t="shared" si="255"/>
        <v>634.7</v>
      </c>
    </row>
    <row r="5405" ht="15.2" spans="1:10">
      <c r="A5405" s="58" t="s">
        <v>6002</v>
      </c>
      <c r="B5405" s="59">
        <v>836.82</v>
      </c>
      <c r="C5405" s="59">
        <v>1299</v>
      </c>
      <c r="D5405" s="59" t="s">
        <v>803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ht="15.2" spans="1:10">
      <c r="A5406" s="58" t="s">
        <v>6003</v>
      </c>
      <c r="B5406" s="59">
        <v>1213.68</v>
      </c>
      <c r="C5406" s="59">
        <v>1999</v>
      </c>
      <c r="D5406" s="59" t="s">
        <v>803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ht="15.2" spans="1:10">
      <c r="A5407" s="58" t="s">
        <v>6004</v>
      </c>
      <c r="B5407" s="59">
        <v>1313.5</v>
      </c>
      <c r="C5407" s="59">
        <v>1999</v>
      </c>
      <c r="D5407" s="59" t="s">
        <v>803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ht="15.2" spans="1:10">
      <c r="A5408" s="58" t="s">
        <v>6005</v>
      </c>
      <c r="B5408" s="59">
        <v>1638.68</v>
      </c>
      <c r="C5408" s="59">
        <v>2699</v>
      </c>
      <c r="D5408" s="59" t="s">
        <v>803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ht="15.2" spans="1:10">
      <c r="A5409" s="58" t="s">
        <v>6006</v>
      </c>
      <c r="B5409" s="59">
        <v>1820.82</v>
      </c>
      <c r="C5409" s="59">
        <v>2899</v>
      </c>
      <c r="D5409" s="59" t="s">
        <v>803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ht="15.2" spans="1:10">
      <c r="A5410" s="58" t="s">
        <v>6007</v>
      </c>
      <c r="B5410" s="59">
        <v>666</v>
      </c>
      <c r="C5410" s="59">
        <v>1669</v>
      </c>
      <c r="D5410" s="59" t="s">
        <v>801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</v>
      </c>
    </row>
    <row r="5411" ht="15.2" spans="1:10">
      <c r="A5411" s="58" t="s">
        <v>6008</v>
      </c>
      <c r="B5411" s="59">
        <v>911.04</v>
      </c>
      <c r="C5411" s="59">
        <v>1399</v>
      </c>
      <c r="D5411" s="59" t="s">
        <v>803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ht="15.2" spans="1:10">
      <c r="A5412" s="58" t="s">
        <v>6009</v>
      </c>
      <c r="B5412" s="59">
        <v>5463.68</v>
      </c>
      <c r="C5412" s="59">
        <v>8999</v>
      </c>
      <c r="D5412" s="59" t="s">
        <v>803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ht="15.2" spans="1:10">
      <c r="A5413" s="58" t="s">
        <v>6010</v>
      </c>
      <c r="B5413" s="59">
        <v>1031.54</v>
      </c>
      <c r="C5413" s="59">
        <v>1699</v>
      </c>
      <c r="D5413" s="59" t="s">
        <v>803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ht="15.2" spans="1:10">
      <c r="A5414" s="58" t="s">
        <v>6011</v>
      </c>
      <c r="B5414" s="59">
        <v>1313.5</v>
      </c>
      <c r="C5414" s="59">
        <v>1999</v>
      </c>
      <c r="D5414" s="59" t="s">
        <v>803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ht="15.2" spans="1:10">
      <c r="A5415" s="58" t="s">
        <v>6012</v>
      </c>
      <c r="B5415" s="59">
        <v>232</v>
      </c>
      <c r="C5415" s="59">
        <v>580</v>
      </c>
      <c r="D5415" s="59" t="s">
        <v>801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ht="15.2" spans="1:10">
      <c r="A5416" s="58" t="s">
        <v>6013</v>
      </c>
      <c r="B5416" s="59">
        <v>1335.11</v>
      </c>
      <c r="C5416" s="59">
        <v>2199</v>
      </c>
      <c r="D5416" s="59" t="s">
        <v>803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ht="15.2" spans="1:10">
      <c r="A5417" s="58" t="s">
        <v>6014</v>
      </c>
      <c r="B5417" s="59">
        <v>1247.8</v>
      </c>
      <c r="C5417" s="59">
        <v>1899</v>
      </c>
      <c r="D5417" s="59" t="s">
        <v>803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ht="15.2" spans="1:10">
      <c r="A5418" s="58" t="s">
        <v>6015</v>
      </c>
      <c r="B5418" s="59">
        <v>2254</v>
      </c>
      <c r="C5418" s="59">
        <v>5863</v>
      </c>
      <c r="D5418" s="59" t="s">
        <v>801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ht="15.2" spans="1:10">
      <c r="A5419" s="58" t="s">
        <v>6016</v>
      </c>
      <c r="B5419" s="59">
        <v>288</v>
      </c>
      <c r="C5419" s="59">
        <v>655</v>
      </c>
      <c r="D5419" s="59" t="s">
        <v>801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</v>
      </c>
      <c r="J5419" s="60">
        <f t="shared" si="255"/>
        <v>3078.5</v>
      </c>
    </row>
    <row r="5420" ht="15.2" spans="1:10">
      <c r="A5420" s="58" t="s">
        <v>6017</v>
      </c>
      <c r="B5420" s="59">
        <v>666</v>
      </c>
      <c r="C5420" s="59">
        <v>1636</v>
      </c>
      <c r="D5420" s="59" t="s">
        <v>801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799.2</v>
      </c>
      <c r="J5420" s="60">
        <f t="shared" si="255"/>
        <v>1963.2</v>
      </c>
    </row>
    <row r="5421" ht="15.2" spans="1:10">
      <c r="A5421" s="58" t="s">
        <v>6018</v>
      </c>
      <c r="B5421" s="59">
        <v>380</v>
      </c>
      <c r="C5421" s="59">
        <v>899</v>
      </c>
      <c r="D5421" s="59" t="s">
        <v>801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ht="15.2" spans="1:10">
      <c r="A5422" s="58" t="s">
        <v>6019</v>
      </c>
      <c r="B5422" s="59">
        <v>973</v>
      </c>
      <c r="C5422" s="59">
        <v>2306</v>
      </c>
      <c r="D5422" s="59" t="s">
        <v>801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ht="15.2" spans="1:10">
      <c r="A5423" s="58" t="s">
        <v>6020</v>
      </c>
      <c r="B5423" s="59">
        <v>288</v>
      </c>
      <c r="C5423" s="59">
        <v>624</v>
      </c>
      <c r="D5423" s="59" t="s">
        <v>801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436.8</v>
      </c>
    </row>
    <row r="5424" ht="15.2" spans="1:10">
      <c r="A5424" s="58" t="s">
        <v>6021</v>
      </c>
      <c r="B5424" s="59">
        <v>1119.05</v>
      </c>
      <c r="C5424" s="59">
        <v>1899</v>
      </c>
      <c r="D5424" s="59" t="s">
        <v>803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ht="15.2" spans="1:10">
      <c r="A5425" s="58" t="s">
        <v>131</v>
      </c>
      <c r="B5425" s="59">
        <v>661</v>
      </c>
      <c r="C5425" s="59">
        <v>1471</v>
      </c>
      <c r="D5425" s="59" t="s">
        <v>801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ht="15.2" spans="1:10">
      <c r="A5426" s="58" t="s">
        <v>6022</v>
      </c>
      <c r="B5426" s="59">
        <v>1416.6</v>
      </c>
      <c r="C5426" s="59">
        <v>2199</v>
      </c>
      <c r="D5426" s="59" t="s">
        <v>803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ht="15.2" spans="1:10">
      <c r="A5427" s="58" t="s">
        <v>6023</v>
      </c>
      <c r="B5427" s="59">
        <v>249</v>
      </c>
      <c r="C5427" s="59">
        <v>550</v>
      </c>
      <c r="D5427" s="59" t="s">
        <v>801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ht="15.2" spans="1:10">
      <c r="A5428" s="58" t="s">
        <v>6024</v>
      </c>
      <c r="B5428" s="59">
        <v>970.78</v>
      </c>
      <c r="C5428" s="59">
        <v>1499</v>
      </c>
      <c r="D5428" s="59" t="s">
        <v>803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ht="15.2" spans="1:10">
      <c r="A5429" s="58" t="s">
        <v>6025</v>
      </c>
      <c r="B5429" s="59">
        <v>323</v>
      </c>
      <c r="C5429" s="59">
        <v>715</v>
      </c>
      <c r="D5429" s="59" t="s">
        <v>801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ht="15.2" spans="1:10">
      <c r="A5430" s="58" t="s">
        <v>6026</v>
      </c>
      <c r="B5430" s="59">
        <v>649</v>
      </c>
      <c r="C5430" s="59">
        <v>1363</v>
      </c>
      <c r="D5430" s="59" t="s">
        <v>801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ht="15.2" spans="1:10">
      <c r="A5431" s="58" t="s">
        <v>6027</v>
      </c>
      <c r="B5431" s="59">
        <v>517.45</v>
      </c>
      <c r="C5431" s="59">
        <v>799</v>
      </c>
      <c r="D5431" s="59" t="s">
        <v>803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</v>
      </c>
      <c r="J5431" s="60">
        <f t="shared" si="255"/>
        <v>2397</v>
      </c>
    </row>
    <row r="5432" ht="15.2" spans="1:10">
      <c r="A5432" s="58" t="s">
        <v>6028</v>
      </c>
      <c r="B5432" s="59">
        <v>5463.68</v>
      </c>
      <c r="C5432" s="59">
        <v>8999</v>
      </c>
      <c r="D5432" s="59" t="s">
        <v>803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ht="15.2" spans="1:10">
      <c r="A5433" s="58" t="s">
        <v>6029</v>
      </c>
      <c r="B5433" s="59">
        <v>722.13</v>
      </c>
      <c r="C5433" s="59">
        <v>1099</v>
      </c>
      <c r="D5433" s="59" t="s">
        <v>803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ht="15.2" spans="1:10">
      <c r="A5434" s="58" t="s">
        <v>90</v>
      </c>
      <c r="B5434" s="59">
        <v>830</v>
      </c>
      <c r="C5434" s="59">
        <v>2049</v>
      </c>
      <c r="D5434" s="59" t="s">
        <v>801</v>
      </c>
      <c r="E5434" s="59">
        <v>9.2</v>
      </c>
      <c r="F5434" s="59">
        <v>9.2</v>
      </c>
      <c r="G5434" s="59">
        <v>0</v>
      </c>
      <c r="H5434" s="60">
        <f t="shared" si="256"/>
        <v>9.2</v>
      </c>
      <c r="I5434" s="60">
        <f t="shared" si="254"/>
        <v>7636</v>
      </c>
      <c r="J5434" s="60">
        <f t="shared" si="255"/>
        <v>18850.8</v>
      </c>
    </row>
    <row r="5435" ht="15.2" spans="1:10">
      <c r="A5435" s="58" t="s">
        <v>6030</v>
      </c>
      <c r="B5435" s="59">
        <v>1395.82</v>
      </c>
      <c r="C5435" s="59">
        <v>2299</v>
      </c>
      <c r="D5435" s="59" t="s">
        <v>803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ht="15.2" spans="1:10">
      <c r="A5436" s="58" t="s">
        <v>6031</v>
      </c>
      <c r="B5436" s="59">
        <v>0</v>
      </c>
      <c r="C5436" s="59">
        <v>0</v>
      </c>
      <c r="D5436" s="59" t="s">
        <v>815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ht="15.2" spans="1:10">
      <c r="A5437" s="58" t="s">
        <v>6032</v>
      </c>
      <c r="B5437" s="59">
        <v>1335.11</v>
      </c>
      <c r="C5437" s="59">
        <v>2199</v>
      </c>
      <c r="D5437" s="59" t="s">
        <v>803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ht="15.2" spans="1:10">
      <c r="A5438" s="58" t="s">
        <v>6033</v>
      </c>
      <c r="B5438" s="59">
        <v>1213.68</v>
      </c>
      <c r="C5438" s="59">
        <v>1999</v>
      </c>
      <c r="D5438" s="59" t="s">
        <v>803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ht="15.2" spans="1:10">
      <c r="A5439" s="58" t="s">
        <v>6034</v>
      </c>
      <c r="B5439" s="59">
        <v>1577.96</v>
      </c>
      <c r="C5439" s="59">
        <v>2599</v>
      </c>
      <c r="D5439" s="59" t="s">
        <v>803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ht="15.2" spans="1:10">
      <c r="A5440" s="58" t="s">
        <v>6035</v>
      </c>
      <c r="B5440" s="59">
        <v>1354.77</v>
      </c>
      <c r="C5440" s="59">
        <v>2299</v>
      </c>
      <c r="D5440" s="59" t="s">
        <v>803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ht="15.2" spans="1:10">
      <c r="A5441" s="58" t="s">
        <v>6036</v>
      </c>
      <c r="B5441" s="59">
        <v>1287.76</v>
      </c>
      <c r="C5441" s="59">
        <v>1999</v>
      </c>
      <c r="D5441" s="59" t="s">
        <v>803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ht="15.2" spans="1:10">
      <c r="A5442" s="58" t="s">
        <v>6037</v>
      </c>
      <c r="B5442" s="59">
        <v>317</v>
      </c>
      <c r="C5442" s="59">
        <v>795</v>
      </c>
      <c r="D5442" s="59" t="s">
        <v>801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</v>
      </c>
      <c r="J5442" s="60">
        <f t="shared" ref="J5442:J5505" si="258">C5442*H5442</f>
        <v>79.5</v>
      </c>
    </row>
    <row r="5443" ht="15.2" spans="1:10">
      <c r="A5443" s="58" t="s">
        <v>6038</v>
      </c>
      <c r="B5443" s="59">
        <v>1707.76</v>
      </c>
      <c r="C5443" s="59">
        <v>2599</v>
      </c>
      <c r="D5443" s="59" t="s">
        <v>803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ht="15.2" spans="1:10">
      <c r="A5444" s="58" t="s">
        <v>6039</v>
      </c>
      <c r="B5444" s="59">
        <v>354</v>
      </c>
      <c r="C5444" s="59">
        <v>825</v>
      </c>
      <c r="D5444" s="59" t="s">
        <v>801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ht="15.2" spans="1:10">
      <c r="A5445" s="58" t="s">
        <v>6040</v>
      </c>
      <c r="B5445" s="59">
        <v>1092.25</v>
      </c>
      <c r="C5445" s="59">
        <v>1799</v>
      </c>
      <c r="D5445" s="59" t="s">
        <v>803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ht="15.2" spans="1:10">
      <c r="A5446" s="58" t="s">
        <v>6041</v>
      </c>
      <c r="B5446" s="59">
        <v>1379.21</v>
      </c>
      <c r="C5446" s="59">
        <v>2099</v>
      </c>
      <c r="D5446" s="59" t="s">
        <v>803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ht="15.2" spans="1:10">
      <c r="A5447" s="58" t="s">
        <v>6042</v>
      </c>
      <c r="B5447" s="59">
        <v>428</v>
      </c>
      <c r="C5447" s="59">
        <v>1016</v>
      </c>
      <c r="D5447" s="59" t="s">
        <v>801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</v>
      </c>
      <c r="J5447" s="60">
        <f t="shared" si="258"/>
        <v>10464.8</v>
      </c>
    </row>
    <row r="5448" ht="15.2" spans="1:10">
      <c r="A5448" s="58" t="s">
        <v>6043</v>
      </c>
      <c r="B5448" s="59">
        <v>1558.85</v>
      </c>
      <c r="C5448" s="59">
        <v>2499</v>
      </c>
      <c r="D5448" s="59" t="s">
        <v>803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ht="15.2" spans="1:10">
      <c r="A5449" s="58" t="s">
        <v>6044</v>
      </c>
      <c r="B5449" s="59">
        <v>251</v>
      </c>
      <c r="C5449" s="59">
        <v>608</v>
      </c>
      <c r="D5449" s="59" t="s">
        <v>801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ht="15.2" spans="1:10">
      <c r="A5450" s="58" t="s">
        <v>6045</v>
      </c>
      <c r="B5450" s="59">
        <v>1003</v>
      </c>
      <c r="C5450" s="59">
        <v>2665</v>
      </c>
      <c r="D5450" s="59" t="s">
        <v>801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ht="15.2" spans="1:10">
      <c r="A5451" s="58" t="s">
        <v>6046</v>
      </c>
      <c r="B5451" s="59">
        <v>2185.11</v>
      </c>
      <c r="C5451" s="59">
        <v>3599</v>
      </c>
      <c r="D5451" s="59" t="s">
        <v>803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ht="15.2" spans="1:10">
      <c r="A5452" s="58" t="s">
        <v>6047</v>
      </c>
      <c r="B5452" s="59">
        <v>1313.5</v>
      </c>
      <c r="C5452" s="59">
        <v>1999</v>
      </c>
      <c r="D5452" s="59" t="s">
        <v>803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ht="15.2" spans="1:10">
      <c r="A5453" s="58" t="s">
        <v>6048</v>
      </c>
      <c r="B5453" s="59">
        <v>1274.4</v>
      </c>
      <c r="C5453" s="59">
        <v>2099</v>
      </c>
      <c r="D5453" s="59" t="s">
        <v>803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ht="15.2" spans="1:10">
      <c r="A5454" s="58" t="s">
        <v>6049</v>
      </c>
      <c r="B5454" s="59">
        <v>2651.2</v>
      </c>
      <c r="C5454" s="59">
        <v>4499</v>
      </c>
      <c r="D5454" s="59" t="s">
        <v>803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ht="15.2" spans="1:10">
      <c r="A5455" s="58" t="s">
        <v>6050</v>
      </c>
      <c r="B5455" s="59">
        <v>665</v>
      </c>
      <c r="C5455" s="59">
        <v>1485</v>
      </c>
      <c r="D5455" s="59" t="s">
        <v>801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ht="15.2" spans="1:10">
      <c r="A5456" s="58" t="s">
        <v>6051</v>
      </c>
      <c r="B5456" s="59">
        <v>1274.4</v>
      </c>
      <c r="C5456" s="59">
        <v>2099</v>
      </c>
      <c r="D5456" s="59" t="s">
        <v>803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</v>
      </c>
      <c r="J5456" s="60">
        <f t="shared" si="258"/>
        <v>2099</v>
      </c>
    </row>
    <row r="5457" ht="15.2" spans="1:10">
      <c r="A5457" s="58" t="s">
        <v>6052</v>
      </c>
      <c r="B5457" s="59">
        <v>2731.54</v>
      </c>
      <c r="C5457" s="59">
        <v>4499</v>
      </c>
      <c r="D5457" s="59" t="s">
        <v>803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ht="15.2" spans="1:10">
      <c r="A5458" s="58" t="s">
        <v>6053</v>
      </c>
      <c r="B5458" s="59">
        <v>1274.39</v>
      </c>
      <c r="C5458" s="59">
        <v>2099</v>
      </c>
      <c r="D5458" s="59" t="s">
        <v>803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</v>
      </c>
      <c r="J5458" s="60">
        <f t="shared" si="258"/>
        <v>2099</v>
      </c>
    </row>
    <row r="5459" ht="15.2" spans="1:10">
      <c r="A5459" s="58" t="s">
        <v>6054</v>
      </c>
      <c r="B5459" s="59">
        <v>970.78</v>
      </c>
      <c r="C5459" s="59">
        <v>1499</v>
      </c>
      <c r="D5459" s="59" t="s">
        <v>803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ht="15.2" spans="1:10">
      <c r="A5460" s="58" t="s">
        <v>292</v>
      </c>
      <c r="B5460" s="59">
        <v>495</v>
      </c>
      <c r="C5460" s="59">
        <v>1110</v>
      </c>
      <c r="D5460" s="59" t="s">
        <v>801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ht="15.2" spans="1:10">
      <c r="A5461" s="58" t="s">
        <v>6055</v>
      </c>
      <c r="B5461" s="59">
        <v>1116.38</v>
      </c>
      <c r="C5461" s="59">
        <v>1699</v>
      </c>
      <c r="D5461" s="59" t="s">
        <v>803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ht="15.2" spans="1:10">
      <c r="A5462" s="58" t="s">
        <v>6056</v>
      </c>
      <c r="B5462" s="59">
        <v>1177.98</v>
      </c>
      <c r="C5462" s="59">
        <v>1999</v>
      </c>
      <c r="D5462" s="59" t="s">
        <v>803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ht="15.2" spans="1:10">
      <c r="A5463" s="58" t="s">
        <v>6057</v>
      </c>
      <c r="B5463" s="59">
        <v>525</v>
      </c>
      <c r="C5463" s="59">
        <v>799</v>
      </c>
      <c r="D5463" s="59" t="s">
        <v>803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ht="15.2" spans="1:10">
      <c r="A5464" s="58" t="s">
        <v>6058</v>
      </c>
      <c r="B5464" s="59">
        <v>340.8</v>
      </c>
      <c r="C5464" s="59">
        <v>570</v>
      </c>
      <c r="D5464" s="59" t="s">
        <v>801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ht="15.2" spans="1:10">
      <c r="A5465" s="58" t="s">
        <v>6059</v>
      </c>
      <c r="B5465" s="59">
        <v>970.78</v>
      </c>
      <c r="C5465" s="59">
        <v>1499</v>
      </c>
      <c r="D5465" s="59" t="s">
        <v>803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ht="15.2" spans="1:10">
      <c r="A5466" s="58" t="s">
        <v>6060</v>
      </c>
      <c r="B5466" s="59">
        <v>1395.82</v>
      </c>
      <c r="C5466" s="59">
        <v>2299</v>
      </c>
      <c r="D5466" s="59" t="s">
        <v>803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ht="15.2" spans="1:10">
      <c r="A5467" s="58" t="s">
        <v>6061</v>
      </c>
      <c r="B5467" s="59">
        <v>1379.21</v>
      </c>
      <c r="C5467" s="59">
        <v>2099</v>
      </c>
      <c r="D5467" s="59" t="s">
        <v>803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ht="15.2" spans="1:10">
      <c r="A5468" s="58" t="s">
        <v>6062</v>
      </c>
      <c r="B5468" s="59">
        <v>1638.68</v>
      </c>
      <c r="C5468" s="59">
        <v>2699</v>
      </c>
      <c r="D5468" s="59" t="s">
        <v>803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ht="15.2" spans="1:10">
      <c r="A5469" s="58" t="s">
        <v>316</v>
      </c>
      <c r="B5469" s="59">
        <v>299</v>
      </c>
      <c r="C5469" s="59">
        <v>660</v>
      </c>
      <c r="D5469" s="59" t="s">
        <v>801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ht="15.2" spans="1:10">
      <c r="A5470" s="58" t="s">
        <v>6063</v>
      </c>
      <c r="B5470" s="59">
        <v>378</v>
      </c>
      <c r="C5470" s="59">
        <v>774</v>
      </c>
      <c r="D5470" s="59" t="s">
        <v>801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</v>
      </c>
      <c r="J5470" s="60">
        <f t="shared" si="258"/>
        <v>38.7</v>
      </c>
    </row>
    <row r="5471" ht="15.2" spans="1:10">
      <c r="A5471" s="58" t="s">
        <v>6064</v>
      </c>
      <c r="B5471" s="59">
        <v>1699.39</v>
      </c>
      <c r="C5471" s="59">
        <v>2799</v>
      </c>
      <c r="D5471" s="59" t="s">
        <v>803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ht="15.2" spans="1:10">
      <c r="A5472" s="58" t="s">
        <v>6065</v>
      </c>
      <c r="B5472" s="59">
        <v>722.13</v>
      </c>
      <c r="C5472" s="59">
        <v>1099</v>
      </c>
      <c r="D5472" s="59" t="s">
        <v>803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ht="15.2" spans="1:10">
      <c r="A5473" s="58" t="s">
        <v>6066</v>
      </c>
      <c r="B5473" s="59">
        <v>1456.54</v>
      </c>
      <c r="C5473" s="59">
        <v>2399</v>
      </c>
      <c r="D5473" s="59" t="s">
        <v>803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ht="15.2" spans="1:10">
      <c r="A5474" s="58" t="s">
        <v>6067</v>
      </c>
      <c r="B5474" s="59">
        <v>784</v>
      </c>
      <c r="C5474" s="59">
        <v>1999</v>
      </c>
      <c r="D5474" s="59" t="s">
        <v>801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</v>
      </c>
    </row>
    <row r="5475" ht="15.2" spans="1:10">
      <c r="A5475" s="58" t="s">
        <v>6068</v>
      </c>
      <c r="B5475" s="59">
        <v>495</v>
      </c>
      <c r="C5475" s="59">
        <v>1110</v>
      </c>
      <c r="D5475" s="59" t="s">
        <v>801</v>
      </c>
      <c r="E5475" s="59">
        <v>5.1</v>
      </c>
      <c r="F5475" s="59">
        <v>5.1</v>
      </c>
      <c r="G5475" s="59">
        <v>0</v>
      </c>
      <c r="H5475" s="60">
        <f t="shared" si="259"/>
        <v>5.1</v>
      </c>
      <c r="I5475" s="60">
        <f t="shared" si="257"/>
        <v>2524.5</v>
      </c>
      <c r="J5475" s="60">
        <f t="shared" si="258"/>
        <v>5661</v>
      </c>
    </row>
    <row r="5476" ht="15.2" spans="1:10">
      <c r="A5476" s="58" t="s">
        <v>6069</v>
      </c>
      <c r="B5476" s="59">
        <v>1313.5</v>
      </c>
      <c r="C5476" s="59">
        <v>1999</v>
      </c>
      <c r="D5476" s="59" t="s">
        <v>803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ht="15.2" spans="1:10">
      <c r="A5477" s="58" t="s">
        <v>6070</v>
      </c>
      <c r="B5477" s="59">
        <v>362</v>
      </c>
      <c r="C5477" s="59">
        <v>808</v>
      </c>
      <c r="D5477" s="59" t="s">
        <v>801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</v>
      </c>
      <c r="J5477" s="60">
        <f t="shared" si="258"/>
        <v>161.6</v>
      </c>
    </row>
    <row r="5478" ht="15.2" spans="1:10">
      <c r="A5478" s="58" t="s">
        <v>6071</v>
      </c>
      <c r="B5478" s="59">
        <v>1456.54</v>
      </c>
      <c r="C5478" s="59">
        <v>2399</v>
      </c>
      <c r="D5478" s="59" t="s">
        <v>803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ht="15.2" spans="1:10">
      <c r="A5479" s="58" t="s">
        <v>6072</v>
      </c>
      <c r="B5479" s="59">
        <v>1313.5</v>
      </c>
      <c r="C5479" s="59">
        <v>1999</v>
      </c>
      <c r="D5479" s="59" t="s">
        <v>803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ht="15.2" spans="1:10">
      <c r="A5480" s="58" t="s">
        <v>6073</v>
      </c>
      <c r="B5480" s="59">
        <v>616</v>
      </c>
      <c r="C5480" s="59">
        <v>1294</v>
      </c>
      <c r="D5480" s="59" t="s">
        <v>801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ht="15.2" spans="1:10">
      <c r="A5481" s="58" t="s">
        <v>6074</v>
      </c>
      <c r="B5481" s="59">
        <v>1510.63</v>
      </c>
      <c r="C5481" s="59">
        <v>2299</v>
      </c>
      <c r="D5481" s="59" t="s">
        <v>803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ht="15.2" spans="1:10">
      <c r="A5482" s="58" t="s">
        <v>6075</v>
      </c>
      <c r="B5482" s="59">
        <v>299</v>
      </c>
      <c r="C5482" s="59">
        <v>660</v>
      </c>
      <c r="D5482" s="59" t="s">
        <v>801</v>
      </c>
      <c r="E5482" s="59">
        <v>1.15</v>
      </c>
      <c r="F5482" s="59">
        <v>1.15</v>
      </c>
      <c r="G5482" s="59">
        <v>0</v>
      </c>
      <c r="H5482" s="60">
        <f t="shared" si="259"/>
        <v>1.15</v>
      </c>
      <c r="I5482" s="60">
        <f t="shared" si="257"/>
        <v>343.85</v>
      </c>
      <c r="J5482" s="60">
        <f t="shared" si="258"/>
        <v>759</v>
      </c>
    </row>
    <row r="5483" ht="15.2" spans="1:10">
      <c r="A5483" s="58" t="s">
        <v>6076</v>
      </c>
      <c r="B5483" s="59">
        <v>359.1</v>
      </c>
      <c r="C5483" s="59">
        <v>769</v>
      </c>
      <c r="D5483" s="59" t="s">
        <v>801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</v>
      </c>
      <c r="J5483" s="60">
        <f t="shared" si="258"/>
        <v>307.6</v>
      </c>
    </row>
    <row r="5484" ht="15.2" spans="1:10">
      <c r="A5484" s="58" t="s">
        <v>6077</v>
      </c>
      <c r="B5484" s="59">
        <v>1577.96</v>
      </c>
      <c r="C5484" s="59">
        <v>2599</v>
      </c>
      <c r="D5484" s="59" t="s">
        <v>803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ht="15.2" spans="1:10">
      <c r="A5485" s="58" t="s">
        <v>6078</v>
      </c>
      <c r="B5485" s="59">
        <v>1444.92</v>
      </c>
      <c r="C5485" s="59">
        <v>2199</v>
      </c>
      <c r="D5485" s="59" t="s">
        <v>803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ht="15.2" spans="1:10">
      <c r="A5486" s="58" t="s">
        <v>6079</v>
      </c>
      <c r="B5486" s="59">
        <v>656.42</v>
      </c>
      <c r="C5486" s="59">
        <v>999</v>
      </c>
      <c r="D5486" s="59" t="s">
        <v>803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ht="15.2" spans="1:10">
      <c r="A5487" s="58" t="s">
        <v>6080</v>
      </c>
      <c r="B5487" s="59">
        <v>1707.76</v>
      </c>
      <c r="C5487" s="59">
        <v>2599</v>
      </c>
      <c r="D5487" s="59" t="s">
        <v>803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ht="15.2" spans="1:10">
      <c r="A5488" s="58" t="s">
        <v>6081</v>
      </c>
      <c r="B5488" s="59">
        <v>646.97</v>
      </c>
      <c r="C5488" s="59">
        <v>999</v>
      </c>
      <c r="D5488" s="59" t="s">
        <v>803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ht="15.2" spans="1:10">
      <c r="A5489" s="58" t="s">
        <v>6082</v>
      </c>
      <c r="B5489" s="59">
        <v>1287.76</v>
      </c>
      <c r="C5489" s="59">
        <v>1999</v>
      </c>
      <c r="D5489" s="59" t="s">
        <v>803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ht="15.2" spans="1:10">
      <c r="A5490" s="58" t="s">
        <v>6083</v>
      </c>
      <c r="B5490" s="59">
        <v>549</v>
      </c>
      <c r="C5490" s="59">
        <v>1223</v>
      </c>
      <c r="D5490" s="59" t="s">
        <v>801</v>
      </c>
      <c r="E5490" s="59">
        <v>4.1</v>
      </c>
      <c r="F5490" s="59">
        <v>4.1</v>
      </c>
      <c r="G5490" s="59">
        <v>0</v>
      </c>
      <c r="H5490" s="60">
        <f t="shared" si="259"/>
        <v>4.1</v>
      </c>
      <c r="I5490" s="60">
        <f t="shared" si="257"/>
        <v>2250.9</v>
      </c>
      <c r="J5490" s="60">
        <f t="shared" si="258"/>
        <v>5014.3</v>
      </c>
    </row>
    <row r="5491" ht="15.2" spans="1:10">
      <c r="A5491" s="58" t="s">
        <v>6084</v>
      </c>
      <c r="B5491" s="59">
        <v>555</v>
      </c>
      <c r="C5491" s="59">
        <v>1166</v>
      </c>
      <c r="D5491" s="59" t="s">
        <v>801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ht="15.2" spans="1:10">
      <c r="A5492" s="58" t="s">
        <v>6085</v>
      </c>
      <c r="B5492" s="59">
        <v>1820.82</v>
      </c>
      <c r="C5492" s="59">
        <v>2999</v>
      </c>
      <c r="D5492" s="59" t="s">
        <v>803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ht="15.2" spans="1:10">
      <c r="A5493" s="58" t="s">
        <v>6086</v>
      </c>
      <c r="B5493" s="59">
        <v>1456.54</v>
      </c>
      <c r="C5493" s="59">
        <v>2399</v>
      </c>
      <c r="D5493" s="59" t="s">
        <v>803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ht="15.2" spans="1:10">
      <c r="A5494" s="58" t="s">
        <v>6087</v>
      </c>
      <c r="B5494" s="59">
        <v>285</v>
      </c>
      <c r="C5494" s="59">
        <v>630</v>
      </c>
      <c r="D5494" s="59" t="s">
        <v>801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ht="15.2" spans="1:10">
      <c r="A5495" s="58" t="s">
        <v>6088</v>
      </c>
      <c r="B5495" s="59">
        <v>1444.92</v>
      </c>
      <c r="C5495" s="59">
        <v>2199</v>
      </c>
      <c r="D5495" s="59" t="s">
        <v>803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ht="15.2" spans="1:10">
      <c r="A5496" s="58" t="s">
        <v>6089</v>
      </c>
      <c r="B5496" s="59">
        <v>1456.54</v>
      </c>
      <c r="C5496" s="59">
        <v>2399</v>
      </c>
      <c r="D5496" s="59" t="s">
        <v>803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ht="15.2" spans="1:10">
      <c r="A5497" s="58" t="s">
        <v>6090</v>
      </c>
      <c r="B5497" s="59">
        <v>1116.38</v>
      </c>
      <c r="C5497" s="59">
        <v>1699</v>
      </c>
      <c r="D5497" s="59" t="s">
        <v>803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</v>
      </c>
      <c r="J5497" s="60">
        <f t="shared" si="258"/>
        <v>1699</v>
      </c>
    </row>
    <row r="5498" ht="15.2" spans="1:10">
      <c r="A5498" s="58" t="s">
        <v>6091</v>
      </c>
      <c r="B5498" s="59">
        <v>156.9</v>
      </c>
      <c r="C5498" s="59">
        <v>461</v>
      </c>
      <c r="D5498" s="59" t="s">
        <v>801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</v>
      </c>
      <c r="J5498" s="60">
        <f t="shared" si="258"/>
        <v>184.4</v>
      </c>
    </row>
    <row r="5499" ht="15.2" spans="1:10">
      <c r="A5499" s="58" t="s">
        <v>6092</v>
      </c>
      <c r="B5499" s="59">
        <v>495</v>
      </c>
      <c r="C5499" s="59">
        <v>1110</v>
      </c>
      <c r="D5499" s="59" t="s">
        <v>801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ht="15.2" spans="1:10">
      <c r="A5500" s="58" t="s">
        <v>6093</v>
      </c>
      <c r="B5500" s="59">
        <v>1707.76</v>
      </c>
      <c r="C5500" s="59">
        <v>2599</v>
      </c>
      <c r="D5500" s="59" t="s">
        <v>803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ht="15.2" spans="1:10">
      <c r="A5501" s="58" t="s">
        <v>6094</v>
      </c>
      <c r="B5501" s="59">
        <v>699</v>
      </c>
      <c r="C5501" s="59">
        <v>1468</v>
      </c>
      <c r="D5501" s="59" t="s">
        <v>801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ht="15.2" spans="1:10">
      <c r="A5502" s="58" t="s">
        <v>6095</v>
      </c>
      <c r="B5502" s="59">
        <v>1639</v>
      </c>
      <c r="C5502" s="59">
        <v>3904</v>
      </c>
      <c r="D5502" s="59" t="s">
        <v>801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ht="15.2" spans="1:10">
      <c r="A5503" s="58" t="s">
        <v>6096</v>
      </c>
      <c r="B5503" s="59">
        <v>324</v>
      </c>
      <c r="C5503" s="59">
        <v>1</v>
      </c>
      <c r="D5503" s="59" t="s">
        <v>815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ht="15.2" spans="1:10">
      <c r="A5504" s="58" t="s">
        <v>6097</v>
      </c>
      <c r="B5504" s="59">
        <v>910.24</v>
      </c>
      <c r="C5504" s="59">
        <v>1399</v>
      </c>
      <c r="D5504" s="59" t="s">
        <v>803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ht="15.2" spans="1:10">
      <c r="A5505" s="58" t="s">
        <v>6098</v>
      </c>
      <c r="B5505" s="59">
        <v>452.69</v>
      </c>
      <c r="C5505" s="59">
        <v>699</v>
      </c>
      <c r="D5505" s="59" t="s">
        <v>803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ht="15.2" spans="1:10">
      <c r="A5506" s="58" t="s">
        <v>6099</v>
      </c>
      <c r="B5506" s="59">
        <v>1287.76</v>
      </c>
      <c r="C5506" s="59">
        <v>1999</v>
      </c>
      <c r="D5506" s="59" t="s">
        <v>803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ht="15.2" spans="1:10">
      <c r="A5507" s="58" t="s">
        <v>6100</v>
      </c>
      <c r="B5507" s="59">
        <v>1274.39</v>
      </c>
      <c r="C5507" s="59">
        <v>2099</v>
      </c>
      <c r="D5507" s="59" t="s">
        <v>803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ht="15.2" spans="1:10">
      <c r="A5508" s="58" t="s">
        <v>102</v>
      </c>
      <c r="B5508" s="59">
        <v>870</v>
      </c>
      <c r="C5508" s="59">
        <v>2063</v>
      </c>
      <c r="D5508" s="59" t="s">
        <v>801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ht="15.2" spans="1:10">
      <c r="A5509" s="58" t="s">
        <v>6101</v>
      </c>
      <c r="B5509" s="59">
        <v>1313.5</v>
      </c>
      <c r="C5509" s="59">
        <v>1999</v>
      </c>
      <c r="D5509" s="59" t="s">
        <v>803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ht="15.2" spans="1:10">
      <c r="A5510" s="58" t="s">
        <v>6102</v>
      </c>
      <c r="B5510" s="59">
        <v>646.97</v>
      </c>
      <c r="C5510" s="59">
        <v>999</v>
      </c>
      <c r="D5510" s="59" t="s">
        <v>803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ht="15.2" spans="1:10">
      <c r="A5511" s="58" t="s">
        <v>6103</v>
      </c>
      <c r="B5511" s="59">
        <v>319.2</v>
      </c>
      <c r="C5511" s="59">
        <v>838</v>
      </c>
      <c r="D5511" s="59" t="s">
        <v>801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3575.04</v>
      </c>
      <c r="J5511" s="60">
        <f t="shared" si="261"/>
        <v>9385.6</v>
      </c>
    </row>
    <row r="5512" ht="15.2" spans="1:10">
      <c r="A5512" s="58" t="s">
        <v>6104</v>
      </c>
      <c r="B5512" s="59">
        <v>633</v>
      </c>
      <c r="C5512" s="59">
        <v>1415</v>
      </c>
      <c r="D5512" s="59" t="s">
        <v>801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ht="15.2" spans="1:10">
      <c r="A5513" s="58" t="s">
        <v>705</v>
      </c>
      <c r="B5513" s="59">
        <v>285</v>
      </c>
      <c r="C5513" s="59">
        <v>655</v>
      </c>
      <c r="D5513" s="59" t="s">
        <v>801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ht="15.2" spans="1:10">
      <c r="A5514" s="58" t="s">
        <v>6105</v>
      </c>
      <c r="B5514" s="59">
        <v>1050.67</v>
      </c>
      <c r="C5514" s="59">
        <v>1599</v>
      </c>
      <c r="D5514" s="59" t="s">
        <v>803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ht="15.2" spans="1:10">
      <c r="A5515" s="58" t="s">
        <v>6106</v>
      </c>
      <c r="B5515" s="59">
        <v>5302.98</v>
      </c>
      <c r="C5515" s="59">
        <v>8999</v>
      </c>
      <c r="D5515" s="59" t="s">
        <v>803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ht="15.2" spans="1:10">
      <c r="A5516" s="58" t="s">
        <v>6107</v>
      </c>
      <c r="B5516" s="59">
        <v>564</v>
      </c>
      <c r="C5516" s="59">
        <v>1314</v>
      </c>
      <c r="D5516" s="59" t="s">
        <v>801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ht="15.2" spans="1:10">
      <c r="A5517" s="58" t="s">
        <v>6108</v>
      </c>
      <c r="B5517" s="59">
        <v>419</v>
      </c>
      <c r="C5517" s="59">
        <v>1057</v>
      </c>
      <c r="D5517" s="59" t="s">
        <v>801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</v>
      </c>
      <c r="J5517" s="60">
        <f t="shared" si="261"/>
        <v>845.6</v>
      </c>
    </row>
    <row r="5518" ht="15.2" spans="1:10">
      <c r="A5518" s="58" t="s">
        <v>6109</v>
      </c>
      <c r="B5518" s="59">
        <v>4124.41</v>
      </c>
      <c r="C5518" s="59">
        <v>6999</v>
      </c>
      <c r="D5518" s="59" t="s">
        <v>803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ht="15.2" spans="1:10">
      <c r="A5519" s="58" t="s">
        <v>6110</v>
      </c>
      <c r="B5519" s="59">
        <v>1444.92</v>
      </c>
      <c r="C5519" s="59">
        <v>2199</v>
      </c>
      <c r="D5519" s="59" t="s">
        <v>803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ht="15.2" spans="1:10">
      <c r="A5520" s="58" t="s">
        <v>6111</v>
      </c>
      <c r="B5520" s="59">
        <v>1354.77</v>
      </c>
      <c r="C5520" s="59">
        <v>2299</v>
      </c>
      <c r="D5520" s="59" t="s">
        <v>803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ht="15.2" spans="1:10">
      <c r="A5521" s="58" t="s">
        <v>227</v>
      </c>
      <c r="B5521" s="59">
        <v>881</v>
      </c>
      <c r="C5521" s="59">
        <v>2365</v>
      </c>
      <c r="D5521" s="59" t="s">
        <v>801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ht="15.2" spans="1:10">
      <c r="A5522" s="58" t="s">
        <v>6112</v>
      </c>
      <c r="B5522" s="59">
        <v>1335.11</v>
      </c>
      <c r="C5522" s="59">
        <v>2199</v>
      </c>
      <c r="D5522" s="59" t="s">
        <v>803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ht="15.2" spans="1:10">
      <c r="A5523" s="58" t="s">
        <v>6113</v>
      </c>
      <c r="B5523" s="59">
        <v>1699.39</v>
      </c>
      <c r="C5523" s="59">
        <v>2799</v>
      </c>
      <c r="D5523" s="59" t="s">
        <v>803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ht="15.2" spans="1:10">
      <c r="A5524" s="58" t="s">
        <v>6114</v>
      </c>
      <c r="B5524" s="59">
        <v>1092.25</v>
      </c>
      <c r="C5524" s="59">
        <v>1799</v>
      </c>
      <c r="D5524" s="59" t="s">
        <v>803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ht="15.2" spans="1:10">
      <c r="A5525" s="58" t="s">
        <v>6115</v>
      </c>
      <c r="B5525" s="59">
        <v>1313.5</v>
      </c>
      <c r="C5525" s="59">
        <v>1999</v>
      </c>
      <c r="D5525" s="59" t="s">
        <v>803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ht="15.2" spans="1:10">
      <c r="A5526" s="58" t="s">
        <v>6116</v>
      </c>
      <c r="B5526" s="59">
        <v>287</v>
      </c>
      <c r="C5526" s="59">
        <v>655</v>
      </c>
      <c r="D5526" s="59" t="s">
        <v>801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ht="15.2" spans="1:10">
      <c r="A5527" s="58" t="s">
        <v>6117</v>
      </c>
      <c r="B5527" s="59">
        <v>306</v>
      </c>
      <c r="C5527" s="59">
        <v>765</v>
      </c>
      <c r="D5527" s="59" t="s">
        <v>801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ht="15.2" spans="1:10">
      <c r="A5528" s="58" t="s">
        <v>6118</v>
      </c>
      <c r="B5528" s="59">
        <v>1577.96</v>
      </c>
      <c r="C5528" s="59">
        <v>2599</v>
      </c>
      <c r="D5528" s="59" t="s">
        <v>803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ht="15.2" spans="1:10">
      <c r="A5529" s="58" t="s">
        <v>6119</v>
      </c>
      <c r="B5529" s="59">
        <v>1092.25</v>
      </c>
      <c r="C5529" s="59">
        <v>1799</v>
      </c>
      <c r="D5529" s="59" t="s">
        <v>803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ht="15.2" spans="1:10">
      <c r="A5530" s="58" t="s">
        <v>6120</v>
      </c>
      <c r="B5530" s="59">
        <v>340</v>
      </c>
      <c r="C5530" s="59">
        <v>893</v>
      </c>
      <c r="D5530" s="59" t="s">
        <v>801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8572.8</v>
      </c>
    </row>
    <row r="5531" ht="15.2" spans="1:10">
      <c r="A5531" s="58" t="s">
        <v>702</v>
      </c>
      <c r="B5531" s="59">
        <v>431</v>
      </c>
      <c r="C5531" s="59">
        <v>1002</v>
      </c>
      <c r="D5531" s="59" t="s">
        <v>801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ht="15.2" spans="1:10">
      <c r="A5532" s="58" t="s">
        <v>6121</v>
      </c>
      <c r="B5532" s="59">
        <v>475</v>
      </c>
      <c r="C5532" s="59">
        <v>998</v>
      </c>
      <c r="D5532" s="59" t="s">
        <v>801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ht="15.2" spans="1:10">
      <c r="A5533" s="58" t="s">
        <v>6122</v>
      </c>
      <c r="B5533" s="59">
        <v>676</v>
      </c>
      <c r="C5533" s="59">
        <v>1473</v>
      </c>
      <c r="D5533" s="59" t="s">
        <v>801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ht="15.2" spans="1:10">
      <c r="A5534" s="58" t="s">
        <v>6123</v>
      </c>
      <c r="B5534" s="59">
        <v>525</v>
      </c>
      <c r="C5534" s="59">
        <v>799</v>
      </c>
      <c r="D5534" s="59" t="s">
        <v>803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ht="15.2" spans="1:10">
      <c r="A5535" s="58" t="s">
        <v>6124</v>
      </c>
      <c r="B5535" s="59">
        <v>841</v>
      </c>
      <c r="C5535" s="59">
        <v>1943</v>
      </c>
      <c r="D5535" s="59" t="s">
        <v>801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4919.85</v>
      </c>
      <c r="J5535" s="60">
        <f t="shared" si="261"/>
        <v>11366.55</v>
      </c>
    </row>
    <row r="5536" ht="15.2" spans="1:10">
      <c r="A5536" s="58" t="s">
        <v>6125</v>
      </c>
      <c r="B5536" s="59">
        <v>1274.39</v>
      </c>
      <c r="C5536" s="59">
        <v>2099</v>
      </c>
      <c r="D5536" s="59" t="s">
        <v>803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</v>
      </c>
      <c r="J5536" s="60">
        <f t="shared" si="261"/>
        <v>2099</v>
      </c>
    </row>
    <row r="5537" ht="15.2" spans="1:10">
      <c r="A5537" s="58" t="s">
        <v>6126</v>
      </c>
      <c r="B5537" s="59">
        <v>1092.25</v>
      </c>
      <c r="C5537" s="59">
        <v>1799</v>
      </c>
      <c r="D5537" s="59" t="s">
        <v>803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ht="15.2" spans="1:10">
      <c r="A5538" s="58" t="s">
        <v>6127</v>
      </c>
      <c r="B5538" s="59">
        <v>451</v>
      </c>
      <c r="C5538" s="59">
        <v>938</v>
      </c>
      <c r="D5538" s="59" t="s">
        <v>801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ht="15.2" spans="1:10">
      <c r="A5539" s="58" t="s">
        <v>6128</v>
      </c>
      <c r="B5539" s="59">
        <v>965.66</v>
      </c>
      <c r="C5539" s="59">
        <v>1499</v>
      </c>
      <c r="D5539" s="59" t="s">
        <v>803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ht="15.2" spans="1:10">
      <c r="A5540" s="58" t="s">
        <v>6129</v>
      </c>
      <c r="B5540" s="59">
        <v>1295.84</v>
      </c>
      <c r="C5540" s="59">
        <v>2199</v>
      </c>
      <c r="D5540" s="59" t="s">
        <v>803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ht="15.2" spans="1:10">
      <c r="A5541" s="58" t="s">
        <v>6130</v>
      </c>
      <c r="B5541" s="59">
        <v>1213.68</v>
      </c>
      <c r="C5541" s="59">
        <v>1999</v>
      </c>
      <c r="D5541" s="59" t="s">
        <v>803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ht="15.2" spans="1:10">
      <c r="A5542" s="58" t="s">
        <v>6131</v>
      </c>
      <c r="B5542" s="59">
        <v>1152.97</v>
      </c>
      <c r="C5542" s="59">
        <v>1899</v>
      </c>
      <c r="D5542" s="59" t="s">
        <v>803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ht="15.2" spans="1:10">
      <c r="A5543" s="58" t="s">
        <v>6132</v>
      </c>
      <c r="B5543" s="59">
        <v>410</v>
      </c>
      <c r="C5543" s="59">
        <v>966</v>
      </c>
      <c r="D5543" s="59" t="s">
        <v>801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</v>
      </c>
    </row>
    <row r="5544" ht="15.2" spans="1:10">
      <c r="A5544" s="58" t="s">
        <v>6133</v>
      </c>
      <c r="B5544" s="59">
        <v>870</v>
      </c>
      <c r="C5544" s="59">
        <v>2063</v>
      </c>
      <c r="D5544" s="59" t="s">
        <v>801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ht="15.2" spans="1:10">
      <c r="A5545" s="58" t="s">
        <v>6134</v>
      </c>
      <c r="B5545" s="59">
        <v>4249.39</v>
      </c>
      <c r="C5545" s="59">
        <v>6999</v>
      </c>
      <c r="D5545" s="59" t="s">
        <v>803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ht="15.2" spans="1:10">
      <c r="A5546" s="58" t="s">
        <v>6135</v>
      </c>
      <c r="B5546" s="59">
        <v>1456.54</v>
      </c>
      <c r="C5546" s="59">
        <v>2399</v>
      </c>
      <c r="D5546" s="59" t="s">
        <v>803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ht="15.2" spans="1:10">
      <c r="A5547" s="58" t="s">
        <v>6136</v>
      </c>
      <c r="B5547" s="59">
        <v>132.6</v>
      </c>
      <c r="C5547" s="59">
        <v>195</v>
      </c>
      <c r="D5547" s="59" t="s">
        <v>803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ht="15.2" spans="1:10">
      <c r="A5548" s="58" t="s">
        <v>6137</v>
      </c>
      <c r="B5548" s="59">
        <v>1313.5</v>
      </c>
      <c r="C5548" s="59">
        <v>1999</v>
      </c>
      <c r="D5548" s="59" t="s">
        <v>803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ht="15.2" spans="1:10">
      <c r="A5549" s="58" t="s">
        <v>6138</v>
      </c>
      <c r="B5549" s="59">
        <v>1313.5</v>
      </c>
      <c r="C5549" s="59">
        <v>1999</v>
      </c>
      <c r="D5549" s="59" t="s">
        <v>803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ht="15.2" spans="1:10">
      <c r="A5550" s="58" t="s">
        <v>6139</v>
      </c>
      <c r="B5550" s="59">
        <v>1379.21</v>
      </c>
      <c r="C5550" s="59">
        <v>2099</v>
      </c>
      <c r="D5550" s="59" t="s">
        <v>803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ht="15.2" spans="1:10">
      <c r="A5551" s="58" t="s">
        <v>6140</v>
      </c>
      <c r="B5551" s="59">
        <v>1177.98</v>
      </c>
      <c r="C5551" s="59">
        <v>1999</v>
      </c>
      <c r="D5551" s="59" t="s">
        <v>803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ht="15.2" spans="1:10">
      <c r="A5552" s="58" t="s">
        <v>6141</v>
      </c>
      <c r="B5552" s="59">
        <v>1313.5</v>
      </c>
      <c r="C5552" s="59">
        <v>1999</v>
      </c>
      <c r="D5552" s="59" t="s">
        <v>803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ht="15.2" spans="1:10">
      <c r="A5553" s="58" t="s">
        <v>6142</v>
      </c>
      <c r="B5553" s="59">
        <v>1197</v>
      </c>
      <c r="C5553" s="59">
        <v>2818</v>
      </c>
      <c r="D5553" s="59" t="s">
        <v>801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</v>
      </c>
      <c r="J5553" s="60">
        <f t="shared" si="261"/>
        <v>5213.3</v>
      </c>
    </row>
    <row r="5554" ht="15.2" spans="1:10">
      <c r="A5554" s="58" t="s">
        <v>6143</v>
      </c>
      <c r="B5554" s="59">
        <v>1773.46</v>
      </c>
      <c r="C5554" s="59">
        <v>2699</v>
      </c>
      <c r="D5554" s="59" t="s">
        <v>803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ht="15.2" spans="1:10">
      <c r="A5555" s="58" t="s">
        <v>6144</v>
      </c>
      <c r="B5555" s="59">
        <v>1638.68</v>
      </c>
      <c r="C5555" s="59">
        <v>2699</v>
      </c>
      <c r="D5555" s="59" t="s">
        <v>803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ht="15.2" spans="1:10">
      <c r="A5556" s="58" t="s">
        <v>6145</v>
      </c>
      <c r="B5556" s="59">
        <v>903.63</v>
      </c>
      <c r="C5556" s="59">
        <v>1399</v>
      </c>
      <c r="D5556" s="59" t="s">
        <v>803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ht="15.2" spans="1:10">
      <c r="A5557" s="58" t="s">
        <v>6146</v>
      </c>
      <c r="B5557" s="59">
        <v>1213.68</v>
      </c>
      <c r="C5557" s="59">
        <v>1999</v>
      </c>
      <c r="D5557" s="59" t="s">
        <v>803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ht="15.2" spans="1:10">
      <c r="A5558" s="58" t="s">
        <v>6147</v>
      </c>
      <c r="B5558" s="59">
        <v>1481.02</v>
      </c>
      <c r="C5558" s="59">
        <v>2299</v>
      </c>
      <c r="D5558" s="59" t="s">
        <v>803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ht="15.2" spans="1:10">
      <c r="A5559" s="58" t="s">
        <v>6148</v>
      </c>
      <c r="B5559" s="59">
        <v>254</v>
      </c>
      <c r="C5559" s="59">
        <v>599</v>
      </c>
      <c r="D5559" s="59" t="s">
        <v>801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ht="15.2" spans="1:10">
      <c r="A5560" s="58" t="s">
        <v>6149</v>
      </c>
      <c r="B5560" s="59">
        <v>380</v>
      </c>
      <c r="C5560" s="59">
        <v>935</v>
      </c>
      <c r="D5560" s="59" t="s">
        <v>801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ht="15.2" spans="1:10">
      <c r="A5561" s="58" t="s">
        <v>6150</v>
      </c>
      <c r="B5561" s="59">
        <v>1354.77</v>
      </c>
      <c r="C5561" s="59">
        <v>2299</v>
      </c>
      <c r="D5561" s="59" t="s">
        <v>803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ht="15.2" spans="1:10">
      <c r="A5562" s="58" t="s">
        <v>6151</v>
      </c>
      <c r="B5562" s="59">
        <v>1517.25</v>
      </c>
      <c r="C5562" s="59">
        <v>2499</v>
      </c>
      <c r="D5562" s="59" t="s">
        <v>803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ht="15.2" spans="1:10">
      <c r="A5563" s="58" t="s">
        <v>6152</v>
      </c>
      <c r="B5563" s="59">
        <v>1444.92</v>
      </c>
      <c r="C5563" s="59">
        <v>2199</v>
      </c>
      <c r="D5563" s="59" t="s">
        <v>803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ht="15.2" spans="1:10">
      <c r="A5564" s="58" t="s">
        <v>6153</v>
      </c>
      <c r="B5564" s="59">
        <v>323</v>
      </c>
      <c r="C5564" s="59">
        <v>680</v>
      </c>
      <c r="D5564" s="59" t="s">
        <v>801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ht="15.2" spans="1:10">
      <c r="A5565" s="58" t="s">
        <v>6154</v>
      </c>
      <c r="B5565" s="59">
        <v>2063.68</v>
      </c>
      <c r="C5565" s="59">
        <v>3399</v>
      </c>
      <c r="D5565" s="59" t="s">
        <v>803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ht="15.2" spans="1:10">
      <c r="A5566" s="58" t="s">
        <v>6155</v>
      </c>
      <c r="B5566" s="59">
        <v>841.26</v>
      </c>
      <c r="C5566" s="59">
        <v>1299</v>
      </c>
      <c r="D5566" s="59" t="s">
        <v>803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ht="15.2" spans="1:10">
      <c r="A5567" s="58" t="s">
        <v>6156</v>
      </c>
      <c r="B5567" s="59">
        <v>1247.8</v>
      </c>
      <c r="C5567" s="59">
        <v>1899</v>
      </c>
      <c r="D5567" s="59" t="s">
        <v>803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ht="15.2" spans="1:10">
      <c r="A5568" s="58" t="s">
        <v>6157</v>
      </c>
      <c r="B5568" s="59">
        <v>1295.84</v>
      </c>
      <c r="C5568" s="59">
        <v>2199</v>
      </c>
      <c r="D5568" s="59" t="s">
        <v>803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1295.84</v>
      </c>
      <c r="J5568" s="60">
        <f t="shared" si="261"/>
        <v>2199</v>
      </c>
    </row>
    <row r="5569" ht="15.2" spans="1:10">
      <c r="A5569" s="58" t="s">
        <v>6158</v>
      </c>
      <c r="B5569" s="59">
        <v>1247.8</v>
      </c>
      <c r="C5569" s="59">
        <v>1899</v>
      </c>
      <c r="D5569" s="59" t="s">
        <v>803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ht="15.2" spans="1:10">
      <c r="A5570" s="58" t="s">
        <v>6159</v>
      </c>
      <c r="B5570" s="59">
        <v>525</v>
      </c>
      <c r="C5570" s="59">
        <v>1172</v>
      </c>
      <c r="D5570" s="59" t="s">
        <v>801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1113.4</v>
      </c>
    </row>
    <row r="5571" ht="15.2" spans="1:10">
      <c r="A5571" s="58" t="s">
        <v>6160</v>
      </c>
      <c r="B5571" s="59">
        <v>1119.05</v>
      </c>
      <c r="C5571" s="59">
        <v>1899</v>
      </c>
      <c r="D5571" s="59" t="s">
        <v>803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3357.15</v>
      </c>
      <c r="J5571" s="60">
        <f t="shared" si="264"/>
        <v>5697</v>
      </c>
    </row>
    <row r="5572" ht="15.2" spans="1:10">
      <c r="A5572" s="58" t="s">
        <v>6161</v>
      </c>
      <c r="B5572" s="59">
        <v>1116.38</v>
      </c>
      <c r="C5572" s="59">
        <v>1699</v>
      </c>
      <c r="D5572" s="59" t="s">
        <v>803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ht="15.2" spans="1:10">
      <c r="A5573" s="58" t="s">
        <v>6162</v>
      </c>
      <c r="B5573" s="59">
        <v>273</v>
      </c>
      <c r="C5573" s="59">
        <v>617</v>
      </c>
      <c r="D5573" s="59" t="s">
        <v>801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ht="15.2" spans="1:10">
      <c r="A5574" s="58" t="s">
        <v>6163</v>
      </c>
      <c r="B5574" s="59">
        <v>627.5</v>
      </c>
      <c r="C5574" s="59">
        <v>2033</v>
      </c>
      <c r="D5574" s="59" t="s">
        <v>801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ht="15.2" spans="1:10">
      <c r="A5575" s="58" t="s">
        <v>6164</v>
      </c>
      <c r="B5575" s="59">
        <v>1820.82</v>
      </c>
      <c r="C5575" s="59">
        <v>2999</v>
      </c>
      <c r="D5575" s="59" t="s">
        <v>803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ht="15.2" spans="1:10">
      <c r="A5576" s="58" t="s">
        <v>6165</v>
      </c>
      <c r="B5576" s="59">
        <v>4856.54</v>
      </c>
      <c r="C5576" s="59">
        <v>7999</v>
      </c>
      <c r="D5576" s="59" t="s">
        <v>803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ht="15.2" spans="1:10">
      <c r="A5577" s="58" t="s">
        <v>6166</v>
      </c>
      <c r="B5577" s="59">
        <v>1638.68</v>
      </c>
      <c r="C5577" s="59">
        <v>2699</v>
      </c>
      <c r="D5577" s="59" t="s">
        <v>803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ht="15.2" spans="1:10">
      <c r="A5578" s="58" t="s">
        <v>6167</v>
      </c>
      <c r="B5578" s="59">
        <v>322</v>
      </c>
      <c r="C5578" s="59">
        <v>719</v>
      </c>
      <c r="D5578" s="59" t="s">
        <v>801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</v>
      </c>
      <c r="J5578" s="60">
        <f t="shared" si="264"/>
        <v>143.8</v>
      </c>
    </row>
    <row r="5579" ht="15.2" spans="1:10">
      <c r="A5579" s="58" t="s">
        <v>6168</v>
      </c>
      <c r="B5579" s="59">
        <v>699</v>
      </c>
      <c r="C5579" s="59">
        <v>1468</v>
      </c>
      <c r="D5579" s="59" t="s">
        <v>801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4089.15</v>
      </c>
      <c r="J5579" s="60">
        <f t="shared" si="264"/>
        <v>8587.8</v>
      </c>
    </row>
    <row r="5580" ht="15.2" spans="1:10">
      <c r="A5580" s="58" t="s">
        <v>6169</v>
      </c>
      <c r="B5580" s="59">
        <v>1699.4</v>
      </c>
      <c r="C5580" s="59">
        <v>2799</v>
      </c>
      <c r="D5580" s="59" t="s">
        <v>803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ht="15.2" spans="1:10">
      <c r="A5581" s="58" t="s">
        <v>6170</v>
      </c>
      <c r="B5581" s="59">
        <v>1313.5</v>
      </c>
      <c r="C5581" s="59">
        <v>1999</v>
      </c>
      <c r="D5581" s="59" t="s">
        <v>803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ht="15.2" spans="1:10">
      <c r="A5582" s="58" t="s">
        <v>6171</v>
      </c>
      <c r="B5582" s="59">
        <v>1236.91</v>
      </c>
      <c r="C5582" s="59">
        <v>2099</v>
      </c>
      <c r="D5582" s="59" t="s">
        <v>803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</v>
      </c>
      <c r="J5582" s="60">
        <f t="shared" si="264"/>
        <v>4198</v>
      </c>
    </row>
    <row r="5583" ht="15.2" spans="1:10">
      <c r="A5583" s="58" t="s">
        <v>6172</v>
      </c>
      <c r="B5583" s="59">
        <v>699</v>
      </c>
      <c r="C5583" s="59">
        <v>1468</v>
      </c>
      <c r="D5583" s="59" t="s">
        <v>801</v>
      </c>
      <c r="E5583" s="59">
        <v>9.2</v>
      </c>
      <c r="F5583" s="59">
        <v>9.2</v>
      </c>
      <c r="G5583" s="59">
        <v>0</v>
      </c>
      <c r="H5583" s="60">
        <f t="shared" si="262"/>
        <v>9.2</v>
      </c>
      <c r="I5583" s="60">
        <f t="shared" si="263"/>
        <v>6430.8</v>
      </c>
      <c r="J5583" s="60">
        <f t="shared" si="264"/>
        <v>13505.6</v>
      </c>
    </row>
    <row r="5584" ht="15.2" spans="1:10">
      <c r="A5584" s="58" t="s">
        <v>6173</v>
      </c>
      <c r="B5584" s="59">
        <v>1295.84</v>
      </c>
      <c r="C5584" s="59">
        <v>2199</v>
      </c>
      <c r="D5584" s="59" t="s">
        <v>803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1295.84</v>
      </c>
      <c r="J5584" s="60">
        <f t="shared" si="264"/>
        <v>2199</v>
      </c>
    </row>
    <row r="5585" ht="15.2" spans="1:10">
      <c r="A5585" s="58" t="s">
        <v>6174</v>
      </c>
      <c r="B5585" s="59">
        <v>2299.12</v>
      </c>
      <c r="C5585" s="59">
        <v>3499</v>
      </c>
      <c r="D5585" s="59" t="s">
        <v>803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ht="15.2" spans="1:10">
      <c r="A5586" s="58" t="s">
        <v>6175</v>
      </c>
      <c r="B5586" s="59">
        <v>819</v>
      </c>
      <c r="C5586" s="59">
        <v>1902</v>
      </c>
      <c r="D5586" s="59" t="s">
        <v>801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</v>
      </c>
      <c r="J5586" s="60">
        <f t="shared" si="264"/>
        <v>380.4</v>
      </c>
    </row>
    <row r="5587" ht="15.2" spans="1:10">
      <c r="A5587" s="58" t="s">
        <v>6176</v>
      </c>
      <c r="B5587" s="59">
        <v>1456.54</v>
      </c>
      <c r="C5587" s="59">
        <v>2399</v>
      </c>
      <c r="D5587" s="59" t="s">
        <v>803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ht="15.2" spans="1:10">
      <c r="A5588" s="58" t="s">
        <v>6177</v>
      </c>
      <c r="B5588" s="59">
        <v>2063.68</v>
      </c>
      <c r="C5588" s="59">
        <v>3399</v>
      </c>
      <c r="D5588" s="59" t="s">
        <v>803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ht="15.2" spans="1:10">
      <c r="A5589" s="58" t="s">
        <v>6178</v>
      </c>
      <c r="B5589" s="59">
        <v>2002.96</v>
      </c>
      <c r="C5589" s="59">
        <v>3299</v>
      </c>
      <c r="D5589" s="59" t="s">
        <v>803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ht="15.2" spans="1:10">
      <c r="A5590" s="58" t="s">
        <v>6179</v>
      </c>
      <c r="B5590" s="59">
        <v>525</v>
      </c>
      <c r="C5590" s="59">
        <v>799</v>
      </c>
      <c r="D5590" s="59" t="s">
        <v>803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ht="15.2" spans="1:10">
      <c r="A5591" s="58" t="s">
        <v>6180</v>
      </c>
      <c r="B5591" s="59">
        <v>1177.98</v>
      </c>
      <c r="C5591" s="59">
        <v>1999</v>
      </c>
      <c r="D5591" s="59" t="s">
        <v>803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ht="15.2" spans="1:10">
      <c r="A5592" s="58" t="s">
        <v>6181</v>
      </c>
      <c r="B5592" s="59">
        <v>1444.92</v>
      </c>
      <c r="C5592" s="59">
        <v>2199</v>
      </c>
      <c r="D5592" s="59" t="s">
        <v>803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ht="15.2" spans="1:10">
      <c r="A5593" s="58" t="s">
        <v>6182</v>
      </c>
      <c r="B5593" s="59">
        <v>1152.96</v>
      </c>
      <c r="C5593" s="59">
        <v>1899</v>
      </c>
      <c r="D5593" s="59" t="s">
        <v>803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ht="15.2" spans="1:10">
      <c r="A5594" s="58" t="s">
        <v>6183</v>
      </c>
      <c r="B5594" s="59">
        <v>1379.21</v>
      </c>
      <c r="C5594" s="59">
        <v>2099</v>
      </c>
      <c r="D5594" s="59" t="s">
        <v>803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ht="15.2" spans="1:10">
      <c r="A5595" s="58" t="s">
        <v>6184</v>
      </c>
      <c r="B5595" s="59">
        <v>1335.11</v>
      </c>
      <c r="C5595" s="59">
        <v>2199</v>
      </c>
      <c r="D5595" s="59" t="s">
        <v>803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ht="15.2" spans="1:10">
      <c r="A5596" s="58" t="s">
        <v>6185</v>
      </c>
      <c r="B5596" s="59">
        <v>2002.96</v>
      </c>
      <c r="C5596" s="59">
        <v>3299</v>
      </c>
      <c r="D5596" s="59" t="s">
        <v>803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ht="15.2" spans="1:10">
      <c r="A5597" s="58" t="s">
        <v>6186</v>
      </c>
      <c r="B5597" s="59">
        <v>460</v>
      </c>
      <c r="C5597" s="59">
        <v>1091</v>
      </c>
      <c r="D5597" s="59" t="s">
        <v>801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</v>
      </c>
    </row>
    <row r="5598" ht="15.2" spans="1:10">
      <c r="A5598" s="58" t="s">
        <v>6187</v>
      </c>
      <c r="B5598" s="59">
        <v>1213.68</v>
      </c>
      <c r="C5598" s="59">
        <v>1999</v>
      </c>
      <c r="D5598" s="59" t="s">
        <v>803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ht="15.2" spans="1:10">
      <c r="A5599" s="58" t="s">
        <v>6188</v>
      </c>
      <c r="B5599" s="59">
        <v>1274.39</v>
      </c>
      <c r="C5599" s="59">
        <v>2099</v>
      </c>
      <c r="D5599" s="59" t="s">
        <v>803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</v>
      </c>
      <c r="J5599" s="60">
        <f t="shared" si="264"/>
        <v>2099</v>
      </c>
    </row>
    <row r="5600" ht="15.2" spans="1:10">
      <c r="A5600" s="58" t="s">
        <v>6189</v>
      </c>
      <c r="B5600" s="59">
        <v>1395.82</v>
      </c>
      <c r="C5600" s="59">
        <v>2299</v>
      </c>
      <c r="D5600" s="59" t="s">
        <v>803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ht="15.2" spans="1:10">
      <c r="A5601" s="58" t="s">
        <v>6190</v>
      </c>
      <c r="B5601" s="59">
        <v>1395.82</v>
      </c>
      <c r="C5601" s="59">
        <v>2299</v>
      </c>
      <c r="D5601" s="59" t="s">
        <v>803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ht="15.2" spans="1:10">
      <c r="A5602" s="58" t="s">
        <v>6191</v>
      </c>
      <c r="B5602" s="59">
        <v>1456.54</v>
      </c>
      <c r="C5602" s="59">
        <v>2399</v>
      </c>
      <c r="D5602" s="59" t="s">
        <v>803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ht="15.2" spans="1:10">
      <c r="A5603" s="58" t="s">
        <v>6192</v>
      </c>
      <c r="B5603" s="59">
        <v>1092.25</v>
      </c>
      <c r="C5603" s="59">
        <v>1799</v>
      </c>
      <c r="D5603" s="59" t="s">
        <v>803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ht="15.2" spans="1:10">
      <c r="A5604" s="58" t="s">
        <v>6193</v>
      </c>
      <c r="B5604" s="59">
        <v>1545.44</v>
      </c>
      <c r="C5604" s="59">
        <v>2399</v>
      </c>
      <c r="D5604" s="59" t="s">
        <v>803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ht="15.2" spans="1:10">
      <c r="A5605" s="58" t="s">
        <v>6194</v>
      </c>
      <c r="B5605" s="59">
        <v>279</v>
      </c>
      <c r="C5605" s="59">
        <v>622</v>
      </c>
      <c r="D5605" s="59" t="s">
        <v>801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</v>
      </c>
      <c r="J5605" s="60">
        <f t="shared" si="264"/>
        <v>62.2</v>
      </c>
    </row>
    <row r="5606" ht="15.2" spans="1:10">
      <c r="A5606" s="58" t="s">
        <v>355</v>
      </c>
      <c r="B5606" s="59">
        <v>325</v>
      </c>
      <c r="C5606" s="59">
        <v>683</v>
      </c>
      <c r="D5606" s="59" t="s">
        <v>801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ht="15.2" spans="1:10">
      <c r="A5607" s="58" t="s">
        <v>6195</v>
      </c>
      <c r="B5607" s="59">
        <v>2299.12</v>
      </c>
      <c r="C5607" s="59">
        <v>3499</v>
      </c>
      <c r="D5607" s="59" t="s">
        <v>803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ht="15.2" spans="1:10">
      <c r="A5608" s="58" t="s">
        <v>6196</v>
      </c>
      <c r="B5608" s="59">
        <v>1116.38</v>
      </c>
      <c r="C5608" s="59">
        <v>1699</v>
      </c>
      <c r="D5608" s="59" t="s">
        <v>803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ht="15.2" spans="1:10">
      <c r="A5609" s="58" t="s">
        <v>6197</v>
      </c>
      <c r="B5609" s="59">
        <v>317</v>
      </c>
      <c r="C5609" s="59">
        <v>795</v>
      </c>
      <c r="D5609" s="59" t="s">
        <v>801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ht="15.2" spans="1:10">
      <c r="A5610" s="58" t="s">
        <v>6198</v>
      </c>
      <c r="B5610" s="59">
        <v>2063.68</v>
      </c>
      <c r="C5610" s="59">
        <v>3399</v>
      </c>
      <c r="D5610" s="59" t="s">
        <v>803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4127.36</v>
      </c>
      <c r="J5610" s="60">
        <f t="shared" si="264"/>
        <v>6798</v>
      </c>
    </row>
    <row r="5611" ht="15.2" spans="1:10">
      <c r="A5611" s="58" t="s">
        <v>6199</v>
      </c>
      <c r="B5611" s="59">
        <v>1576.34</v>
      </c>
      <c r="C5611" s="59">
        <v>2399</v>
      </c>
      <c r="D5611" s="59" t="s">
        <v>803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ht="15.2" spans="1:10">
      <c r="A5612" s="58" t="s">
        <v>6200</v>
      </c>
      <c r="B5612" s="59">
        <v>1213.68</v>
      </c>
      <c r="C5612" s="59">
        <v>1999</v>
      </c>
      <c r="D5612" s="59" t="s">
        <v>803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ht="15.2" spans="1:10">
      <c r="A5613" s="58" t="s">
        <v>6201</v>
      </c>
      <c r="B5613" s="59">
        <v>1116.38</v>
      </c>
      <c r="C5613" s="59">
        <v>1699</v>
      </c>
      <c r="D5613" s="59" t="s">
        <v>803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ht="15.2" spans="1:10">
      <c r="A5614" s="58" t="s">
        <v>6202</v>
      </c>
      <c r="B5614" s="59">
        <v>906.02</v>
      </c>
      <c r="C5614" s="59">
        <v>1399</v>
      </c>
      <c r="D5614" s="59" t="s">
        <v>803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ht="15.2" spans="1:10">
      <c r="A5615" s="58" t="s">
        <v>6203</v>
      </c>
      <c r="B5615" s="59">
        <v>292</v>
      </c>
      <c r="C5615" s="59">
        <v>710</v>
      </c>
      <c r="D5615" s="59" t="s">
        <v>801</v>
      </c>
      <c r="E5615" s="59">
        <v>2.2</v>
      </c>
      <c r="F5615" s="59">
        <v>2.2</v>
      </c>
      <c r="G5615" s="59">
        <v>0</v>
      </c>
      <c r="H5615" s="60">
        <f t="shared" si="265"/>
        <v>2.2</v>
      </c>
      <c r="I5615" s="60">
        <f t="shared" si="263"/>
        <v>642.4</v>
      </c>
      <c r="J5615" s="60">
        <f t="shared" si="264"/>
        <v>1562</v>
      </c>
    </row>
    <row r="5616" ht="15.2" spans="1:10">
      <c r="A5616" s="58" t="s">
        <v>6204</v>
      </c>
      <c r="B5616" s="59">
        <v>1576.34</v>
      </c>
      <c r="C5616" s="59">
        <v>2399</v>
      </c>
      <c r="D5616" s="59" t="s">
        <v>803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ht="15.2" spans="1:10">
      <c r="A5617" s="58" t="s">
        <v>6205</v>
      </c>
      <c r="B5617" s="59">
        <v>1313.5</v>
      </c>
      <c r="C5617" s="59">
        <v>1999</v>
      </c>
      <c r="D5617" s="59" t="s">
        <v>803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ht="15.2" spans="1:10">
      <c r="A5618" s="58" t="s">
        <v>6206</v>
      </c>
      <c r="B5618" s="59">
        <v>1517.25</v>
      </c>
      <c r="C5618" s="59">
        <v>2499</v>
      </c>
      <c r="D5618" s="59" t="s">
        <v>803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ht="15.2" spans="1:10">
      <c r="A5619" s="58" t="s">
        <v>6207</v>
      </c>
      <c r="B5619" s="59">
        <v>555</v>
      </c>
      <c r="C5619" s="59">
        <v>1166</v>
      </c>
      <c r="D5619" s="59" t="s">
        <v>801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ht="15.2" spans="1:10">
      <c r="A5620" s="58" t="s">
        <v>6208</v>
      </c>
      <c r="B5620" s="59">
        <v>1274.39</v>
      </c>
      <c r="C5620" s="59">
        <v>2099</v>
      </c>
      <c r="D5620" s="59" t="s">
        <v>803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ht="15.2" spans="1:10">
      <c r="A5621" s="58" t="s">
        <v>6209</v>
      </c>
      <c r="B5621" s="59">
        <v>1177.98</v>
      </c>
      <c r="C5621" s="59">
        <v>1999</v>
      </c>
      <c r="D5621" s="59" t="s">
        <v>803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ht="15.2" spans="1:10">
      <c r="A5622" s="58" t="s">
        <v>6210</v>
      </c>
      <c r="B5622" s="59">
        <v>1247.8</v>
      </c>
      <c r="C5622" s="59">
        <v>1899</v>
      </c>
      <c r="D5622" s="59" t="s">
        <v>803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ht="15.2" spans="1:10">
      <c r="A5623" s="58" t="s">
        <v>6211</v>
      </c>
      <c r="B5623" s="59">
        <v>598.2</v>
      </c>
      <c r="C5623" s="59">
        <v>1858</v>
      </c>
      <c r="D5623" s="59" t="s">
        <v>801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</v>
      </c>
      <c r="J5623" s="60">
        <f t="shared" si="264"/>
        <v>92.9</v>
      </c>
    </row>
    <row r="5624" ht="15.2" spans="1:10">
      <c r="A5624" s="58" t="s">
        <v>6212</v>
      </c>
      <c r="B5624" s="59">
        <v>426</v>
      </c>
      <c r="C5624" s="59">
        <v>927</v>
      </c>
      <c r="D5624" s="59" t="s">
        <v>801</v>
      </c>
      <c r="E5624" s="59">
        <v>1.1</v>
      </c>
      <c r="F5624" s="59">
        <v>1.1</v>
      </c>
      <c r="G5624" s="59">
        <v>0</v>
      </c>
      <c r="H5624" s="60">
        <f t="shared" si="265"/>
        <v>1.1</v>
      </c>
      <c r="I5624" s="60">
        <f t="shared" si="263"/>
        <v>468.6</v>
      </c>
      <c r="J5624" s="60">
        <f t="shared" si="264"/>
        <v>1019.7</v>
      </c>
    </row>
    <row r="5625" ht="15.2" spans="1:10">
      <c r="A5625" s="58" t="s">
        <v>6213</v>
      </c>
      <c r="B5625" s="59">
        <v>1444.92</v>
      </c>
      <c r="C5625" s="59">
        <v>2199</v>
      </c>
      <c r="D5625" s="59" t="s">
        <v>803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ht="15.2" spans="1:10">
      <c r="A5626" s="58" t="s">
        <v>6214</v>
      </c>
      <c r="B5626" s="59">
        <v>2367.25</v>
      </c>
      <c r="C5626" s="59">
        <v>3899</v>
      </c>
      <c r="D5626" s="59" t="s">
        <v>803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ht="15.2" spans="1:10">
      <c r="A5627" s="58" t="s">
        <v>6215</v>
      </c>
      <c r="B5627" s="59">
        <v>1499</v>
      </c>
      <c r="C5627" s="59">
        <v>3399</v>
      </c>
      <c r="D5627" s="59" t="s">
        <v>801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ht="15.2" spans="1:10">
      <c r="A5628" s="58" t="s">
        <v>6216</v>
      </c>
      <c r="B5628" s="59">
        <v>399</v>
      </c>
      <c r="C5628" s="59">
        <v>838</v>
      </c>
      <c r="D5628" s="59" t="s">
        <v>801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ht="15.2" spans="1:10">
      <c r="A5629" s="58" t="s">
        <v>6217</v>
      </c>
      <c r="B5629" s="59">
        <v>1707.76</v>
      </c>
      <c r="C5629" s="59">
        <v>2599</v>
      </c>
      <c r="D5629" s="59" t="s">
        <v>803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ht="15.2" spans="1:10">
      <c r="A5630" s="58" t="s">
        <v>6218</v>
      </c>
      <c r="B5630" s="59">
        <v>1550</v>
      </c>
      <c r="C5630" s="59">
        <v>3441</v>
      </c>
      <c r="D5630" s="59" t="s">
        <v>801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ht="15.2" spans="1:10">
      <c r="A5631" s="58" t="s">
        <v>6219</v>
      </c>
      <c r="B5631" s="59">
        <v>399</v>
      </c>
      <c r="C5631" s="59">
        <v>892</v>
      </c>
      <c r="D5631" s="59" t="s">
        <v>801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3630.9</v>
      </c>
      <c r="J5631" s="60">
        <f t="shared" si="264"/>
        <v>8117.2</v>
      </c>
    </row>
    <row r="5632" ht="15.2" spans="1:10">
      <c r="A5632" s="58" t="s">
        <v>6220</v>
      </c>
      <c r="B5632" s="59">
        <v>1472.63</v>
      </c>
      <c r="C5632" s="59">
        <v>2499</v>
      </c>
      <c r="D5632" s="59" t="s">
        <v>803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ht="15.2" spans="1:10">
      <c r="A5633" s="58" t="s">
        <v>6221</v>
      </c>
      <c r="B5633" s="59">
        <v>399</v>
      </c>
      <c r="C5633" s="59">
        <v>892</v>
      </c>
      <c r="D5633" s="59" t="s">
        <v>801</v>
      </c>
      <c r="E5633" s="59">
        <v>4.6</v>
      </c>
      <c r="F5633" s="59">
        <v>4.6</v>
      </c>
      <c r="G5633" s="59">
        <v>0</v>
      </c>
      <c r="H5633" s="60">
        <f t="shared" si="265"/>
        <v>4.6</v>
      </c>
      <c r="I5633" s="60">
        <f t="shared" si="263"/>
        <v>1835.4</v>
      </c>
      <c r="J5633" s="60">
        <f t="shared" si="264"/>
        <v>4103.2</v>
      </c>
    </row>
    <row r="5634" ht="15.2" spans="1:10">
      <c r="A5634" s="58" t="s">
        <v>6222</v>
      </c>
      <c r="B5634" s="59">
        <v>662</v>
      </c>
      <c r="C5634" s="59">
        <v>1479</v>
      </c>
      <c r="D5634" s="59" t="s">
        <v>801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ht="15.2" spans="1:10">
      <c r="A5635" s="58" t="s">
        <v>92</v>
      </c>
      <c r="B5635" s="59">
        <v>511</v>
      </c>
      <c r="C5635" s="59">
        <v>1290</v>
      </c>
      <c r="D5635" s="59" t="s">
        <v>801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</v>
      </c>
    </row>
    <row r="5636" ht="15.2" spans="1:10">
      <c r="A5636" s="58" t="s">
        <v>6223</v>
      </c>
      <c r="B5636" s="59">
        <v>269</v>
      </c>
      <c r="C5636" s="59">
        <v>582</v>
      </c>
      <c r="D5636" s="59" t="s">
        <v>801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ht="15.2" spans="1:10">
      <c r="A5637" s="58" t="s">
        <v>6224</v>
      </c>
      <c r="B5637" s="59">
        <v>1274.4</v>
      </c>
      <c r="C5637" s="59">
        <v>2099</v>
      </c>
      <c r="D5637" s="59" t="s">
        <v>803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</v>
      </c>
      <c r="J5637" s="60">
        <f t="shared" si="267"/>
        <v>2099</v>
      </c>
    </row>
    <row r="5638" ht="15.2" spans="1:10">
      <c r="A5638" s="58" t="s">
        <v>6225</v>
      </c>
      <c r="B5638" s="59">
        <v>1839.16</v>
      </c>
      <c r="C5638" s="59">
        <v>2799</v>
      </c>
      <c r="D5638" s="59" t="s">
        <v>803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ht="15.2" spans="1:10">
      <c r="A5639" s="58" t="s">
        <v>6226</v>
      </c>
      <c r="B5639" s="59">
        <v>881</v>
      </c>
      <c r="C5639" s="59">
        <v>2207</v>
      </c>
      <c r="D5639" s="59" t="s">
        <v>801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17214.6</v>
      </c>
    </row>
    <row r="5640" ht="15.2" spans="1:10">
      <c r="A5640" s="58" t="s">
        <v>6227</v>
      </c>
      <c r="B5640" s="59">
        <v>1699.39</v>
      </c>
      <c r="C5640" s="59">
        <v>2799</v>
      </c>
      <c r="D5640" s="59" t="s">
        <v>803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ht="15.2" spans="1:10">
      <c r="A5641" s="58" t="s">
        <v>6228</v>
      </c>
      <c r="B5641" s="59">
        <v>608</v>
      </c>
      <c r="C5641" s="59">
        <v>1347</v>
      </c>
      <c r="D5641" s="59" t="s">
        <v>801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</v>
      </c>
    </row>
    <row r="5642" ht="15.2" spans="1:10">
      <c r="A5642" s="58" t="s">
        <v>6229</v>
      </c>
      <c r="B5642" s="59">
        <v>1182.09</v>
      </c>
      <c r="C5642" s="59">
        <v>1799</v>
      </c>
      <c r="D5642" s="59" t="s">
        <v>803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ht="15.2" spans="1:10">
      <c r="A5643" s="58" t="s">
        <v>6230</v>
      </c>
      <c r="B5643" s="59">
        <v>656.42</v>
      </c>
      <c r="C5643" s="59">
        <v>999</v>
      </c>
      <c r="D5643" s="59" t="s">
        <v>803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ht="15.2" spans="1:10">
      <c r="A5644" s="58" t="s">
        <v>6231</v>
      </c>
      <c r="B5644" s="59">
        <v>409</v>
      </c>
      <c r="C5644" s="59">
        <v>1032</v>
      </c>
      <c r="D5644" s="59" t="s">
        <v>801</v>
      </c>
      <c r="E5644" s="59">
        <v>4.6</v>
      </c>
      <c r="F5644" s="59">
        <v>4.6</v>
      </c>
      <c r="G5644" s="59">
        <v>0</v>
      </c>
      <c r="H5644" s="60">
        <f t="shared" si="265"/>
        <v>4.6</v>
      </c>
      <c r="I5644" s="60">
        <f t="shared" si="266"/>
        <v>1881.4</v>
      </c>
      <c r="J5644" s="60">
        <f t="shared" si="267"/>
        <v>4747.2</v>
      </c>
    </row>
    <row r="5645" ht="15.2" spans="1:10">
      <c r="A5645" s="58" t="s">
        <v>6232</v>
      </c>
      <c r="B5645" s="59">
        <v>1247.8</v>
      </c>
      <c r="C5645" s="59">
        <v>1899</v>
      </c>
      <c r="D5645" s="59" t="s">
        <v>803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ht="15.2" spans="1:10">
      <c r="A5646" s="58" t="s">
        <v>6233</v>
      </c>
      <c r="B5646" s="59">
        <v>570.86</v>
      </c>
      <c r="C5646" s="59">
        <v>2499</v>
      </c>
      <c r="D5646" s="59" t="s">
        <v>801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ht="15.2" spans="1:10">
      <c r="A5647" s="58" t="s">
        <v>6234</v>
      </c>
      <c r="B5647" s="59">
        <v>1313.5</v>
      </c>
      <c r="C5647" s="59">
        <v>1999</v>
      </c>
      <c r="D5647" s="59" t="s">
        <v>803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ht="15.2" spans="1:10">
      <c r="A5648" s="58" t="s">
        <v>6235</v>
      </c>
      <c r="B5648" s="59">
        <v>1379.21</v>
      </c>
      <c r="C5648" s="59">
        <v>2099</v>
      </c>
      <c r="D5648" s="59" t="s">
        <v>803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ht="15.2" spans="1:10">
      <c r="A5649" s="58" t="s">
        <v>6236</v>
      </c>
      <c r="B5649" s="59">
        <v>693</v>
      </c>
      <c r="C5649" s="59">
        <v>1567</v>
      </c>
      <c r="D5649" s="59" t="s">
        <v>801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ht="15.2" spans="1:10">
      <c r="A5650" s="58" t="s">
        <v>6237</v>
      </c>
      <c r="B5650" s="59">
        <v>317</v>
      </c>
      <c r="C5650" s="59">
        <v>700</v>
      </c>
      <c r="D5650" s="59" t="s">
        <v>801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ht="15.2" spans="1:10">
      <c r="A5651" s="58" t="s">
        <v>6238</v>
      </c>
      <c r="B5651" s="59">
        <v>248</v>
      </c>
      <c r="C5651" s="59">
        <v>559</v>
      </c>
      <c r="D5651" s="59" t="s">
        <v>801</v>
      </c>
      <c r="E5651" s="59">
        <v>8.2</v>
      </c>
      <c r="F5651" s="59">
        <v>8.2</v>
      </c>
      <c r="G5651" s="59">
        <v>0</v>
      </c>
      <c r="H5651" s="60">
        <f t="shared" si="265"/>
        <v>8.2</v>
      </c>
      <c r="I5651" s="60">
        <f t="shared" si="266"/>
        <v>2033.6</v>
      </c>
      <c r="J5651" s="60">
        <f t="shared" si="267"/>
        <v>4583.8</v>
      </c>
    </row>
    <row r="5652" ht="15.2" spans="1:10">
      <c r="A5652" s="58" t="s">
        <v>6239</v>
      </c>
      <c r="B5652" s="59">
        <v>1116.38</v>
      </c>
      <c r="C5652" s="59">
        <v>1699</v>
      </c>
      <c r="D5652" s="59" t="s">
        <v>803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</v>
      </c>
      <c r="J5652" s="60">
        <f t="shared" si="267"/>
        <v>1699</v>
      </c>
    </row>
    <row r="5653" ht="15.2" spans="1:10">
      <c r="A5653" s="58" t="s">
        <v>6240</v>
      </c>
      <c r="B5653" s="59">
        <v>487</v>
      </c>
      <c r="C5653" s="59">
        <v>1064</v>
      </c>
      <c r="D5653" s="59" t="s">
        <v>801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ht="15.2" spans="1:10">
      <c r="A5654" s="58" t="s">
        <v>6241</v>
      </c>
      <c r="B5654" s="59">
        <v>1152.97</v>
      </c>
      <c r="C5654" s="59">
        <v>1899</v>
      </c>
      <c r="D5654" s="59" t="s">
        <v>803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ht="15.2" spans="1:10">
      <c r="A5655" s="58" t="s">
        <v>6242</v>
      </c>
      <c r="B5655" s="59">
        <v>399</v>
      </c>
      <c r="C5655" s="59">
        <v>892</v>
      </c>
      <c r="D5655" s="59" t="s">
        <v>801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ht="15.2" spans="1:10">
      <c r="A5656" s="58" t="s">
        <v>6243</v>
      </c>
      <c r="B5656" s="59">
        <v>300</v>
      </c>
      <c r="C5656" s="59">
        <v>685</v>
      </c>
      <c r="D5656" s="59" t="s">
        <v>801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ht="15.2" spans="1:10">
      <c r="A5657" s="58" t="s">
        <v>6244</v>
      </c>
      <c r="B5657" s="59">
        <v>830</v>
      </c>
      <c r="C5657" s="59">
        <v>2118</v>
      </c>
      <c r="D5657" s="59" t="s">
        <v>801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ht="15.2" spans="1:10">
      <c r="A5658" s="58" t="s">
        <v>6245</v>
      </c>
      <c r="B5658" s="59">
        <v>8499.39</v>
      </c>
      <c r="C5658" s="59">
        <v>13999</v>
      </c>
      <c r="D5658" s="59" t="s">
        <v>803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ht="15.2" spans="1:10">
      <c r="A5659" s="58" t="s">
        <v>16</v>
      </c>
      <c r="B5659" s="59">
        <v>299</v>
      </c>
      <c r="C5659" s="59">
        <v>660</v>
      </c>
      <c r="D5659" s="59" t="s">
        <v>801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3348.8</v>
      </c>
      <c r="J5659" s="60">
        <f t="shared" si="267"/>
        <v>7392</v>
      </c>
    </row>
    <row r="5660" ht="15.2" spans="1:10">
      <c r="A5660" s="58" t="s">
        <v>6246</v>
      </c>
      <c r="B5660" s="59">
        <v>1247.8</v>
      </c>
      <c r="C5660" s="59">
        <v>1899</v>
      </c>
      <c r="D5660" s="59" t="s">
        <v>803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ht="15.2" spans="1:10">
      <c r="A5661" s="58" t="s">
        <v>6247</v>
      </c>
      <c r="B5661" s="59">
        <v>1213.68</v>
      </c>
      <c r="C5661" s="59">
        <v>1999</v>
      </c>
      <c r="D5661" s="59" t="s">
        <v>803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ht="15.2" spans="1:10">
      <c r="A5662" s="58" t="s">
        <v>6248</v>
      </c>
      <c r="B5662" s="59">
        <v>3535.13</v>
      </c>
      <c r="C5662" s="59">
        <v>5999</v>
      </c>
      <c r="D5662" s="59" t="s">
        <v>803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ht="15.2" spans="1:10">
      <c r="A5663" s="58" t="s">
        <v>6249</v>
      </c>
      <c r="B5663" s="59">
        <v>390</v>
      </c>
      <c r="C5663" s="59">
        <v>873</v>
      </c>
      <c r="D5663" s="59" t="s">
        <v>801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8380.8</v>
      </c>
    </row>
    <row r="5664" ht="15.2" spans="1:10">
      <c r="A5664" s="58" t="s">
        <v>6250</v>
      </c>
      <c r="B5664" s="59">
        <v>263</v>
      </c>
      <c r="C5664" s="59">
        <v>541</v>
      </c>
      <c r="D5664" s="59" t="s">
        <v>801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ht="15.2" spans="1:10">
      <c r="A5665" s="58" t="s">
        <v>6251</v>
      </c>
      <c r="B5665" s="59">
        <v>1354.77</v>
      </c>
      <c r="C5665" s="59">
        <v>2299</v>
      </c>
      <c r="D5665" s="59" t="s">
        <v>803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ht="15.2" spans="1:10">
      <c r="A5666" s="58" t="s">
        <v>6252</v>
      </c>
      <c r="B5666" s="59">
        <v>1638.68</v>
      </c>
      <c r="C5666" s="59">
        <v>2699</v>
      </c>
      <c r="D5666" s="59" t="s">
        <v>803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ht="15.2" spans="1:10">
      <c r="A5667" s="58" t="s">
        <v>6253</v>
      </c>
      <c r="B5667" s="59">
        <v>1510.63</v>
      </c>
      <c r="C5667" s="59">
        <v>2299</v>
      </c>
      <c r="D5667" s="59" t="s">
        <v>803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ht="15.2" spans="1:10">
      <c r="A5668" s="58" t="s">
        <v>6254</v>
      </c>
      <c r="B5668" s="59">
        <v>1247.8</v>
      </c>
      <c r="C5668" s="59">
        <v>1899</v>
      </c>
      <c r="D5668" s="59" t="s">
        <v>803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ht="15.2" spans="1:10">
      <c r="A5669" s="58" t="s">
        <v>6255</v>
      </c>
      <c r="B5669" s="59">
        <v>413</v>
      </c>
      <c r="C5669" s="59">
        <v>1016</v>
      </c>
      <c r="D5669" s="59" t="s">
        <v>801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392.35</v>
      </c>
      <c r="J5669" s="60">
        <f t="shared" si="267"/>
        <v>965.2</v>
      </c>
    </row>
    <row r="5670" ht="15.2" spans="1:10">
      <c r="A5670" s="58" t="s">
        <v>6256</v>
      </c>
      <c r="B5670" s="59">
        <v>904.43</v>
      </c>
      <c r="C5670" s="59">
        <v>1399</v>
      </c>
      <c r="D5670" s="59" t="s">
        <v>803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ht="15.2" spans="1:10">
      <c r="A5671" s="58" t="s">
        <v>6257</v>
      </c>
      <c r="B5671" s="59">
        <v>2651.2</v>
      </c>
      <c r="C5671" s="59">
        <v>4499</v>
      </c>
      <c r="D5671" s="59" t="s">
        <v>803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ht="15.2" spans="1:10">
      <c r="A5672" s="58" t="s">
        <v>6258</v>
      </c>
      <c r="B5672" s="59">
        <v>343</v>
      </c>
      <c r="C5672" s="59">
        <v>835</v>
      </c>
      <c r="D5672" s="59" t="s">
        <v>801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ht="15.2" spans="1:10">
      <c r="A5673" s="58" t="s">
        <v>6259</v>
      </c>
      <c r="B5673" s="59">
        <v>1707.76</v>
      </c>
      <c r="C5673" s="59">
        <v>2599</v>
      </c>
      <c r="D5673" s="59" t="s">
        <v>803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ht="15.2" spans="1:10">
      <c r="A5674" s="58" t="s">
        <v>6260</v>
      </c>
      <c r="B5674" s="59">
        <v>1094.5</v>
      </c>
      <c r="C5674" s="59">
        <v>1699</v>
      </c>
      <c r="D5674" s="59" t="s">
        <v>803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ht="15.2" spans="1:10">
      <c r="A5675" s="58" t="s">
        <v>375</v>
      </c>
      <c r="B5675" s="59">
        <v>525</v>
      </c>
      <c r="C5675" s="59">
        <v>1172</v>
      </c>
      <c r="D5675" s="59" t="s">
        <v>801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ht="15.2" spans="1:10">
      <c r="A5676" s="58" t="s">
        <v>6261</v>
      </c>
      <c r="B5676" s="59">
        <v>1134</v>
      </c>
      <c r="C5676" s="59">
        <v>2268</v>
      </c>
      <c r="D5676" s="59" t="s">
        <v>801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ht="15.2" spans="1:10">
      <c r="A5677" s="58" t="s">
        <v>6262</v>
      </c>
      <c r="B5677" s="59">
        <v>1119.05</v>
      </c>
      <c r="C5677" s="59">
        <v>1899</v>
      </c>
      <c r="D5677" s="59" t="s">
        <v>803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ht="15.2" spans="1:10">
      <c r="A5678" s="58" t="s">
        <v>6263</v>
      </c>
      <c r="B5678" s="59">
        <v>2356.55</v>
      </c>
      <c r="C5678" s="59">
        <v>3999</v>
      </c>
      <c r="D5678" s="59" t="s">
        <v>803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ht="15.2" spans="1:10">
      <c r="A5679" s="58" t="s">
        <v>6264</v>
      </c>
      <c r="B5679" s="59">
        <v>542</v>
      </c>
      <c r="C5679" s="59">
        <v>1207</v>
      </c>
      <c r="D5679" s="59" t="s">
        <v>801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ht="15.2" spans="1:10">
      <c r="A5680" s="58" t="s">
        <v>6265</v>
      </c>
      <c r="B5680" s="59">
        <v>580</v>
      </c>
      <c r="C5680" s="59">
        <v>1324</v>
      </c>
      <c r="D5680" s="59" t="s">
        <v>801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ht="15.2" spans="1:10">
      <c r="A5681" s="58" t="s">
        <v>6266</v>
      </c>
      <c r="B5681" s="59">
        <v>1313.5</v>
      </c>
      <c r="C5681" s="59">
        <v>1999</v>
      </c>
      <c r="D5681" s="59" t="s">
        <v>803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ht="15.2" spans="1:10">
      <c r="A5682" s="58" t="s">
        <v>6267</v>
      </c>
      <c r="B5682" s="59">
        <v>1456.54</v>
      </c>
      <c r="C5682" s="59">
        <v>2399</v>
      </c>
      <c r="D5682" s="59" t="s">
        <v>803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ht="15.2" spans="1:10">
      <c r="A5683" s="58" t="s">
        <v>6268</v>
      </c>
      <c r="B5683" s="59">
        <v>417</v>
      </c>
      <c r="C5683" s="59">
        <v>951</v>
      </c>
      <c r="D5683" s="59" t="s">
        <v>801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</v>
      </c>
    </row>
    <row r="5684" ht="15.2" spans="1:10">
      <c r="A5684" s="58" t="s">
        <v>6269</v>
      </c>
      <c r="B5684" s="59">
        <v>325</v>
      </c>
      <c r="C5684" s="59">
        <v>999</v>
      </c>
      <c r="D5684" s="59" t="s">
        <v>801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ht="15.2" spans="1:10">
      <c r="A5685" s="58" t="s">
        <v>6270</v>
      </c>
      <c r="B5685" s="59">
        <v>0</v>
      </c>
      <c r="C5685" s="59">
        <v>0</v>
      </c>
      <c r="D5685" s="59" t="s">
        <v>815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ht="15.2" spans="1:10">
      <c r="A5686" s="58" t="s">
        <v>6271</v>
      </c>
      <c r="B5686" s="59">
        <v>224</v>
      </c>
      <c r="C5686" s="59">
        <v>460</v>
      </c>
      <c r="D5686" s="59" t="s">
        <v>801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ht="15.2" spans="1:10">
      <c r="A5687" s="58" t="s">
        <v>6272</v>
      </c>
      <c r="B5687" s="59">
        <v>1517.25</v>
      </c>
      <c r="C5687" s="59">
        <v>2499</v>
      </c>
      <c r="D5687" s="59" t="s">
        <v>803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ht="15.2" spans="1:10">
      <c r="A5688" s="58" t="s">
        <v>6273</v>
      </c>
      <c r="B5688" s="59">
        <v>1577.96</v>
      </c>
      <c r="C5688" s="59">
        <v>2599</v>
      </c>
      <c r="D5688" s="59" t="s">
        <v>803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ht="15.2" spans="1:10">
      <c r="A5689" s="58" t="s">
        <v>6274</v>
      </c>
      <c r="B5689" s="59">
        <v>970.78</v>
      </c>
      <c r="C5689" s="59">
        <v>1499</v>
      </c>
      <c r="D5689" s="59" t="s">
        <v>803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ht="15.2" spans="1:10">
      <c r="A5690" s="58" t="s">
        <v>6275</v>
      </c>
      <c r="B5690" s="59">
        <v>1</v>
      </c>
      <c r="C5690" s="59">
        <v>1</v>
      </c>
      <c r="D5690" s="59" t="s">
        <v>815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ht="15.2" spans="1:10">
      <c r="A5691" s="58" t="s">
        <v>6276</v>
      </c>
      <c r="B5691" s="59">
        <v>630</v>
      </c>
      <c r="C5691" s="59">
        <v>1432</v>
      </c>
      <c r="D5691" s="59" t="s">
        <v>801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</v>
      </c>
    </row>
    <row r="5692" ht="15.2" spans="1:10">
      <c r="A5692" s="58" t="s">
        <v>6277</v>
      </c>
      <c r="B5692" s="59">
        <v>452.69</v>
      </c>
      <c r="C5692" s="59">
        <v>699</v>
      </c>
      <c r="D5692" s="59" t="s">
        <v>803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ht="15.2" spans="1:10">
      <c r="A5693" s="58" t="s">
        <v>6278</v>
      </c>
      <c r="B5693" s="59">
        <v>578</v>
      </c>
      <c r="C5693" s="59">
        <v>1439</v>
      </c>
      <c r="D5693" s="59" t="s">
        <v>801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ht="15.2" spans="1:10">
      <c r="A5694" s="58" t="s">
        <v>6279</v>
      </c>
      <c r="B5694" s="59">
        <v>675</v>
      </c>
      <c r="C5694" s="59">
        <v>1418</v>
      </c>
      <c r="D5694" s="59" t="s">
        <v>801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</v>
      </c>
    </row>
    <row r="5695" ht="15.2" spans="1:10">
      <c r="A5695" s="58" t="s">
        <v>6280</v>
      </c>
      <c r="B5695" s="59">
        <v>656.42</v>
      </c>
      <c r="C5695" s="59">
        <v>999</v>
      </c>
      <c r="D5695" s="59" t="s">
        <v>803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ht="15.2" spans="1:10">
      <c r="A5696" s="58" t="s">
        <v>6281</v>
      </c>
      <c r="B5696" s="59">
        <v>1158.92</v>
      </c>
      <c r="C5696" s="59">
        <v>1799</v>
      </c>
      <c r="D5696" s="59" t="s">
        <v>803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ht="15.2" spans="1:10">
      <c r="A5697" s="58" t="s">
        <v>6282</v>
      </c>
      <c r="B5697" s="59">
        <v>1699.39</v>
      </c>
      <c r="C5697" s="59">
        <v>2799</v>
      </c>
      <c r="D5697" s="59" t="s">
        <v>803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ht="15.2" spans="1:10">
      <c r="A5698" s="58" t="s">
        <v>6283</v>
      </c>
      <c r="B5698" s="59">
        <v>970.78</v>
      </c>
      <c r="C5698" s="59">
        <v>1499</v>
      </c>
      <c r="D5698" s="59" t="s">
        <v>803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ht="15.2" spans="1:10">
      <c r="A5699" s="58" t="s">
        <v>6284</v>
      </c>
      <c r="B5699" s="59">
        <v>270</v>
      </c>
      <c r="C5699" s="59">
        <v>585</v>
      </c>
      <c r="D5699" s="59" t="s">
        <v>801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ht="15.2" spans="1:10">
      <c r="A5700" s="58" t="s">
        <v>6285</v>
      </c>
      <c r="B5700" s="59">
        <v>551</v>
      </c>
      <c r="C5700" s="59">
        <v>1286</v>
      </c>
      <c r="D5700" s="59" t="s">
        <v>801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</v>
      </c>
      <c r="J5700" s="60">
        <f t="shared" si="270"/>
        <v>835.9</v>
      </c>
    </row>
    <row r="5701" ht="15.2" spans="1:10">
      <c r="A5701" s="58" t="s">
        <v>6286</v>
      </c>
      <c r="B5701" s="59">
        <v>1456.54</v>
      </c>
      <c r="C5701" s="59">
        <v>2399</v>
      </c>
      <c r="D5701" s="59" t="s">
        <v>803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ht="15.2" spans="1:10">
      <c r="A5702" s="58" t="s">
        <v>6287</v>
      </c>
      <c r="B5702" s="59">
        <v>661</v>
      </c>
      <c r="C5702" s="59">
        <v>1471</v>
      </c>
      <c r="D5702" s="59" t="s">
        <v>801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99.15</v>
      </c>
      <c r="J5702" s="60">
        <f t="shared" si="270"/>
        <v>220.65</v>
      </c>
    </row>
    <row r="5703" ht="15.2" spans="1:10">
      <c r="A5703" s="58" t="s">
        <v>6288</v>
      </c>
      <c r="B5703" s="59">
        <v>525</v>
      </c>
      <c r="C5703" s="59">
        <v>799</v>
      </c>
      <c r="D5703" s="59" t="s">
        <v>803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ht="15.2" spans="1:10">
      <c r="A5704" s="58" t="s">
        <v>6289</v>
      </c>
      <c r="B5704" s="59">
        <v>555</v>
      </c>
      <c r="C5704" s="59">
        <v>1241</v>
      </c>
      <c r="D5704" s="59" t="s">
        <v>801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ht="15.2" spans="1:10">
      <c r="A5705" s="58" t="s">
        <v>6290</v>
      </c>
      <c r="B5705" s="59">
        <v>374</v>
      </c>
      <c r="C5705" s="59">
        <v>803</v>
      </c>
      <c r="D5705" s="59" t="s">
        <v>801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ht="15.2" spans="1:10">
      <c r="A5706" s="58" t="s">
        <v>6291</v>
      </c>
      <c r="B5706" s="59">
        <v>1707.76</v>
      </c>
      <c r="C5706" s="59">
        <v>2599</v>
      </c>
      <c r="D5706" s="59" t="s">
        <v>803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ht="15.2" spans="1:10">
      <c r="A5707" s="58" t="s">
        <v>6292</v>
      </c>
      <c r="B5707" s="59">
        <v>1577.97</v>
      </c>
      <c r="C5707" s="59">
        <v>2599</v>
      </c>
      <c r="D5707" s="59" t="s">
        <v>803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ht="15.2" spans="1:10">
      <c r="A5708" s="58" t="s">
        <v>6293</v>
      </c>
      <c r="B5708" s="59">
        <v>6677.96</v>
      </c>
      <c r="C5708" s="59">
        <v>10999</v>
      </c>
      <c r="D5708" s="59" t="s">
        <v>803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ht="15.2" spans="1:10">
      <c r="A5709" s="58" t="s">
        <v>6294</v>
      </c>
      <c r="B5709" s="59">
        <v>383</v>
      </c>
      <c r="C5709" s="59">
        <v>880</v>
      </c>
      <c r="D5709" s="59" t="s">
        <v>801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ht="15.2" spans="1:10">
      <c r="A5710" s="58" t="s">
        <v>6295</v>
      </c>
      <c r="B5710" s="59">
        <v>1116.38</v>
      </c>
      <c r="C5710" s="59">
        <v>1699</v>
      </c>
      <c r="D5710" s="59" t="s">
        <v>803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ht="15.2" spans="1:10">
      <c r="A5711" s="58" t="s">
        <v>6296</v>
      </c>
      <c r="B5711" s="59">
        <v>906.02</v>
      </c>
      <c r="C5711" s="59">
        <v>1399</v>
      </c>
      <c r="D5711" s="59" t="s">
        <v>803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ht="15.2" spans="1:10">
      <c r="A5712" s="58" t="s">
        <v>6297</v>
      </c>
      <c r="B5712" s="59">
        <v>2002.96</v>
      </c>
      <c r="C5712" s="59">
        <v>3299</v>
      </c>
      <c r="D5712" s="59" t="s">
        <v>803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ht="15.2" spans="1:10">
      <c r="A5713" s="58" t="s">
        <v>6298</v>
      </c>
      <c r="B5713" s="59">
        <v>1456.54</v>
      </c>
      <c r="C5713" s="59">
        <v>2399</v>
      </c>
      <c r="D5713" s="59" t="s">
        <v>803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ht="15.2" spans="1:10">
      <c r="A5714" s="58" t="s">
        <v>6299</v>
      </c>
      <c r="B5714" s="59">
        <v>625</v>
      </c>
      <c r="C5714" s="59">
        <v>1313</v>
      </c>
      <c r="D5714" s="59" t="s">
        <v>801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ht="15.2" spans="1:10">
      <c r="A5715" s="58" t="s">
        <v>6300</v>
      </c>
      <c r="B5715" s="59">
        <v>949</v>
      </c>
      <c r="C5715" s="59">
        <v>1993</v>
      </c>
      <c r="D5715" s="59" t="s">
        <v>801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ht="15.2" spans="1:10">
      <c r="A5716" s="58" t="s">
        <v>6301</v>
      </c>
      <c r="B5716" s="59">
        <v>1280</v>
      </c>
      <c r="C5716" s="59">
        <v>3238</v>
      </c>
      <c r="D5716" s="59" t="s">
        <v>801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ht="15.2" spans="1:10">
      <c r="A5717" s="58" t="s">
        <v>6302</v>
      </c>
      <c r="B5717" s="59">
        <v>546</v>
      </c>
      <c r="C5717" s="59">
        <v>1122</v>
      </c>
      <c r="D5717" s="59" t="s">
        <v>801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ht="15.2" spans="1:10">
      <c r="A5718" s="58" t="s">
        <v>6303</v>
      </c>
      <c r="B5718" s="59">
        <v>965.66</v>
      </c>
      <c r="C5718" s="59">
        <v>1499</v>
      </c>
      <c r="D5718" s="59" t="s">
        <v>803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ht="15.2" spans="1:10">
      <c r="A5719" s="58" t="s">
        <v>6304</v>
      </c>
      <c r="B5719" s="59">
        <v>744.11</v>
      </c>
      <c r="C5719" s="59">
        <v>1149</v>
      </c>
      <c r="D5719" s="59" t="s">
        <v>803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ht="15.2" spans="1:10">
      <c r="A5720" s="58" t="s">
        <v>6305</v>
      </c>
      <c r="B5720" s="59">
        <v>656.42</v>
      </c>
      <c r="C5720" s="59">
        <v>999</v>
      </c>
      <c r="D5720" s="59" t="s">
        <v>803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ht="15.2" spans="1:10">
      <c r="A5721" s="58" t="s">
        <v>6306</v>
      </c>
      <c r="B5721" s="59">
        <v>2627.66</v>
      </c>
      <c r="C5721" s="59">
        <v>3999</v>
      </c>
      <c r="D5721" s="59" t="s">
        <v>803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ht="15.2" spans="1:10">
      <c r="A5722" s="58" t="s">
        <v>6307</v>
      </c>
      <c r="B5722" s="59">
        <v>646.97</v>
      </c>
      <c r="C5722" s="59">
        <v>999</v>
      </c>
      <c r="D5722" s="59" t="s">
        <v>803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ht="15.2" spans="1:10">
      <c r="A5723" s="58" t="s">
        <v>6308</v>
      </c>
      <c r="B5723" s="59">
        <v>769</v>
      </c>
      <c r="C5723" s="59">
        <v>1825</v>
      </c>
      <c r="D5723" s="59" t="s">
        <v>801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2537.7</v>
      </c>
      <c r="J5723" s="60">
        <f t="shared" si="270"/>
        <v>6022.5</v>
      </c>
    </row>
    <row r="5724" ht="15.2" spans="1:10">
      <c r="A5724" s="58" t="s">
        <v>6309</v>
      </c>
      <c r="B5724" s="59">
        <v>1576.34</v>
      </c>
      <c r="C5724" s="59">
        <v>2399</v>
      </c>
      <c r="D5724" s="59" t="s">
        <v>803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ht="15.2" spans="1:10">
      <c r="A5725" s="58" t="s">
        <v>6310</v>
      </c>
      <c r="B5725" s="59">
        <v>1274.39</v>
      </c>
      <c r="C5725" s="59">
        <v>2099</v>
      </c>
      <c r="D5725" s="59" t="s">
        <v>803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</v>
      </c>
      <c r="J5725" s="60">
        <f t="shared" si="270"/>
        <v>2099</v>
      </c>
    </row>
    <row r="5726" ht="15.2" spans="1:10">
      <c r="A5726" s="58" t="s">
        <v>6311</v>
      </c>
      <c r="B5726" s="59">
        <v>1707.76</v>
      </c>
      <c r="C5726" s="59">
        <v>2599</v>
      </c>
      <c r="D5726" s="59" t="s">
        <v>803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ht="15.2" spans="1:10">
      <c r="A5727" s="58" t="s">
        <v>6312</v>
      </c>
      <c r="B5727" s="59">
        <v>984.96</v>
      </c>
      <c r="C5727" s="59">
        <v>1499</v>
      </c>
      <c r="D5727" s="59" t="s">
        <v>803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ht="15.2" spans="1:10">
      <c r="A5728" s="58" t="s">
        <v>6313</v>
      </c>
      <c r="B5728" s="59">
        <v>2651.2</v>
      </c>
      <c r="C5728" s="59">
        <v>4499</v>
      </c>
      <c r="D5728" s="59" t="s">
        <v>803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ht="15.2" spans="1:10">
      <c r="A5729" s="58" t="s">
        <v>6314</v>
      </c>
      <c r="B5729" s="59">
        <v>1287.76</v>
      </c>
      <c r="C5729" s="59">
        <v>1999</v>
      </c>
      <c r="D5729" s="59" t="s">
        <v>803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ht="15.2" spans="1:10">
      <c r="A5730" s="58" t="s">
        <v>6315</v>
      </c>
      <c r="B5730" s="59">
        <v>1760.11</v>
      </c>
      <c r="C5730" s="59">
        <v>2899</v>
      </c>
      <c r="D5730" s="59" t="s">
        <v>803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ht="15.2" spans="1:10">
      <c r="A5731" s="58" t="s">
        <v>6316</v>
      </c>
      <c r="B5731" s="59">
        <v>863</v>
      </c>
      <c r="C5731" s="59">
        <v>2021</v>
      </c>
      <c r="D5731" s="59" t="s">
        <v>801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ht="15.2" spans="1:10">
      <c r="A5732" s="58" t="s">
        <v>6317</v>
      </c>
      <c r="B5732" s="59">
        <v>1517.25</v>
      </c>
      <c r="C5732" s="59">
        <v>2499</v>
      </c>
      <c r="D5732" s="59" t="s">
        <v>803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ht="15.2" spans="1:10">
      <c r="A5733" s="58" t="s">
        <v>6318</v>
      </c>
      <c r="B5733" s="59">
        <v>578</v>
      </c>
      <c r="C5733" s="59">
        <v>1439</v>
      </c>
      <c r="D5733" s="59" t="s">
        <v>801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</v>
      </c>
      <c r="J5733" s="60">
        <f t="shared" si="270"/>
        <v>4604.8</v>
      </c>
    </row>
    <row r="5734" ht="15.2" spans="1:10">
      <c r="A5734" s="58" t="s">
        <v>6319</v>
      </c>
      <c r="B5734" s="59">
        <v>1456.54</v>
      </c>
      <c r="C5734" s="59">
        <v>2399</v>
      </c>
      <c r="D5734" s="59" t="s">
        <v>803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ht="15.2" spans="1:10">
      <c r="A5735" s="58" t="s">
        <v>6320</v>
      </c>
      <c r="B5735" s="59">
        <v>1699</v>
      </c>
      <c r="C5735" s="59">
        <v>4097</v>
      </c>
      <c r="D5735" s="59" t="s">
        <v>801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ht="15.2" spans="1:10">
      <c r="A5736" s="58" t="s">
        <v>6321</v>
      </c>
      <c r="B5736" s="59">
        <v>629</v>
      </c>
      <c r="C5736" s="59">
        <v>1560</v>
      </c>
      <c r="D5736" s="59" t="s">
        <v>801</v>
      </c>
      <c r="E5736" s="59">
        <v>4.85</v>
      </c>
      <c r="F5736" s="59">
        <v>4.85</v>
      </c>
      <c r="G5736" s="59">
        <v>0</v>
      </c>
      <c r="H5736" s="60">
        <f t="shared" si="271"/>
        <v>4.85</v>
      </c>
      <c r="I5736" s="60">
        <f t="shared" si="269"/>
        <v>3050.65</v>
      </c>
      <c r="J5736" s="60">
        <f t="shared" si="270"/>
        <v>7566</v>
      </c>
    </row>
    <row r="5737" ht="15.2" spans="1:10">
      <c r="A5737" s="58" t="s">
        <v>6322</v>
      </c>
      <c r="B5737" s="59">
        <v>1092.25</v>
      </c>
      <c r="C5737" s="59">
        <v>1799</v>
      </c>
      <c r="D5737" s="59" t="s">
        <v>803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ht="15.2" spans="1:10">
      <c r="A5738" s="58" t="s">
        <v>6323</v>
      </c>
      <c r="B5738" s="59">
        <v>881</v>
      </c>
      <c r="C5738" s="59">
        <v>2365</v>
      </c>
      <c r="D5738" s="59" t="s">
        <v>801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9867.2</v>
      </c>
      <c r="J5738" s="60">
        <f t="shared" si="270"/>
        <v>26488</v>
      </c>
    </row>
    <row r="5739" ht="15.2" spans="1:10">
      <c r="A5739" s="58" t="s">
        <v>6324</v>
      </c>
      <c r="B5739" s="59">
        <v>949</v>
      </c>
      <c r="C5739" s="59">
        <v>2145</v>
      </c>
      <c r="D5739" s="59" t="s">
        <v>801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ht="15.2" spans="1:10">
      <c r="A5740" s="58" t="s">
        <v>6325</v>
      </c>
      <c r="B5740" s="59">
        <v>220</v>
      </c>
      <c r="C5740" s="59">
        <v>492</v>
      </c>
      <c r="D5740" s="59" t="s">
        <v>801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ht="15.2" spans="1:10">
      <c r="A5741" s="58" t="s">
        <v>6326</v>
      </c>
      <c r="B5741" s="59">
        <v>584</v>
      </c>
      <c r="C5741" s="59">
        <v>1439</v>
      </c>
      <c r="D5741" s="59" t="s">
        <v>801</v>
      </c>
      <c r="E5741" s="59">
        <v>1.15</v>
      </c>
      <c r="F5741" s="59">
        <v>1.15</v>
      </c>
      <c r="G5741" s="59">
        <v>0</v>
      </c>
      <c r="H5741" s="60">
        <f t="shared" si="271"/>
        <v>1.15</v>
      </c>
      <c r="I5741" s="60">
        <f t="shared" si="269"/>
        <v>671.6</v>
      </c>
      <c r="J5741" s="60">
        <f t="shared" si="270"/>
        <v>1654.85</v>
      </c>
    </row>
    <row r="5742" ht="15.2" spans="1:10">
      <c r="A5742" s="58" t="s">
        <v>6327</v>
      </c>
      <c r="B5742" s="59">
        <v>367</v>
      </c>
      <c r="C5742" s="59">
        <v>790</v>
      </c>
      <c r="D5742" s="59" t="s">
        <v>801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256.9</v>
      </c>
      <c r="J5742" s="60">
        <f t="shared" si="270"/>
        <v>553</v>
      </c>
    </row>
    <row r="5743" ht="15.2" spans="1:10">
      <c r="A5743" s="58" t="s">
        <v>6328</v>
      </c>
      <c r="B5743" s="59">
        <v>599</v>
      </c>
      <c r="C5743" s="59">
        <v>1258</v>
      </c>
      <c r="D5743" s="59" t="s">
        <v>801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</v>
      </c>
      <c r="J5743" s="60">
        <f t="shared" si="270"/>
        <v>503.2</v>
      </c>
    </row>
    <row r="5744" ht="15.2" spans="1:10">
      <c r="A5744" s="58" t="s">
        <v>6329</v>
      </c>
      <c r="B5744" s="59">
        <v>1182.09</v>
      </c>
      <c r="C5744" s="59">
        <v>1799</v>
      </c>
      <c r="D5744" s="59" t="s">
        <v>803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1182.09</v>
      </c>
      <c r="J5744" s="60">
        <f t="shared" si="270"/>
        <v>1799</v>
      </c>
    </row>
    <row r="5745" ht="15.2" spans="1:10">
      <c r="A5745" s="58" t="s">
        <v>6330</v>
      </c>
      <c r="B5745" s="59">
        <v>2627.66</v>
      </c>
      <c r="C5745" s="59">
        <v>3999</v>
      </c>
      <c r="D5745" s="59" t="s">
        <v>803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ht="15.2" spans="1:10">
      <c r="A5746" s="58" t="s">
        <v>6331</v>
      </c>
      <c r="B5746" s="59">
        <v>1395.82</v>
      </c>
      <c r="C5746" s="59">
        <v>2299</v>
      </c>
      <c r="D5746" s="59" t="s">
        <v>803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ht="15.2" spans="1:10">
      <c r="A5747" s="58" t="s">
        <v>6332</v>
      </c>
      <c r="B5747" s="59">
        <v>5892.27</v>
      </c>
      <c r="C5747" s="59">
        <v>9999</v>
      </c>
      <c r="D5747" s="59" t="s">
        <v>803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ht="15.2" spans="1:10">
      <c r="A5748" s="58" t="s">
        <v>6333</v>
      </c>
      <c r="B5748" s="59">
        <v>525</v>
      </c>
      <c r="C5748" s="59">
        <v>799</v>
      </c>
      <c r="D5748" s="59" t="s">
        <v>803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ht="15.2" spans="1:10">
      <c r="A5749" s="58" t="s">
        <v>6334</v>
      </c>
      <c r="B5749" s="59">
        <v>614</v>
      </c>
      <c r="C5749" s="59">
        <v>1525</v>
      </c>
      <c r="D5749" s="59" t="s">
        <v>801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ht="15.2" spans="1:10">
      <c r="A5750" s="58" t="s">
        <v>6335</v>
      </c>
      <c r="B5750" s="59">
        <v>532</v>
      </c>
      <c r="C5750" s="59">
        <v>1112</v>
      </c>
      <c r="D5750" s="59" t="s">
        <v>801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ht="15.2" spans="1:10">
      <c r="A5751" s="58" t="s">
        <v>6336</v>
      </c>
      <c r="B5751" s="59">
        <v>725</v>
      </c>
      <c r="C5751" s="59">
        <v>1523</v>
      </c>
      <c r="D5751" s="59" t="s">
        <v>801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ht="15.2" spans="1:10">
      <c r="A5752" s="58" t="s">
        <v>6337</v>
      </c>
      <c r="B5752" s="59">
        <v>1576.34</v>
      </c>
      <c r="C5752" s="59">
        <v>2399</v>
      </c>
      <c r="D5752" s="59" t="s">
        <v>803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ht="15.2" spans="1:10">
      <c r="A5753" s="58" t="s">
        <v>6338</v>
      </c>
      <c r="B5753" s="59">
        <v>608</v>
      </c>
      <c r="C5753" s="59">
        <v>1271</v>
      </c>
      <c r="D5753" s="59" t="s">
        <v>801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</v>
      </c>
      <c r="J5753" s="60">
        <f t="shared" si="270"/>
        <v>254.2</v>
      </c>
    </row>
    <row r="5754" ht="15.2" spans="1:10">
      <c r="A5754" s="58" t="s">
        <v>6339</v>
      </c>
      <c r="B5754" s="59">
        <v>525</v>
      </c>
      <c r="C5754" s="59">
        <v>1149</v>
      </c>
      <c r="D5754" s="59" t="s">
        <v>801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ht="15.2" spans="1:10">
      <c r="A5755" s="58" t="s">
        <v>6340</v>
      </c>
      <c r="B5755" s="59">
        <v>400</v>
      </c>
      <c r="C5755" s="59">
        <v>1016</v>
      </c>
      <c r="D5755" s="59" t="s">
        <v>801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</v>
      </c>
    </row>
    <row r="5756" ht="15.2" spans="1:10">
      <c r="A5756" s="58" t="s">
        <v>6341</v>
      </c>
      <c r="B5756" s="59">
        <v>1649.41</v>
      </c>
      <c r="C5756" s="59">
        <v>2799</v>
      </c>
      <c r="D5756" s="59" t="s">
        <v>803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ht="15.2" spans="1:10">
      <c r="A5757" s="58" t="s">
        <v>6342</v>
      </c>
      <c r="B5757" s="59">
        <v>656.42</v>
      </c>
      <c r="C5757" s="59">
        <v>999</v>
      </c>
      <c r="D5757" s="59" t="s">
        <v>803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ht="15.2" spans="1:10">
      <c r="A5758" s="58" t="s">
        <v>6343</v>
      </c>
      <c r="B5758" s="59">
        <v>283</v>
      </c>
      <c r="C5758" s="59">
        <v>610</v>
      </c>
      <c r="D5758" s="59" t="s">
        <v>801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ht="15.2" spans="1:10">
      <c r="A5759" s="58" t="s">
        <v>6344</v>
      </c>
      <c r="B5759" s="59">
        <v>259</v>
      </c>
      <c r="C5759" s="59">
        <v>635</v>
      </c>
      <c r="D5759" s="59" t="s">
        <v>801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</v>
      </c>
      <c r="J5759" s="60">
        <f t="shared" si="270"/>
        <v>1016</v>
      </c>
    </row>
    <row r="5760" ht="15.2" spans="1:10">
      <c r="A5760" s="58" t="s">
        <v>6345</v>
      </c>
      <c r="B5760" s="59">
        <v>1354.77</v>
      </c>
      <c r="C5760" s="59">
        <v>2299</v>
      </c>
      <c r="D5760" s="59" t="s">
        <v>803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ht="15.2" spans="1:10">
      <c r="A5761" s="58" t="s">
        <v>6346</v>
      </c>
      <c r="B5761" s="59">
        <v>870</v>
      </c>
      <c r="C5761" s="59">
        <v>2063</v>
      </c>
      <c r="D5761" s="59" t="s">
        <v>801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ht="15.2" spans="1:10">
      <c r="A5762" s="58" t="s">
        <v>6347</v>
      </c>
      <c r="B5762" s="59">
        <v>1287.76</v>
      </c>
      <c r="C5762" s="59">
        <v>1999</v>
      </c>
      <c r="D5762" s="59" t="s">
        <v>803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ht="15.2" spans="1:10">
      <c r="A5763" s="58" t="s">
        <v>6348</v>
      </c>
      <c r="B5763" s="59">
        <v>1313.5</v>
      </c>
      <c r="C5763" s="59">
        <v>1999</v>
      </c>
      <c r="D5763" s="59" t="s">
        <v>803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ht="15.2" spans="1:10">
      <c r="A5764" s="58" t="s">
        <v>724</v>
      </c>
      <c r="B5764" s="59">
        <v>365</v>
      </c>
      <c r="C5764" s="59">
        <v>805</v>
      </c>
      <c r="D5764" s="59" t="s">
        <v>801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ht="15.2" spans="1:10">
      <c r="A5765" s="58" t="s">
        <v>6349</v>
      </c>
      <c r="B5765" s="59">
        <v>1820.82</v>
      </c>
      <c r="C5765" s="59">
        <v>2999</v>
      </c>
      <c r="D5765" s="59" t="s">
        <v>803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ht="15.2" spans="1:10">
      <c r="A5766" s="58" t="s">
        <v>6350</v>
      </c>
      <c r="B5766" s="59">
        <v>1510.63</v>
      </c>
      <c r="C5766" s="59">
        <v>2299</v>
      </c>
      <c r="D5766" s="59" t="s">
        <v>803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ht="15.2" spans="1:10">
      <c r="A5767" s="58" t="s">
        <v>6351</v>
      </c>
      <c r="B5767" s="59">
        <v>1287.76</v>
      </c>
      <c r="C5767" s="59">
        <v>1999</v>
      </c>
      <c r="D5767" s="59" t="s">
        <v>803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ht="15.2" spans="1:10">
      <c r="A5768" s="58" t="s">
        <v>6352</v>
      </c>
      <c r="B5768" s="59">
        <v>1649.41</v>
      </c>
      <c r="C5768" s="59">
        <v>2799</v>
      </c>
      <c r="D5768" s="59" t="s">
        <v>803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ht="15.2" spans="1:10">
      <c r="A5769" s="58" t="s">
        <v>6353</v>
      </c>
      <c r="B5769" s="59">
        <v>1313.5</v>
      </c>
      <c r="C5769" s="59">
        <v>1999</v>
      </c>
      <c r="D5769" s="59" t="s">
        <v>803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ht="15.2" spans="1:10">
      <c r="A5770" s="58" t="s">
        <v>6354</v>
      </c>
      <c r="B5770" s="59">
        <v>629</v>
      </c>
      <c r="C5770" s="59">
        <v>1468</v>
      </c>
      <c r="D5770" s="59" t="s">
        <v>801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7044.8</v>
      </c>
      <c r="J5770" s="60">
        <f t="shared" si="273"/>
        <v>16441.6</v>
      </c>
    </row>
    <row r="5771" ht="15.2" spans="1:10">
      <c r="A5771" s="58" t="s">
        <v>6355</v>
      </c>
      <c r="B5771" s="59">
        <v>1092.25</v>
      </c>
      <c r="C5771" s="59">
        <v>1799</v>
      </c>
      <c r="D5771" s="59" t="s">
        <v>803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ht="15.2" spans="1:10">
      <c r="A5772" s="58" t="s">
        <v>98</v>
      </c>
      <c r="B5772" s="59">
        <v>359</v>
      </c>
      <c r="C5772" s="59">
        <v>840</v>
      </c>
      <c r="D5772" s="59" t="s">
        <v>801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ht="15.2" spans="1:10">
      <c r="A5773" s="58" t="s">
        <v>6356</v>
      </c>
      <c r="B5773" s="59">
        <v>1444.92</v>
      </c>
      <c r="C5773" s="59">
        <v>2199</v>
      </c>
      <c r="D5773" s="59" t="s">
        <v>803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ht="15.2" spans="1:10">
      <c r="A5774" s="58" t="s">
        <v>6357</v>
      </c>
      <c r="B5774" s="59">
        <v>1609.86</v>
      </c>
      <c r="C5774" s="59">
        <v>2499</v>
      </c>
      <c r="D5774" s="59" t="s">
        <v>803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ht="15.2" spans="1:10">
      <c r="A5775" s="58" t="s">
        <v>6358</v>
      </c>
      <c r="B5775" s="59">
        <v>654</v>
      </c>
      <c r="C5775" s="59">
        <v>1455</v>
      </c>
      <c r="D5775" s="59" t="s">
        <v>801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ht="15.2" spans="1:10">
      <c r="A5776" s="58" t="s">
        <v>6359</v>
      </c>
      <c r="B5776" s="59">
        <v>1510.63</v>
      </c>
      <c r="C5776" s="59">
        <v>2299</v>
      </c>
      <c r="D5776" s="59" t="s">
        <v>803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ht="15.2" spans="1:10">
      <c r="A5777" s="58" t="s">
        <v>6360</v>
      </c>
      <c r="B5777" s="59">
        <v>4124.41</v>
      </c>
      <c r="C5777" s="59">
        <v>6999</v>
      </c>
      <c r="D5777" s="59" t="s">
        <v>803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ht="15.2" spans="1:10">
      <c r="A5778" s="58" t="s">
        <v>6361</v>
      </c>
      <c r="B5778" s="59">
        <v>1379.21</v>
      </c>
      <c r="C5778" s="59">
        <v>2099</v>
      </c>
      <c r="D5778" s="59" t="s">
        <v>803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ht="15.2" spans="1:10">
      <c r="A5779" s="58" t="s">
        <v>6362</v>
      </c>
      <c r="B5779" s="59">
        <v>564</v>
      </c>
      <c r="C5779" s="59">
        <v>1431</v>
      </c>
      <c r="D5779" s="59" t="s">
        <v>801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2432.7</v>
      </c>
    </row>
    <row r="5780" ht="15.2" spans="1:10">
      <c r="A5780" s="58" t="s">
        <v>6363</v>
      </c>
      <c r="B5780" s="59">
        <v>1707.76</v>
      </c>
      <c r="C5780" s="59">
        <v>2599</v>
      </c>
      <c r="D5780" s="59" t="s">
        <v>803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ht="15.2" spans="1:10">
      <c r="A5781" s="58" t="s">
        <v>6364</v>
      </c>
      <c r="B5781" s="59">
        <v>1213.68</v>
      </c>
      <c r="C5781" s="59">
        <v>1999</v>
      </c>
      <c r="D5781" s="59" t="s">
        <v>803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ht="15.2" spans="1:10">
      <c r="A5782" s="58" t="s">
        <v>6365</v>
      </c>
      <c r="B5782" s="59">
        <v>0</v>
      </c>
      <c r="C5782" s="59">
        <v>0</v>
      </c>
      <c r="D5782" s="59" t="s">
        <v>815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ht="15.2" spans="1:10">
      <c r="A5783" s="58" t="s">
        <v>6366</v>
      </c>
      <c r="B5783" s="59">
        <v>1395.82</v>
      </c>
      <c r="C5783" s="59">
        <v>2299</v>
      </c>
      <c r="D5783" s="59" t="s">
        <v>803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ht="15.2" spans="1:10">
      <c r="A5784" s="58" t="s">
        <v>6367</v>
      </c>
      <c r="B5784" s="59">
        <v>1545.44</v>
      </c>
      <c r="C5784" s="59">
        <v>2399</v>
      </c>
      <c r="D5784" s="59" t="s">
        <v>803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ht="15.2" spans="1:10">
      <c r="A5785" s="58" t="s">
        <v>6368</v>
      </c>
      <c r="B5785" s="59">
        <v>820</v>
      </c>
      <c r="C5785" s="59">
        <v>1949</v>
      </c>
      <c r="D5785" s="59" t="s">
        <v>801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6139.35</v>
      </c>
    </row>
    <row r="5786" ht="15.2" spans="1:10">
      <c r="A5786" s="58" t="s">
        <v>6369</v>
      </c>
      <c r="B5786" s="59">
        <v>1295.84</v>
      </c>
      <c r="C5786" s="59">
        <v>2199</v>
      </c>
      <c r="D5786" s="59" t="s">
        <v>803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2591.68</v>
      </c>
      <c r="J5786" s="60">
        <f t="shared" si="273"/>
        <v>4398</v>
      </c>
    </row>
    <row r="5787" ht="15.2" spans="1:10">
      <c r="A5787" s="58" t="s">
        <v>6370</v>
      </c>
      <c r="B5787" s="59">
        <v>1152.96</v>
      </c>
      <c r="C5787" s="59">
        <v>1899</v>
      </c>
      <c r="D5787" s="59" t="s">
        <v>803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ht="15.2" spans="1:10">
      <c r="A5788" s="58" t="s">
        <v>6371</v>
      </c>
      <c r="B5788" s="59">
        <v>1379.21</v>
      </c>
      <c r="C5788" s="59">
        <v>2099</v>
      </c>
      <c r="D5788" s="59" t="s">
        <v>803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ht="15.2" spans="1:10">
      <c r="A5789" s="58" t="s">
        <v>6372</v>
      </c>
      <c r="B5789" s="59">
        <v>1383</v>
      </c>
      <c r="C5789" s="59">
        <v>3549</v>
      </c>
      <c r="D5789" s="59" t="s">
        <v>801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ht="15.2" spans="1:10">
      <c r="A5790" s="58" t="s">
        <v>6373</v>
      </c>
      <c r="B5790" s="59">
        <v>769</v>
      </c>
      <c r="C5790" s="59">
        <v>1964</v>
      </c>
      <c r="D5790" s="59" t="s">
        <v>801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ht="15.2" spans="1:10">
      <c r="A5791" s="58" t="s">
        <v>6374</v>
      </c>
      <c r="B5791" s="59">
        <v>1025</v>
      </c>
      <c r="C5791" s="59">
        <v>2434</v>
      </c>
      <c r="D5791" s="59" t="s">
        <v>801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</v>
      </c>
    </row>
    <row r="5792" ht="15.2" spans="1:10">
      <c r="A5792" s="58" t="s">
        <v>6375</v>
      </c>
      <c r="B5792" s="59">
        <v>1577.96</v>
      </c>
      <c r="C5792" s="59">
        <v>2599</v>
      </c>
      <c r="D5792" s="59" t="s">
        <v>803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ht="15.2" spans="1:10">
      <c r="A5793" s="58" t="s">
        <v>6376</v>
      </c>
      <c r="B5793" s="59">
        <v>906.02</v>
      </c>
      <c r="C5793" s="59">
        <v>1399</v>
      </c>
      <c r="D5793" s="59" t="s">
        <v>803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ht="15.2" spans="1:10">
      <c r="A5794" s="58" t="s">
        <v>6377</v>
      </c>
      <c r="B5794" s="59">
        <v>836.82</v>
      </c>
      <c r="C5794" s="59">
        <v>1299</v>
      </c>
      <c r="D5794" s="59" t="s">
        <v>803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ht="15.2" spans="1:10">
      <c r="A5795" s="58" t="s">
        <v>6378</v>
      </c>
      <c r="B5795" s="59">
        <v>899</v>
      </c>
      <c r="C5795" s="59">
        <v>2360</v>
      </c>
      <c r="D5795" s="59" t="s">
        <v>801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ht="15.2" spans="1:10">
      <c r="A5796" s="58" t="s">
        <v>6379</v>
      </c>
      <c r="B5796" s="59">
        <v>2102</v>
      </c>
      <c r="C5796" s="59">
        <v>3199</v>
      </c>
      <c r="D5796" s="59" t="s">
        <v>803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ht="15.2" spans="1:10">
      <c r="A5797" s="58" t="s">
        <v>6380</v>
      </c>
      <c r="B5797" s="59">
        <v>656.42</v>
      </c>
      <c r="C5797" s="59">
        <v>999</v>
      </c>
      <c r="D5797" s="59" t="s">
        <v>803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1969.26</v>
      </c>
      <c r="J5797" s="60">
        <f t="shared" si="273"/>
        <v>2997</v>
      </c>
    </row>
    <row r="5798" ht="15.2" spans="1:10">
      <c r="A5798" s="58" t="s">
        <v>6381</v>
      </c>
      <c r="B5798" s="59">
        <v>776.5</v>
      </c>
      <c r="C5798" s="59">
        <v>1199</v>
      </c>
      <c r="D5798" s="59" t="s">
        <v>803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ht="15.2" spans="1:10">
      <c r="A5799" s="58" t="s">
        <v>6382</v>
      </c>
      <c r="B5799" s="59">
        <v>5302.98</v>
      </c>
      <c r="C5799" s="59">
        <v>8999</v>
      </c>
      <c r="D5799" s="59" t="s">
        <v>803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ht="15.2" spans="1:10">
      <c r="A5800" s="58" t="s">
        <v>6383</v>
      </c>
      <c r="B5800" s="59">
        <v>1335.11</v>
      </c>
      <c r="C5800" s="59">
        <v>2199</v>
      </c>
      <c r="D5800" s="59" t="s">
        <v>803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ht="15.2" spans="1:10">
      <c r="A5801" s="58" t="s">
        <v>6384</v>
      </c>
      <c r="B5801" s="59">
        <v>970.78</v>
      </c>
      <c r="C5801" s="59">
        <v>1499</v>
      </c>
      <c r="D5801" s="59" t="s">
        <v>803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ht="15.2" spans="1:10">
      <c r="A5802" s="58" t="s">
        <v>6385</v>
      </c>
      <c r="B5802" s="59">
        <v>1030.08</v>
      </c>
      <c r="C5802" s="59">
        <v>1599</v>
      </c>
      <c r="D5802" s="59" t="s">
        <v>803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ht="15.2" spans="1:10">
      <c r="A5803" s="58" t="s">
        <v>6386</v>
      </c>
      <c r="B5803" s="59">
        <v>390</v>
      </c>
      <c r="C5803" s="59">
        <v>928</v>
      </c>
      <c r="D5803" s="59" t="s">
        <v>801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</v>
      </c>
    </row>
    <row r="5804" ht="15.2" spans="1:10">
      <c r="A5804" s="58" t="s">
        <v>6387</v>
      </c>
      <c r="B5804" s="59">
        <v>970.78</v>
      </c>
      <c r="C5804" s="59">
        <v>1499</v>
      </c>
      <c r="D5804" s="59" t="s">
        <v>803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ht="15.2" spans="1:10">
      <c r="A5805" s="58" t="s">
        <v>6388</v>
      </c>
      <c r="B5805" s="59">
        <v>517.45</v>
      </c>
      <c r="C5805" s="59">
        <v>799</v>
      </c>
      <c r="D5805" s="59" t="s">
        <v>803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</v>
      </c>
      <c r="J5805" s="60">
        <f t="shared" si="273"/>
        <v>799</v>
      </c>
    </row>
    <row r="5806" ht="15.2" spans="1:10">
      <c r="A5806" s="58" t="s">
        <v>6389</v>
      </c>
      <c r="B5806" s="59">
        <v>608</v>
      </c>
      <c r="C5806" s="59">
        <v>1354</v>
      </c>
      <c r="D5806" s="59" t="s">
        <v>801</v>
      </c>
      <c r="E5806" s="59">
        <v>1.1</v>
      </c>
      <c r="F5806" s="59">
        <v>1.1</v>
      </c>
      <c r="G5806" s="59">
        <v>0</v>
      </c>
      <c r="H5806" s="60">
        <f t="shared" si="274"/>
        <v>1.1</v>
      </c>
      <c r="I5806" s="60">
        <f t="shared" si="272"/>
        <v>668.8</v>
      </c>
      <c r="J5806" s="60">
        <f t="shared" si="273"/>
        <v>1489.4</v>
      </c>
    </row>
    <row r="5807" ht="15.2" spans="1:10">
      <c r="A5807" s="58" t="s">
        <v>6390</v>
      </c>
      <c r="B5807" s="59">
        <v>468</v>
      </c>
      <c r="C5807" s="59">
        <v>1064</v>
      </c>
      <c r="D5807" s="59" t="s">
        <v>801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3088.8</v>
      </c>
      <c r="J5807" s="60">
        <f t="shared" si="273"/>
        <v>7022.4</v>
      </c>
    </row>
    <row r="5808" ht="15.2" spans="1:10">
      <c r="A5808" s="58" t="s">
        <v>395</v>
      </c>
      <c r="B5808" s="59">
        <v>332.8</v>
      </c>
      <c r="C5808" s="59">
        <v>1099</v>
      </c>
      <c r="D5808" s="59" t="s">
        <v>801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</v>
      </c>
      <c r="J5808" s="60">
        <f t="shared" si="273"/>
        <v>1978.2</v>
      </c>
    </row>
    <row r="5809" ht="15.2" spans="1:10">
      <c r="A5809" s="58" t="s">
        <v>6391</v>
      </c>
      <c r="B5809" s="59">
        <v>776.49</v>
      </c>
      <c r="C5809" s="59">
        <v>1199</v>
      </c>
      <c r="D5809" s="59" t="s">
        <v>803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ht="15.2" spans="1:10">
      <c r="A5810" s="58" t="s">
        <v>6392</v>
      </c>
      <c r="B5810" s="59">
        <v>330</v>
      </c>
      <c r="C5810" s="59">
        <v>810</v>
      </c>
      <c r="D5810" s="59" t="s">
        <v>801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ht="15.2" spans="1:10">
      <c r="A5811" s="58" t="s">
        <v>6393</v>
      </c>
      <c r="B5811" s="59">
        <v>1247.8</v>
      </c>
      <c r="C5811" s="59">
        <v>1899</v>
      </c>
      <c r="D5811" s="59" t="s">
        <v>803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ht="15.2" spans="1:10">
      <c r="A5812" s="58" t="s">
        <v>6394</v>
      </c>
      <c r="B5812" s="59">
        <v>1116.38</v>
      </c>
      <c r="C5812" s="59">
        <v>1699</v>
      </c>
      <c r="D5812" s="59" t="s">
        <v>803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</v>
      </c>
      <c r="J5812" s="60">
        <f t="shared" si="273"/>
        <v>3398</v>
      </c>
    </row>
    <row r="5813" ht="15.2" spans="1:10">
      <c r="A5813" s="58" t="s">
        <v>6395</v>
      </c>
      <c r="B5813" s="59">
        <v>291</v>
      </c>
      <c r="C5813" s="59">
        <v>907</v>
      </c>
      <c r="D5813" s="59" t="s">
        <v>801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ht="15.2" spans="1:10">
      <c r="A5814" s="58" t="s">
        <v>6396</v>
      </c>
      <c r="B5814" s="59">
        <v>399</v>
      </c>
      <c r="C5814" s="59">
        <v>892</v>
      </c>
      <c r="D5814" s="59" t="s">
        <v>801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</v>
      </c>
      <c r="J5814" s="60">
        <f t="shared" si="273"/>
        <v>2854.4</v>
      </c>
    </row>
    <row r="5815" ht="15.2" spans="1:10">
      <c r="A5815" s="58" t="s">
        <v>6397</v>
      </c>
      <c r="B5815" s="59">
        <v>1456.54</v>
      </c>
      <c r="C5815" s="59">
        <v>2399</v>
      </c>
      <c r="D5815" s="59" t="s">
        <v>803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ht="15.2" spans="1:10">
      <c r="A5816" s="58" t="s">
        <v>6398</v>
      </c>
      <c r="B5816" s="59">
        <v>970.78</v>
      </c>
      <c r="C5816" s="59">
        <v>1499</v>
      </c>
      <c r="D5816" s="59" t="s">
        <v>803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ht="15.2" spans="1:10">
      <c r="A5817" s="58" t="s">
        <v>6399</v>
      </c>
      <c r="B5817" s="59">
        <v>525</v>
      </c>
      <c r="C5817" s="59">
        <v>799</v>
      </c>
      <c r="D5817" s="59" t="s">
        <v>803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ht="15.2" spans="1:10">
      <c r="A5818" s="58" t="s">
        <v>6400</v>
      </c>
      <c r="B5818" s="59">
        <v>1274.39</v>
      </c>
      <c r="C5818" s="59">
        <v>2099</v>
      </c>
      <c r="D5818" s="59" t="s">
        <v>803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ht="15.2" spans="1:10">
      <c r="A5819" s="58" t="s">
        <v>6401</v>
      </c>
      <c r="B5819" s="59">
        <v>2869</v>
      </c>
      <c r="C5819" s="59">
        <v>7535</v>
      </c>
      <c r="D5819" s="59" t="s">
        <v>801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ht="15.2" spans="1:10">
      <c r="A5820" s="58" t="s">
        <v>6402</v>
      </c>
      <c r="B5820" s="59">
        <v>1182.09</v>
      </c>
      <c r="C5820" s="59">
        <v>1799</v>
      </c>
      <c r="D5820" s="59" t="s">
        <v>803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ht="15.2" spans="1:10">
      <c r="A5821" s="58" t="s">
        <v>6403</v>
      </c>
      <c r="B5821" s="59">
        <v>970.78</v>
      </c>
      <c r="C5821" s="59">
        <v>1499</v>
      </c>
      <c r="D5821" s="59" t="s">
        <v>803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ht="15.2" spans="1:10">
      <c r="A5822" s="58" t="s">
        <v>6404</v>
      </c>
      <c r="B5822" s="59">
        <v>1379.21</v>
      </c>
      <c r="C5822" s="59">
        <v>2099</v>
      </c>
      <c r="D5822" s="59" t="s">
        <v>803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ht="15.2" spans="1:10">
      <c r="A5823" s="58" t="s">
        <v>6405</v>
      </c>
      <c r="B5823" s="59">
        <v>1510.63</v>
      </c>
      <c r="C5823" s="59">
        <v>2299</v>
      </c>
      <c r="D5823" s="59" t="s">
        <v>803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ht="15.2" spans="1:10">
      <c r="A5824" s="58" t="s">
        <v>6406</v>
      </c>
      <c r="B5824" s="59">
        <v>973</v>
      </c>
      <c r="C5824" s="59">
        <v>2472</v>
      </c>
      <c r="D5824" s="59" t="s">
        <v>801</v>
      </c>
      <c r="E5824" s="59">
        <v>2.2</v>
      </c>
      <c r="F5824" s="59">
        <v>2.2</v>
      </c>
      <c r="G5824" s="59">
        <v>0</v>
      </c>
      <c r="H5824" s="60">
        <f t="shared" si="274"/>
        <v>2.2</v>
      </c>
      <c r="I5824" s="60">
        <f t="shared" si="272"/>
        <v>2140.6</v>
      </c>
      <c r="J5824" s="60">
        <f t="shared" si="273"/>
        <v>5438.4</v>
      </c>
    </row>
    <row r="5825" ht="15.2" spans="1:10">
      <c r="A5825" s="58" t="s">
        <v>6407</v>
      </c>
      <c r="B5825" s="59">
        <v>1213.68</v>
      </c>
      <c r="C5825" s="59">
        <v>1999</v>
      </c>
      <c r="D5825" s="59" t="s">
        <v>803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ht="15.2" spans="1:10">
      <c r="A5826" s="58" t="s">
        <v>6408</v>
      </c>
      <c r="B5826" s="59">
        <v>265</v>
      </c>
      <c r="C5826" s="59">
        <v>575</v>
      </c>
      <c r="D5826" s="59" t="s">
        <v>801</v>
      </c>
      <c r="E5826" s="59">
        <v>9.45</v>
      </c>
      <c r="F5826" s="59">
        <v>9.45</v>
      </c>
      <c r="G5826" s="59">
        <v>0</v>
      </c>
      <c r="H5826" s="60">
        <f t="shared" si="274"/>
        <v>9.45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ht="15.2" spans="1:10">
      <c r="A5827" s="58" t="s">
        <v>6409</v>
      </c>
      <c r="B5827" s="59">
        <v>1707.76</v>
      </c>
      <c r="C5827" s="59">
        <v>2599</v>
      </c>
      <c r="D5827" s="59" t="s">
        <v>803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ht="15.2" spans="1:10">
      <c r="A5828" s="58" t="s">
        <v>6410</v>
      </c>
      <c r="B5828" s="59">
        <v>350.9</v>
      </c>
      <c r="C5828" s="59">
        <v>1091</v>
      </c>
      <c r="D5828" s="59" t="s">
        <v>801</v>
      </c>
      <c r="E5828" s="59">
        <v>0.55</v>
      </c>
      <c r="F5828" s="59">
        <v>0.55</v>
      </c>
      <c r="G5828" s="59">
        <v>0</v>
      </c>
      <c r="H5828" s="60">
        <f t="shared" si="274"/>
        <v>0.55</v>
      </c>
      <c r="I5828" s="60">
        <f t="shared" si="275"/>
        <v>192.995</v>
      </c>
      <c r="J5828" s="60">
        <f t="shared" si="276"/>
        <v>600.05</v>
      </c>
    </row>
    <row r="5829" ht="15.2" spans="1:10">
      <c r="A5829" s="58" t="s">
        <v>6411</v>
      </c>
      <c r="B5829" s="59">
        <v>1213.68</v>
      </c>
      <c r="C5829" s="59">
        <v>1999</v>
      </c>
      <c r="D5829" s="59" t="s">
        <v>803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ht="15.2" spans="1:10">
      <c r="A5830" s="58" t="s">
        <v>6412</v>
      </c>
      <c r="B5830" s="59">
        <v>1295.84</v>
      </c>
      <c r="C5830" s="59">
        <v>2199</v>
      </c>
      <c r="D5830" s="59" t="s">
        <v>803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ht="15.2" spans="1:10">
      <c r="A5831" s="58" t="s">
        <v>6413</v>
      </c>
      <c r="B5831" s="59">
        <v>2167.7</v>
      </c>
      <c r="C5831" s="59">
        <v>3299</v>
      </c>
      <c r="D5831" s="59" t="s">
        <v>803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ht="15.2" spans="1:10">
      <c r="A5832" s="58" t="s">
        <v>6414</v>
      </c>
      <c r="B5832" s="59">
        <v>1213.68</v>
      </c>
      <c r="C5832" s="59">
        <v>1999</v>
      </c>
      <c r="D5832" s="59" t="s">
        <v>803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ht="15.2" spans="1:10">
      <c r="A5833" s="58" t="s">
        <v>6415</v>
      </c>
      <c r="B5833" s="59">
        <v>1313.5</v>
      </c>
      <c r="C5833" s="59">
        <v>1999</v>
      </c>
      <c r="D5833" s="59" t="s">
        <v>803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ht="15.2" spans="1:10">
      <c r="A5834" s="58" t="s">
        <v>6416</v>
      </c>
      <c r="B5834" s="59">
        <v>1099</v>
      </c>
      <c r="C5834" s="59">
        <v>2308</v>
      </c>
      <c r="D5834" s="59" t="s">
        <v>801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ht="15.2" spans="1:10">
      <c r="A5835" s="58" t="s">
        <v>6417</v>
      </c>
      <c r="B5835" s="59">
        <v>1119.05</v>
      </c>
      <c r="C5835" s="59">
        <v>1899</v>
      </c>
      <c r="D5835" s="59" t="s">
        <v>803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ht="15.2" spans="1:10">
      <c r="A5836" s="58" t="s">
        <v>6418</v>
      </c>
      <c r="B5836" s="59">
        <v>0</v>
      </c>
      <c r="C5836" s="59">
        <v>0</v>
      </c>
      <c r="D5836" s="59" t="s">
        <v>815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ht="15.2" spans="1:10">
      <c r="A5837" s="58" t="s">
        <v>6419</v>
      </c>
      <c r="B5837" s="59">
        <v>1577.96</v>
      </c>
      <c r="C5837" s="59">
        <v>2599</v>
      </c>
      <c r="D5837" s="59" t="s">
        <v>803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ht="15.2" spans="1:10">
      <c r="A5838" s="58" t="s">
        <v>6420</v>
      </c>
      <c r="B5838" s="59">
        <v>539.1</v>
      </c>
      <c r="C5838" s="59">
        <v>1338</v>
      </c>
      <c r="D5838" s="59" t="s">
        <v>801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ht="15.2" spans="1:10">
      <c r="A5839" s="58" t="s">
        <v>6421</v>
      </c>
      <c r="B5839" s="59">
        <v>1510.63</v>
      </c>
      <c r="C5839" s="59">
        <v>2299</v>
      </c>
      <c r="D5839" s="59" t="s">
        <v>803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ht="15.2" spans="1:10">
      <c r="A5840" s="58" t="s">
        <v>6422</v>
      </c>
      <c r="B5840" s="59">
        <v>1379.21</v>
      </c>
      <c r="C5840" s="59">
        <v>2099</v>
      </c>
      <c r="D5840" s="59" t="s">
        <v>803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ht="15.2" spans="1:10">
      <c r="A5841" s="58" t="s">
        <v>6423</v>
      </c>
      <c r="B5841" s="59">
        <v>2233.41</v>
      </c>
      <c r="C5841" s="59">
        <v>3399</v>
      </c>
      <c r="D5841" s="59" t="s">
        <v>803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ht="15.2" spans="1:10">
      <c r="A5842" s="58" t="s">
        <v>6424</v>
      </c>
      <c r="B5842" s="59">
        <v>229.32</v>
      </c>
      <c r="C5842" s="59">
        <v>349</v>
      </c>
      <c r="D5842" s="59" t="s">
        <v>803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ht="15.2" spans="1:10">
      <c r="A5843" s="58" t="s">
        <v>6425</v>
      </c>
      <c r="B5843" s="59">
        <v>1313.5</v>
      </c>
      <c r="C5843" s="59">
        <v>1999</v>
      </c>
      <c r="D5843" s="59" t="s">
        <v>803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ht="15.2" spans="1:10">
      <c r="A5844" s="58" t="s">
        <v>6426</v>
      </c>
      <c r="B5844" s="59">
        <v>359</v>
      </c>
      <c r="C5844" s="59">
        <v>795</v>
      </c>
      <c r="D5844" s="59" t="s">
        <v>801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</v>
      </c>
      <c r="J5844" s="60">
        <f t="shared" si="276"/>
        <v>715.5</v>
      </c>
    </row>
    <row r="5845" ht="15.2" spans="1:10">
      <c r="A5845" s="58" t="s">
        <v>6427</v>
      </c>
      <c r="B5845" s="59">
        <v>1904.87</v>
      </c>
      <c r="C5845" s="59">
        <v>2899</v>
      </c>
      <c r="D5845" s="59" t="s">
        <v>803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ht="15.2" spans="1:10">
      <c r="A5846" s="58" t="s">
        <v>6428</v>
      </c>
      <c r="B5846" s="59">
        <v>5463.68</v>
      </c>
      <c r="C5846" s="59">
        <v>8999</v>
      </c>
      <c r="D5846" s="59" t="s">
        <v>803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ht="15.2" spans="1:10">
      <c r="A5847" s="58" t="s">
        <v>6429</v>
      </c>
      <c r="B5847" s="59">
        <v>1820.82</v>
      </c>
      <c r="C5847" s="59">
        <v>2999</v>
      </c>
      <c r="D5847" s="59" t="s">
        <v>803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ht="15.2" spans="1:10">
      <c r="A5848" s="58" t="s">
        <v>6430</v>
      </c>
      <c r="B5848" s="59">
        <v>366</v>
      </c>
      <c r="C5848" s="59">
        <v>907</v>
      </c>
      <c r="D5848" s="59" t="s">
        <v>801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ht="15.2" spans="1:10">
      <c r="A5849" s="58" t="s">
        <v>6431</v>
      </c>
      <c r="B5849" s="59">
        <v>460</v>
      </c>
      <c r="C5849" s="59">
        <v>1091</v>
      </c>
      <c r="D5849" s="59" t="s">
        <v>801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</v>
      </c>
    </row>
    <row r="5850" ht="15.2" spans="1:10">
      <c r="A5850" s="58" t="s">
        <v>721</v>
      </c>
      <c r="B5850" s="59">
        <v>265</v>
      </c>
      <c r="C5850" s="59">
        <v>580</v>
      </c>
      <c r="D5850" s="59" t="s">
        <v>801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ht="15.2" spans="1:10">
      <c r="A5851" s="58" t="s">
        <v>6432</v>
      </c>
      <c r="B5851" s="59">
        <v>970.78</v>
      </c>
      <c r="C5851" s="59">
        <v>1499</v>
      </c>
      <c r="D5851" s="59" t="s">
        <v>803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ht="15.2" spans="1:10">
      <c r="A5852" s="58" t="s">
        <v>6433</v>
      </c>
      <c r="B5852" s="59">
        <v>5302.98</v>
      </c>
      <c r="C5852" s="59">
        <v>8999</v>
      </c>
      <c r="D5852" s="59" t="s">
        <v>803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ht="15.2" spans="1:10">
      <c r="A5853" s="58" t="s">
        <v>6434</v>
      </c>
      <c r="B5853" s="59">
        <v>1152.96</v>
      </c>
      <c r="C5853" s="59">
        <v>1899</v>
      </c>
      <c r="D5853" s="59" t="s">
        <v>803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ht="15.2" spans="1:10">
      <c r="A5854" s="58" t="s">
        <v>6435</v>
      </c>
      <c r="B5854" s="59">
        <v>1699.39</v>
      </c>
      <c r="C5854" s="59">
        <v>2799</v>
      </c>
      <c r="D5854" s="59" t="s">
        <v>803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ht="15.2" spans="1:10">
      <c r="A5855" s="58" t="s">
        <v>6436</v>
      </c>
      <c r="B5855" s="59">
        <v>910.24</v>
      </c>
      <c r="C5855" s="59">
        <v>1399</v>
      </c>
      <c r="D5855" s="59" t="s">
        <v>803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ht="15.2" spans="1:10">
      <c r="A5856" s="58" t="s">
        <v>6437</v>
      </c>
      <c r="B5856" s="59">
        <v>881</v>
      </c>
      <c r="C5856" s="59">
        <v>2365</v>
      </c>
      <c r="D5856" s="59" t="s">
        <v>801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ht="15.2" spans="1:10">
      <c r="A5857" s="58" t="s">
        <v>6438</v>
      </c>
      <c r="B5857" s="59">
        <v>299</v>
      </c>
      <c r="C5857" s="59">
        <v>628</v>
      </c>
      <c r="D5857" s="59" t="s">
        <v>801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ht="15.2" spans="1:10">
      <c r="A5858" s="58" t="s">
        <v>6439</v>
      </c>
      <c r="B5858" s="59">
        <v>4124.41</v>
      </c>
      <c r="C5858" s="59">
        <v>6999</v>
      </c>
      <c r="D5858" s="59" t="s">
        <v>803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ht="15.2" spans="1:10">
      <c r="A5859" s="58" t="s">
        <v>6440</v>
      </c>
      <c r="B5859" s="59">
        <v>1577.96</v>
      </c>
      <c r="C5859" s="59">
        <v>2599</v>
      </c>
      <c r="D5859" s="59" t="s">
        <v>803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ht="15.2" spans="1:10">
      <c r="A5860" s="58" t="s">
        <v>6441</v>
      </c>
      <c r="B5860" s="59">
        <v>1517.25</v>
      </c>
      <c r="C5860" s="59">
        <v>2499</v>
      </c>
      <c r="D5860" s="59" t="s">
        <v>803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ht="15.2" spans="1:10">
      <c r="A5861" s="58" t="s">
        <v>6442</v>
      </c>
      <c r="B5861" s="59">
        <v>1119.05</v>
      </c>
      <c r="C5861" s="59">
        <v>1899</v>
      </c>
      <c r="D5861" s="59" t="s">
        <v>803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ht="15.2" spans="1:10">
      <c r="A5862" s="58" t="s">
        <v>6443</v>
      </c>
      <c r="B5862" s="59">
        <v>1600.45</v>
      </c>
      <c r="C5862" s="59">
        <v>2499</v>
      </c>
      <c r="D5862" s="59" t="s">
        <v>803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ht="15.2" spans="1:10">
      <c r="A5863" s="58" t="s">
        <v>6444</v>
      </c>
      <c r="B5863" s="59">
        <v>676</v>
      </c>
      <c r="C5863" s="59">
        <v>1473</v>
      </c>
      <c r="D5863" s="59" t="s">
        <v>801</v>
      </c>
      <c r="E5863" s="59">
        <v>4.4</v>
      </c>
      <c r="F5863" s="59">
        <v>4.4</v>
      </c>
      <c r="G5863" s="59">
        <v>0</v>
      </c>
      <c r="H5863" s="60">
        <f t="shared" si="277"/>
        <v>4.4</v>
      </c>
      <c r="I5863" s="60">
        <f t="shared" si="275"/>
        <v>2974.4</v>
      </c>
      <c r="J5863" s="60">
        <f t="shared" si="276"/>
        <v>6481.2</v>
      </c>
    </row>
    <row r="5864" ht="15.2" spans="1:10">
      <c r="A5864" s="58" t="s">
        <v>6445</v>
      </c>
      <c r="B5864" s="59">
        <v>2731.54</v>
      </c>
      <c r="C5864" s="59">
        <v>4499</v>
      </c>
      <c r="D5864" s="59" t="s">
        <v>803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ht="15.2" spans="1:10">
      <c r="A5865" s="58" t="s">
        <v>6446</v>
      </c>
      <c r="B5865" s="59">
        <v>9106.54</v>
      </c>
      <c r="C5865" s="59">
        <v>14999</v>
      </c>
      <c r="D5865" s="59" t="s">
        <v>803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ht="15.2" spans="1:10">
      <c r="A5866" s="58" t="s">
        <v>6447</v>
      </c>
      <c r="B5866" s="59">
        <v>1456.54</v>
      </c>
      <c r="C5866" s="59">
        <v>2399</v>
      </c>
      <c r="D5866" s="59" t="s">
        <v>803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ht="15.2" spans="1:10">
      <c r="A5867" s="58" t="s">
        <v>6448</v>
      </c>
      <c r="B5867" s="59">
        <v>1152.96</v>
      </c>
      <c r="C5867" s="59">
        <v>1899</v>
      </c>
      <c r="D5867" s="59" t="s">
        <v>803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ht="15.2" spans="1:10">
      <c r="A5868" s="58" t="s">
        <v>6449</v>
      </c>
      <c r="B5868" s="59">
        <v>1213.68</v>
      </c>
      <c r="C5868" s="59">
        <v>1999</v>
      </c>
      <c r="D5868" s="59" t="s">
        <v>803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ht="15.2" spans="1:10">
      <c r="A5869" s="58" t="s">
        <v>6450</v>
      </c>
      <c r="B5869" s="59">
        <v>1030.08</v>
      </c>
      <c r="C5869" s="59">
        <v>1599</v>
      </c>
      <c r="D5869" s="59" t="s">
        <v>803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ht="15.2" spans="1:10">
      <c r="A5870" s="58" t="s">
        <v>6451</v>
      </c>
      <c r="B5870" s="59">
        <v>1003</v>
      </c>
      <c r="C5870" s="59">
        <v>2355</v>
      </c>
      <c r="D5870" s="59" t="s">
        <v>801</v>
      </c>
      <c r="E5870" s="59">
        <v>19.4</v>
      </c>
      <c r="F5870" s="59">
        <v>19.4</v>
      </c>
      <c r="G5870" s="59">
        <v>0</v>
      </c>
      <c r="H5870" s="60">
        <f t="shared" si="277"/>
        <v>19.4</v>
      </c>
      <c r="I5870" s="60">
        <f t="shared" si="275"/>
        <v>19458.2</v>
      </c>
      <c r="J5870" s="60">
        <f t="shared" si="276"/>
        <v>45687</v>
      </c>
    </row>
    <row r="5871" ht="15.2" spans="1:10">
      <c r="A5871" s="58" t="s">
        <v>6452</v>
      </c>
      <c r="B5871" s="59">
        <v>1638.68</v>
      </c>
      <c r="C5871" s="59">
        <v>2699</v>
      </c>
      <c r="D5871" s="59" t="s">
        <v>803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ht="15.2" spans="1:10">
      <c r="A5872" s="58" t="s">
        <v>6453</v>
      </c>
      <c r="B5872" s="59">
        <v>564</v>
      </c>
      <c r="C5872" s="59">
        <v>1431</v>
      </c>
      <c r="D5872" s="59" t="s">
        <v>801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ht="15.2" spans="1:10">
      <c r="A5873" s="58" t="s">
        <v>6454</v>
      </c>
      <c r="B5873" s="59">
        <v>299</v>
      </c>
      <c r="C5873" s="59">
        <v>628</v>
      </c>
      <c r="D5873" s="59" t="s">
        <v>801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ht="15.2" spans="1:10">
      <c r="A5874" s="58" t="s">
        <v>6455</v>
      </c>
      <c r="B5874" s="59">
        <v>1577.96</v>
      </c>
      <c r="C5874" s="59">
        <v>2599</v>
      </c>
      <c r="D5874" s="59" t="s">
        <v>803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ht="15.2" spans="1:10">
      <c r="A5875" s="58" t="s">
        <v>6456</v>
      </c>
      <c r="B5875" s="59">
        <v>599</v>
      </c>
      <c r="C5875" s="59">
        <v>1338</v>
      </c>
      <c r="D5875" s="59" t="s">
        <v>801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ht="15.2" spans="1:10">
      <c r="A5876" s="58" t="s">
        <v>6457</v>
      </c>
      <c r="B5876" s="59">
        <v>273</v>
      </c>
      <c r="C5876" s="59">
        <v>561</v>
      </c>
      <c r="D5876" s="59" t="s">
        <v>801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ht="15.2" spans="1:10">
      <c r="A5877" s="58" t="s">
        <v>6458</v>
      </c>
      <c r="B5877" s="59">
        <v>1767.27</v>
      </c>
      <c r="C5877" s="59">
        <v>2999</v>
      </c>
      <c r="D5877" s="59" t="s">
        <v>803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ht="15.2" spans="1:10">
      <c r="A5878" s="58" t="s">
        <v>6459</v>
      </c>
      <c r="B5878" s="59">
        <v>1517.25</v>
      </c>
      <c r="C5878" s="59">
        <v>2499</v>
      </c>
      <c r="D5878" s="59" t="s">
        <v>803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ht="15.2" spans="1:10">
      <c r="A5879" s="58" t="s">
        <v>184</v>
      </c>
      <c r="B5879" s="59">
        <v>283</v>
      </c>
      <c r="C5879" s="59">
        <v>665</v>
      </c>
      <c r="D5879" s="59" t="s">
        <v>801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1358.4</v>
      </c>
      <c r="J5879" s="60">
        <f t="shared" si="276"/>
        <v>3192</v>
      </c>
    </row>
    <row r="5880" ht="15.2" spans="1:10">
      <c r="A5880" s="58" t="s">
        <v>6460</v>
      </c>
      <c r="B5880" s="59">
        <v>242</v>
      </c>
      <c r="C5880" s="59">
        <v>570</v>
      </c>
      <c r="D5880" s="59" t="s">
        <v>801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</v>
      </c>
      <c r="J5880" s="60">
        <f t="shared" si="276"/>
        <v>2679</v>
      </c>
    </row>
    <row r="5881" ht="15.2" spans="1:10">
      <c r="A5881" s="58" t="s">
        <v>6461</v>
      </c>
      <c r="B5881" s="59">
        <v>349</v>
      </c>
      <c r="C5881" s="59">
        <v>1049</v>
      </c>
      <c r="D5881" s="59" t="s">
        <v>801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ht="15.2" spans="1:10">
      <c r="A5882" s="58" t="s">
        <v>6462</v>
      </c>
      <c r="B5882" s="59">
        <v>970.82</v>
      </c>
      <c r="C5882" s="59">
        <v>1599</v>
      </c>
      <c r="D5882" s="59" t="s">
        <v>803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ht="15.2" spans="1:10">
      <c r="A5883" s="58" t="s">
        <v>6463</v>
      </c>
      <c r="B5883" s="59">
        <v>3035.11</v>
      </c>
      <c r="C5883" s="59">
        <v>4999</v>
      </c>
      <c r="D5883" s="59" t="s">
        <v>803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ht="15.2" spans="1:10">
      <c r="A5884" s="58" t="s">
        <v>6464</v>
      </c>
      <c r="B5884" s="59">
        <v>600</v>
      </c>
      <c r="C5884" s="59">
        <v>1407</v>
      </c>
      <c r="D5884" s="59" t="s">
        <v>801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ht="15.2" spans="1:10">
      <c r="A5885" s="58" t="s">
        <v>6465</v>
      </c>
      <c r="B5885" s="59">
        <v>615</v>
      </c>
      <c r="C5885" s="59">
        <v>1354</v>
      </c>
      <c r="D5885" s="59" t="s">
        <v>801</v>
      </c>
      <c r="E5885" s="59">
        <v>8.7</v>
      </c>
      <c r="F5885" s="59">
        <v>8.7</v>
      </c>
      <c r="G5885" s="59">
        <v>0</v>
      </c>
      <c r="H5885" s="60">
        <f t="shared" si="277"/>
        <v>8.7</v>
      </c>
      <c r="I5885" s="60">
        <f t="shared" si="275"/>
        <v>5350.5</v>
      </c>
      <c r="J5885" s="60">
        <f t="shared" si="276"/>
        <v>11779.8</v>
      </c>
    </row>
    <row r="5886" ht="15.2" spans="1:10">
      <c r="A5886" s="58" t="s">
        <v>6466</v>
      </c>
      <c r="B5886" s="59">
        <v>364</v>
      </c>
      <c r="C5886" s="59">
        <v>919</v>
      </c>
      <c r="D5886" s="59" t="s">
        <v>801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ht="15.2" spans="1:10">
      <c r="A5887" s="58" t="s">
        <v>6467</v>
      </c>
      <c r="B5887" s="59">
        <v>5463.68</v>
      </c>
      <c r="C5887" s="59">
        <v>8999</v>
      </c>
      <c r="D5887" s="59" t="s">
        <v>803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ht="15.2" spans="1:10">
      <c r="A5888" s="58" t="s">
        <v>6468</v>
      </c>
      <c r="B5888" s="59">
        <v>1274.39</v>
      </c>
      <c r="C5888" s="59">
        <v>2099</v>
      </c>
      <c r="D5888" s="59" t="s">
        <v>803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ht="15.2" spans="1:10">
      <c r="A5889" s="58" t="s">
        <v>6469</v>
      </c>
      <c r="B5889" s="59">
        <v>599</v>
      </c>
      <c r="C5889" s="59">
        <v>1338</v>
      </c>
      <c r="D5889" s="59" t="s">
        <v>801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ht="15.2" spans="1:10">
      <c r="A5890" s="58" t="s">
        <v>6470</v>
      </c>
      <c r="B5890" s="59">
        <v>0</v>
      </c>
      <c r="C5890" s="59">
        <v>0</v>
      </c>
      <c r="D5890" s="59" t="s">
        <v>815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ht="15.2" spans="1:10">
      <c r="A5891" s="58" t="s">
        <v>6471</v>
      </c>
      <c r="B5891" s="59">
        <v>665</v>
      </c>
      <c r="C5891" s="59">
        <v>1551</v>
      </c>
      <c r="D5891" s="59" t="s">
        <v>801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</v>
      </c>
    </row>
    <row r="5892" ht="15.2" spans="1:10">
      <c r="A5892" s="58" t="s">
        <v>6472</v>
      </c>
      <c r="B5892" s="59">
        <v>1395.82</v>
      </c>
      <c r="C5892" s="59">
        <v>2299</v>
      </c>
      <c r="D5892" s="59" t="s">
        <v>803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ht="15.2" spans="1:10">
      <c r="A5893" s="58" t="s">
        <v>6473</v>
      </c>
      <c r="B5893" s="59">
        <v>257</v>
      </c>
      <c r="C5893" s="59">
        <v>565</v>
      </c>
      <c r="D5893" s="59" t="s">
        <v>801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</v>
      </c>
      <c r="J5893" s="60">
        <f t="shared" si="279"/>
        <v>5311</v>
      </c>
    </row>
    <row r="5894" ht="15.2" spans="1:10">
      <c r="A5894" s="58" t="s">
        <v>6474</v>
      </c>
      <c r="B5894" s="59">
        <v>1313.5</v>
      </c>
      <c r="C5894" s="59">
        <v>1999</v>
      </c>
      <c r="D5894" s="59" t="s">
        <v>803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ht="15.2" spans="1:10">
      <c r="A5895" s="58" t="s">
        <v>6475</v>
      </c>
      <c r="B5895" s="59">
        <v>1760.11</v>
      </c>
      <c r="C5895" s="59">
        <v>2899</v>
      </c>
      <c r="D5895" s="59" t="s">
        <v>803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ht="15.2" spans="1:10">
      <c r="A5896" s="58" t="s">
        <v>6476</v>
      </c>
      <c r="B5896" s="59">
        <v>1638.68</v>
      </c>
      <c r="C5896" s="59">
        <v>2699</v>
      </c>
      <c r="D5896" s="59" t="s">
        <v>803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ht="15.2" spans="1:10">
      <c r="A5897" s="58" t="s">
        <v>6477</v>
      </c>
      <c r="B5897" s="59">
        <v>1576.34</v>
      </c>
      <c r="C5897" s="59">
        <v>2399</v>
      </c>
      <c r="D5897" s="59" t="s">
        <v>803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ht="15.2" spans="1:10">
      <c r="A5898" s="58" t="s">
        <v>6478</v>
      </c>
      <c r="B5898" s="59">
        <v>646.97</v>
      </c>
      <c r="C5898" s="59">
        <v>999</v>
      </c>
      <c r="D5898" s="59" t="s">
        <v>803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ht="15.2" spans="1:10">
      <c r="A5899" s="58" t="s">
        <v>285</v>
      </c>
      <c r="B5899" s="59">
        <v>262.5</v>
      </c>
      <c r="C5899" s="59">
        <v>788</v>
      </c>
      <c r="D5899" s="59" t="s">
        <v>801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ht="15.2" spans="1:10">
      <c r="A5900" s="58" t="s">
        <v>6479</v>
      </c>
      <c r="B5900" s="59">
        <v>850.2</v>
      </c>
      <c r="C5900" s="59">
        <v>1299</v>
      </c>
      <c r="D5900" s="59" t="s">
        <v>803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</v>
      </c>
      <c r="J5900" s="60">
        <f t="shared" si="279"/>
        <v>3897</v>
      </c>
    </row>
    <row r="5901" ht="15.2" spans="1:10">
      <c r="A5901" s="58" t="s">
        <v>6480</v>
      </c>
      <c r="B5901" s="59">
        <v>1158.92</v>
      </c>
      <c r="C5901" s="59">
        <v>1799</v>
      </c>
      <c r="D5901" s="59" t="s">
        <v>803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ht="15.2" spans="1:10">
      <c r="A5902" s="58" t="s">
        <v>6481</v>
      </c>
      <c r="B5902" s="59">
        <v>1375.06</v>
      </c>
      <c r="C5902" s="59">
        <v>2199</v>
      </c>
      <c r="D5902" s="59" t="s">
        <v>803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ht="15.2" spans="1:10">
      <c r="A5903" s="58" t="s">
        <v>6482</v>
      </c>
      <c r="B5903" s="59">
        <v>1247.8</v>
      </c>
      <c r="C5903" s="59">
        <v>1899</v>
      </c>
      <c r="D5903" s="59" t="s">
        <v>803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ht="15.2" spans="1:10">
      <c r="A5904" s="58" t="s">
        <v>6483</v>
      </c>
      <c r="B5904" s="59">
        <v>273</v>
      </c>
      <c r="C5904" s="59">
        <v>561</v>
      </c>
      <c r="D5904" s="59" t="s">
        <v>801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ht="15.2" spans="1:10">
      <c r="A5905" s="58" t="s">
        <v>6484</v>
      </c>
      <c r="B5905" s="59">
        <v>409</v>
      </c>
      <c r="C5905" s="59">
        <v>970</v>
      </c>
      <c r="D5905" s="59" t="s">
        <v>801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</v>
      </c>
      <c r="J5905" s="60">
        <f t="shared" si="279"/>
        <v>388</v>
      </c>
    </row>
    <row r="5906" ht="15.2" spans="1:10">
      <c r="A5906" s="58" t="s">
        <v>278</v>
      </c>
      <c r="B5906" s="59">
        <v>443</v>
      </c>
      <c r="C5906" s="59">
        <v>880</v>
      </c>
      <c r="D5906" s="59" t="s">
        <v>801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ht="15.2" spans="1:10">
      <c r="A5907" s="58" t="s">
        <v>6485</v>
      </c>
      <c r="B5907" s="59">
        <v>1152.96</v>
      </c>
      <c r="C5907" s="59">
        <v>1899</v>
      </c>
      <c r="D5907" s="59" t="s">
        <v>803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ht="15.2" spans="1:10">
      <c r="A5908" s="58" t="s">
        <v>6486</v>
      </c>
      <c r="B5908" s="59">
        <v>385</v>
      </c>
      <c r="C5908" s="59">
        <v>913</v>
      </c>
      <c r="D5908" s="59" t="s">
        <v>801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ht="15.2" spans="1:10">
      <c r="A5909" s="58" t="s">
        <v>6487</v>
      </c>
      <c r="B5909" s="59">
        <v>1295.84</v>
      </c>
      <c r="C5909" s="59">
        <v>2199</v>
      </c>
      <c r="D5909" s="59" t="s">
        <v>803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1295.84</v>
      </c>
      <c r="J5909" s="60">
        <f t="shared" si="279"/>
        <v>2199</v>
      </c>
    </row>
    <row r="5910" ht="15.2" spans="1:10">
      <c r="A5910" s="58" t="s">
        <v>6488</v>
      </c>
      <c r="B5910" s="59">
        <v>1152.97</v>
      </c>
      <c r="C5910" s="59">
        <v>1899</v>
      </c>
      <c r="D5910" s="59" t="s">
        <v>803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ht="15.2" spans="1:10">
      <c r="A5911" s="58" t="s">
        <v>6489</v>
      </c>
      <c r="B5911" s="59">
        <v>1773.46</v>
      </c>
      <c r="C5911" s="59">
        <v>2699</v>
      </c>
      <c r="D5911" s="59" t="s">
        <v>803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ht="15.2" spans="1:10">
      <c r="A5912" s="58" t="s">
        <v>6490</v>
      </c>
      <c r="B5912" s="59">
        <v>570.86</v>
      </c>
      <c r="C5912" s="59">
        <v>3147</v>
      </c>
      <c r="D5912" s="59" t="s">
        <v>801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ht="15.2" spans="1:10">
      <c r="A5913" s="58" t="s">
        <v>6491</v>
      </c>
      <c r="B5913" s="59">
        <v>499</v>
      </c>
      <c r="C5913" s="59">
        <v>1048</v>
      </c>
      <c r="D5913" s="59" t="s">
        <v>801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</v>
      </c>
      <c r="J5913" s="60">
        <f t="shared" si="279"/>
        <v>209.6</v>
      </c>
    </row>
    <row r="5914" ht="15.2" spans="1:10">
      <c r="A5914" s="58" t="s">
        <v>6492</v>
      </c>
      <c r="B5914" s="59">
        <v>449</v>
      </c>
      <c r="C5914" s="59">
        <v>943</v>
      </c>
      <c r="D5914" s="59" t="s">
        <v>801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</v>
      </c>
      <c r="J5914" s="60">
        <f t="shared" si="279"/>
        <v>47.15</v>
      </c>
    </row>
    <row r="5915" ht="15.2" spans="1:10">
      <c r="A5915" s="58" t="s">
        <v>6493</v>
      </c>
      <c r="B5915" s="59">
        <v>614.59</v>
      </c>
      <c r="C5915" s="59">
        <v>949</v>
      </c>
      <c r="D5915" s="59" t="s">
        <v>803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ht="15.2" spans="1:10">
      <c r="A5916" s="58" t="s">
        <v>6494</v>
      </c>
      <c r="B5916" s="59">
        <v>299</v>
      </c>
      <c r="C5916" s="59">
        <v>628</v>
      </c>
      <c r="D5916" s="59" t="s">
        <v>801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ht="15.2" spans="1:10">
      <c r="A5917" s="58" t="s">
        <v>6495</v>
      </c>
      <c r="B5917" s="59">
        <v>911.44</v>
      </c>
      <c r="C5917" s="59">
        <v>1399</v>
      </c>
      <c r="D5917" s="59" t="s">
        <v>803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ht="15.2" spans="1:10">
      <c r="A5918" s="58" t="s">
        <v>6496</v>
      </c>
      <c r="B5918" s="59">
        <v>1399</v>
      </c>
      <c r="C5918" s="59">
        <v>2938</v>
      </c>
      <c r="D5918" s="59" t="s">
        <v>801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ht="15.2" spans="1:10">
      <c r="A5919" s="58" t="s">
        <v>179</v>
      </c>
      <c r="B5919" s="59">
        <v>907</v>
      </c>
      <c r="C5919" s="59">
        <v>1999</v>
      </c>
      <c r="D5919" s="59" t="s">
        <v>801</v>
      </c>
      <c r="E5919" s="59">
        <v>2.2</v>
      </c>
      <c r="F5919" s="59">
        <v>2.2</v>
      </c>
      <c r="G5919" s="59">
        <v>0</v>
      </c>
      <c r="H5919" s="60">
        <f t="shared" ref="H5919:H5982" si="280">E5919-G5919</f>
        <v>2.2</v>
      </c>
      <c r="I5919" s="60">
        <f t="shared" si="278"/>
        <v>1995.4</v>
      </c>
      <c r="J5919" s="60">
        <f t="shared" si="279"/>
        <v>4397.8</v>
      </c>
    </row>
    <row r="5920" ht="15.2" spans="1:10">
      <c r="A5920" s="58" t="s">
        <v>331</v>
      </c>
      <c r="B5920" s="59">
        <v>423</v>
      </c>
      <c r="C5920" s="59">
        <v>927</v>
      </c>
      <c r="D5920" s="59" t="s">
        <v>801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ht="15.2" spans="1:10">
      <c r="A5921" s="58" t="s">
        <v>6497</v>
      </c>
      <c r="B5921" s="59">
        <v>656.42</v>
      </c>
      <c r="C5921" s="59">
        <v>999</v>
      </c>
      <c r="D5921" s="59" t="s">
        <v>803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ht="15.2" spans="1:10">
      <c r="A5922" s="58" t="s">
        <v>6498</v>
      </c>
      <c r="B5922" s="59">
        <v>1177.98</v>
      </c>
      <c r="C5922" s="59">
        <v>1999</v>
      </c>
      <c r="D5922" s="59" t="s">
        <v>803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ht="15.2" spans="1:10">
      <c r="A5923" s="58" t="s">
        <v>6499</v>
      </c>
      <c r="B5923" s="59">
        <v>306</v>
      </c>
      <c r="C5923" s="59">
        <v>727</v>
      </c>
      <c r="D5923" s="59" t="s">
        <v>801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ht="15.2" spans="1:10">
      <c r="A5924" s="58" t="s">
        <v>6500</v>
      </c>
      <c r="B5924" s="59">
        <v>1820.82</v>
      </c>
      <c r="C5924" s="59">
        <v>2999</v>
      </c>
      <c r="D5924" s="59" t="s">
        <v>803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ht="15.2" spans="1:10">
      <c r="A5925" s="58" t="s">
        <v>6501</v>
      </c>
      <c r="B5925" s="59">
        <v>970.78</v>
      </c>
      <c r="C5925" s="59">
        <v>1499</v>
      </c>
      <c r="D5925" s="59" t="s">
        <v>803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ht="15.2" spans="1:10">
      <c r="A5926" s="58" t="s">
        <v>6502</v>
      </c>
      <c r="B5926" s="59">
        <v>386</v>
      </c>
      <c r="C5926" s="59">
        <v>862</v>
      </c>
      <c r="D5926" s="59" t="s">
        <v>801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ht="15.2" spans="1:10">
      <c r="A5927" s="58" t="s">
        <v>6503</v>
      </c>
      <c r="B5927" s="59">
        <v>1213.68</v>
      </c>
      <c r="C5927" s="59">
        <v>1999</v>
      </c>
      <c r="D5927" s="59" t="s">
        <v>803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ht="15.2" spans="1:10">
      <c r="A5928" s="58" t="s">
        <v>6504</v>
      </c>
      <c r="B5928" s="59">
        <v>1395.82</v>
      </c>
      <c r="C5928" s="59">
        <v>2299</v>
      </c>
      <c r="D5928" s="59" t="s">
        <v>803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ht="15.2" spans="1:10">
      <c r="A5929" s="58" t="s">
        <v>6505</v>
      </c>
      <c r="B5929" s="59">
        <v>776.5</v>
      </c>
      <c r="C5929" s="59">
        <v>1199</v>
      </c>
      <c r="D5929" s="59" t="s">
        <v>803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ht="15.2" spans="1:10">
      <c r="A5930" s="58" t="s">
        <v>6506</v>
      </c>
      <c r="B5930" s="59">
        <v>599</v>
      </c>
      <c r="C5930" s="59">
        <v>1338</v>
      </c>
      <c r="D5930" s="59" t="s">
        <v>801</v>
      </c>
      <c r="E5930" s="59">
        <v>4.9</v>
      </c>
      <c r="F5930" s="59">
        <v>4.9</v>
      </c>
      <c r="G5930" s="59">
        <v>0</v>
      </c>
      <c r="H5930" s="60">
        <f t="shared" si="280"/>
        <v>4.9</v>
      </c>
      <c r="I5930" s="60">
        <f t="shared" si="278"/>
        <v>2935.1</v>
      </c>
      <c r="J5930" s="60">
        <f t="shared" si="279"/>
        <v>6556.2</v>
      </c>
    </row>
    <row r="5931" ht="15.2" spans="1:10">
      <c r="A5931" s="58" t="s">
        <v>6507</v>
      </c>
      <c r="B5931" s="59">
        <v>853.55</v>
      </c>
      <c r="C5931" s="59">
        <v>1299</v>
      </c>
      <c r="D5931" s="59" t="s">
        <v>803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ht="15.2" spans="1:10">
      <c r="A5932" s="58" t="s">
        <v>6508</v>
      </c>
      <c r="B5932" s="59">
        <v>96</v>
      </c>
      <c r="C5932" s="59">
        <v>138</v>
      </c>
      <c r="D5932" s="59" t="s">
        <v>801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388.8</v>
      </c>
      <c r="J5932" s="60">
        <f t="shared" si="279"/>
        <v>558.9</v>
      </c>
    </row>
    <row r="5933" ht="15.2" spans="1:10">
      <c r="A5933" s="58" t="s">
        <v>6509</v>
      </c>
      <c r="B5933" s="59">
        <v>417</v>
      </c>
      <c r="C5933" s="59">
        <v>951</v>
      </c>
      <c r="D5933" s="59" t="s">
        <v>801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ht="15.2" spans="1:10">
      <c r="A5934" s="58" t="s">
        <v>6510</v>
      </c>
      <c r="B5934" s="59">
        <v>819</v>
      </c>
      <c r="C5934" s="59">
        <v>1910</v>
      </c>
      <c r="D5934" s="59" t="s">
        <v>801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ht="15.2" spans="1:10">
      <c r="A5935" s="58" t="s">
        <v>6511</v>
      </c>
      <c r="B5935" s="59">
        <v>1354.77</v>
      </c>
      <c r="C5935" s="59">
        <v>2299</v>
      </c>
      <c r="D5935" s="59" t="s">
        <v>803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ht="15.2" spans="1:10">
      <c r="A5936" s="58" t="s">
        <v>6512</v>
      </c>
      <c r="B5936" s="59">
        <v>1444.92</v>
      </c>
      <c r="C5936" s="59">
        <v>2199</v>
      </c>
      <c r="D5936" s="59" t="s">
        <v>803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ht="15.2" spans="1:10">
      <c r="A5937" s="58" t="s">
        <v>6513</v>
      </c>
      <c r="B5937" s="59">
        <v>1092.25</v>
      </c>
      <c r="C5937" s="59">
        <v>1799</v>
      </c>
      <c r="D5937" s="59" t="s">
        <v>803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ht="15.2" spans="1:10">
      <c r="A5938" s="58" t="s">
        <v>6514</v>
      </c>
      <c r="B5938" s="59">
        <v>507</v>
      </c>
      <c r="C5938" s="59">
        <v>1189</v>
      </c>
      <c r="D5938" s="59" t="s">
        <v>801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ht="15.2" spans="1:10">
      <c r="A5939" s="58" t="s">
        <v>6515</v>
      </c>
      <c r="B5939" s="59">
        <v>451</v>
      </c>
      <c r="C5939" s="59">
        <v>997</v>
      </c>
      <c r="D5939" s="59" t="s">
        <v>801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ht="15.2" spans="1:10">
      <c r="A5940" s="58" t="s">
        <v>6516</v>
      </c>
      <c r="B5940" s="59">
        <v>1395.82</v>
      </c>
      <c r="C5940" s="59">
        <v>2299</v>
      </c>
      <c r="D5940" s="59" t="s">
        <v>803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ht="15.2" spans="1:10">
      <c r="A5941" s="58" t="s">
        <v>6517</v>
      </c>
      <c r="B5941" s="59">
        <v>912.21</v>
      </c>
      <c r="C5941" s="59">
        <v>1399</v>
      </c>
      <c r="D5941" s="59" t="s">
        <v>803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ht="15.2" spans="1:10">
      <c r="A5942" s="58" t="s">
        <v>6518</v>
      </c>
      <c r="B5942" s="59">
        <v>525</v>
      </c>
      <c r="C5942" s="59">
        <v>799</v>
      </c>
      <c r="D5942" s="59" t="s">
        <v>803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ht="15.2" spans="1:10">
      <c r="A5943" s="58" t="s">
        <v>6519</v>
      </c>
      <c r="B5943" s="59">
        <v>590.71</v>
      </c>
      <c r="C5943" s="59">
        <v>899</v>
      </c>
      <c r="D5943" s="59" t="s">
        <v>803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ht="15.2" spans="1:10">
      <c r="A5944" s="58" t="s">
        <v>6520</v>
      </c>
      <c r="B5944" s="59">
        <v>1760.11</v>
      </c>
      <c r="C5944" s="59">
        <v>2899</v>
      </c>
      <c r="D5944" s="59" t="s">
        <v>803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ht="15.2" spans="1:10">
      <c r="A5945" s="58" t="s">
        <v>6521</v>
      </c>
      <c r="B5945" s="59">
        <v>1839.16</v>
      </c>
      <c r="C5945" s="59">
        <v>2799</v>
      </c>
      <c r="D5945" s="59" t="s">
        <v>803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ht="15.2" spans="1:10">
      <c r="A5946" s="58" t="s">
        <v>6522</v>
      </c>
      <c r="B5946" s="59">
        <v>1247.8</v>
      </c>
      <c r="C5946" s="59">
        <v>1899</v>
      </c>
      <c r="D5946" s="59" t="s">
        <v>803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ht="15.2" spans="1:10">
      <c r="A5947" s="58" t="s">
        <v>6523</v>
      </c>
      <c r="B5947" s="59">
        <v>499</v>
      </c>
      <c r="C5947" s="59">
        <v>1117</v>
      </c>
      <c r="D5947" s="59" t="s">
        <v>801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949.45</v>
      </c>
    </row>
    <row r="5948" ht="15.2" spans="1:10">
      <c r="A5948" s="58" t="s">
        <v>6524</v>
      </c>
      <c r="B5948" s="59">
        <v>1699.39</v>
      </c>
      <c r="C5948" s="59">
        <v>2799</v>
      </c>
      <c r="D5948" s="59" t="s">
        <v>803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ht="15.2" spans="1:10">
      <c r="A5949" s="58" t="s">
        <v>6525</v>
      </c>
      <c r="B5949" s="59">
        <v>870</v>
      </c>
      <c r="C5949" s="59">
        <v>2063</v>
      </c>
      <c r="D5949" s="59" t="s">
        <v>801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ht="15.2" spans="1:10">
      <c r="A5950" s="58" t="s">
        <v>6526</v>
      </c>
      <c r="B5950" s="59">
        <v>1517.25</v>
      </c>
      <c r="C5950" s="59">
        <v>2499</v>
      </c>
      <c r="D5950" s="59" t="s">
        <v>803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ht="15.2" spans="1:10">
      <c r="A5951" s="58" t="s">
        <v>6527</v>
      </c>
      <c r="B5951" s="59">
        <v>1517.25</v>
      </c>
      <c r="C5951" s="59">
        <v>2499</v>
      </c>
      <c r="D5951" s="59" t="s">
        <v>803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ht="15.2" spans="1:10">
      <c r="A5952" s="58" t="s">
        <v>6528</v>
      </c>
      <c r="B5952" s="59">
        <v>1638.68</v>
      </c>
      <c r="C5952" s="59">
        <v>2699</v>
      </c>
      <c r="D5952" s="59" t="s">
        <v>803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ht="15.2" spans="1:10">
      <c r="A5953" s="58" t="s">
        <v>6529</v>
      </c>
      <c r="B5953" s="59">
        <v>1092.25</v>
      </c>
      <c r="C5953" s="59">
        <v>1799</v>
      </c>
      <c r="D5953" s="59" t="s">
        <v>803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ht="15.2" spans="1:10">
      <c r="A5954" s="58" t="s">
        <v>6530</v>
      </c>
      <c r="B5954" s="59">
        <v>965.66</v>
      </c>
      <c r="C5954" s="59">
        <v>1499</v>
      </c>
      <c r="D5954" s="59" t="s">
        <v>803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ht="15.2" spans="1:10">
      <c r="A5955" s="58" t="s">
        <v>6531</v>
      </c>
      <c r="B5955" s="59">
        <v>1177.98</v>
      </c>
      <c r="C5955" s="59">
        <v>1999</v>
      </c>
      <c r="D5955" s="59" t="s">
        <v>803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ht="15.2" spans="1:10">
      <c r="A5956" s="58" t="s">
        <v>6532</v>
      </c>
      <c r="B5956" s="59">
        <v>284</v>
      </c>
      <c r="C5956" s="59">
        <v>645</v>
      </c>
      <c r="D5956" s="59" t="s">
        <v>801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</v>
      </c>
      <c r="J5956" s="60">
        <f t="shared" si="282"/>
        <v>516</v>
      </c>
    </row>
    <row r="5957" ht="15.2" spans="1:10">
      <c r="A5957" s="58" t="s">
        <v>6533</v>
      </c>
      <c r="B5957" s="59">
        <v>1295.84</v>
      </c>
      <c r="C5957" s="59">
        <v>2199</v>
      </c>
      <c r="D5957" s="59" t="s">
        <v>803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1295.84</v>
      </c>
      <c r="J5957" s="60">
        <f t="shared" si="282"/>
        <v>2199</v>
      </c>
    </row>
    <row r="5958" ht="15.2" spans="1:10">
      <c r="A5958" s="58" t="s">
        <v>6534</v>
      </c>
      <c r="B5958" s="59">
        <v>1274.39</v>
      </c>
      <c r="C5958" s="59">
        <v>2099</v>
      </c>
      <c r="D5958" s="59" t="s">
        <v>803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</v>
      </c>
      <c r="J5958" s="60">
        <f t="shared" si="282"/>
        <v>2099</v>
      </c>
    </row>
    <row r="5959" ht="15.2" spans="1:10">
      <c r="A5959" s="58" t="s">
        <v>6535</v>
      </c>
      <c r="B5959" s="59">
        <v>1649.41</v>
      </c>
      <c r="C5959" s="59">
        <v>2799</v>
      </c>
      <c r="D5959" s="59" t="s">
        <v>803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ht="15.2" spans="1:10">
      <c r="A5960" s="58" t="s">
        <v>6536</v>
      </c>
      <c r="B5960" s="59">
        <v>263</v>
      </c>
      <c r="C5960" s="59">
        <v>565</v>
      </c>
      <c r="D5960" s="59" t="s">
        <v>801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4786.6</v>
      </c>
      <c r="J5960" s="60">
        <f t="shared" si="282"/>
        <v>10283</v>
      </c>
    </row>
    <row r="5961" ht="15.2" spans="1:10">
      <c r="A5961" s="58" t="s">
        <v>6537</v>
      </c>
      <c r="B5961" s="59">
        <v>1517.25</v>
      </c>
      <c r="C5961" s="59">
        <v>2499</v>
      </c>
      <c r="D5961" s="59" t="s">
        <v>803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ht="15.2" spans="1:10">
      <c r="A5962" s="58" t="s">
        <v>6538</v>
      </c>
      <c r="B5962" s="59">
        <v>1517.25</v>
      </c>
      <c r="C5962" s="59">
        <v>2499</v>
      </c>
      <c r="D5962" s="59" t="s">
        <v>803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ht="15.2" spans="1:10">
      <c r="A5963" s="58" t="s">
        <v>6539</v>
      </c>
      <c r="B5963" s="59">
        <v>847.97</v>
      </c>
      <c r="C5963" s="59">
        <v>1299</v>
      </c>
      <c r="D5963" s="59" t="s">
        <v>803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ht="15.2" spans="1:10">
      <c r="A5964" s="58" t="s">
        <v>6540</v>
      </c>
      <c r="B5964" s="59">
        <v>1213.68</v>
      </c>
      <c r="C5964" s="59">
        <v>1999</v>
      </c>
      <c r="D5964" s="59" t="s">
        <v>803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ht="15.2" spans="1:10">
      <c r="A5965" s="58" t="s">
        <v>6541</v>
      </c>
      <c r="B5965" s="59">
        <v>911.44</v>
      </c>
      <c r="C5965" s="59">
        <v>1399</v>
      </c>
      <c r="D5965" s="59" t="s">
        <v>803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ht="15.2" spans="1:10">
      <c r="A5966" s="58" t="s">
        <v>6542</v>
      </c>
      <c r="B5966" s="59">
        <v>290.78</v>
      </c>
      <c r="C5966" s="59">
        <v>449</v>
      </c>
      <c r="D5966" s="59" t="s">
        <v>803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872.34</v>
      </c>
      <c r="J5966" s="60">
        <f t="shared" si="282"/>
        <v>1347</v>
      </c>
    </row>
    <row r="5967" ht="15.2" spans="1:10">
      <c r="A5967" s="58" t="s">
        <v>6543</v>
      </c>
      <c r="B5967" s="59">
        <v>1092.25</v>
      </c>
      <c r="C5967" s="59">
        <v>1799</v>
      </c>
      <c r="D5967" s="59" t="s">
        <v>803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ht="15.2" spans="1:10">
      <c r="A5968" s="58" t="s">
        <v>6544</v>
      </c>
      <c r="B5968" s="59">
        <v>1395.82</v>
      </c>
      <c r="C5968" s="59">
        <v>2299</v>
      </c>
      <c r="D5968" s="59" t="s">
        <v>803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ht="15.2" spans="1:10">
      <c r="A5969" s="58" t="s">
        <v>6545</v>
      </c>
      <c r="B5969" s="59">
        <v>743</v>
      </c>
      <c r="C5969" s="59">
        <v>1643</v>
      </c>
      <c r="D5969" s="59" t="s">
        <v>801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ht="15.2" spans="1:10">
      <c r="A5970" s="58" t="s">
        <v>6546</v>
      </c>
      <c r="B5970" s="59">
        <v>1031.54</v>
      </c>
      <c r="C5970" s="59">
        <v>1699</v>
      </c>
      <c r="D5970" s="59" t="s">
        <v>803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ht="15.2" spans="1:10">
      <c r="A5971" s="58" t="s">
        <v>6547</v>
      </c>
      <c r="B5971" s="59">
        <v>261</v>
      </c>
      <c r="C5971" s="59">
        <v>615</v>
      </c>
      <c r="D5971" s="59" t="s">
        <v>801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ht="15.2" spans="1:10">
      <c r="A5972" s="58" t="s">
        <v>6548</v>
      </c>
      <c r="B5972" s="59">
        <v>555</v>
      </c>
      <c r="C5972" s="59">
        <v>1241</v>
      </c>
      <c r="D5972" s="59" t="s">
        <v>801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ht="15.2" spans="1:10">
      <c r="A5973" s="58" t="s">
        <v>6549</v>
      </c>
      <c r="B5973" s="59">
        <v>1444.92</v>
      </c>
      <c r="C5973" s="59">
        <v>2199</v>
      </c>
      <c r="D5973" s="59" t="s">
        <v>803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ht="15.2" spans="1:10">
      <c r="A5974" s="58" t="s">
        <v>6550</v>
      </c>
      <c r="B5974" s="59">
        <v>2185.11</v>
      </c>
      <c r="C5974" s="59">
        <v>3599</v>
      </c>
      <c r="D5974" s="59" t="s">
        <v>803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ht="15.2" spans="1:10">
      <c r="A5975" s="58" t="s">
        <v>6551</v>
      </c>
      <c r="B5975" s="59">
        <v>1152.97</v>
      </c>
      <c r="C5975" s="59">
        <v>1899</v>
      </c>
      <c r="D5975" s="59" t="s">
        <v>803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ht="15.2" spans="1:10">
      <c r="A5976" s="58" t="s">
        <v>6552</v>
      </c>
      <c r="B5976" s="59">
        <v>540</v>
      </c>
      <c r="C5976" s="59">
        <v>1207</v>
      </c>
      <c r="D5976" s="59" t="s">
        <v>801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</v>
      </c>
    </row>
    <row r="5977" ht="15.2" spans="1:10">
      <c r="A5977" s="58" t="s">
        <v>6553</v>
      </c>
      <c r="B5977" s="59">
        <v>290.78</v>
      </c>
      <c r="C5977" s="59">
        <v>449</v>
      </c>
      <c r="D5977" s="59" t="s">
        <v>803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290.78</v>
      </c>
      <c r="J5977" s="60">
        <f t="shared" si="282"/>
        <v>449</v>
      </c>
    </row>
    <row r="5978" ht="15.2" spans="1:10">
      <c r="A5978" s="58" t="s">
        <v>6554</v>
      </c>
      <c r="B5978" s="59">
        <v>1092.25</v>
      </c>
      <c r="C5978" s="59">
        <v>1799</v>
      </c>
      <c r="D5978" s="59" t="s">
        <v>803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ht="15.2" spans="1:10">
      <c r="A5979" s="58" t="s">
        <v>6555</v>
      </c>
      <c r="B5979" s="59">
        <v>646.97</v>
      </c>
      <c r="C5979" s="59">
        <v>999</v>
      </c>
      <c r="D5979" s="59" t="s">
        <v>803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ht="15.2" spans="1:10">
      <c r="A5980" s="58" t="s">
        <v>6556</v>
      </c>
      <c r="B5980" s="59">
        <v>1444.92</v>
      </c>
      <c r="C5980" s="59">
        <v>2199</v>
      </c>
      <c r="D5980" s="59" t="s">
        <v>803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ht="15.2" spans="1:10">
      <c r="A5981" s="58" t="s">
        <v>6557</v>
      </c>
      <c r="B5981" s="59">
        <v>290.78</v>
      </c>
      <c r="C5981" s="59">
        <v>449</v>
      </c>
      <c r="D5981" s="59" t="s">
        <v>803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290.78</v>
      </c>
      <c r="J5981" s="60">
        <f t="shared" si="282"/>
        <v>449</v>
      </c>
    </row>
    <row r="5982" ht="15.2" spans="1:10">
      <c r="A5982" s="58" t="s">
        <v>6558</v>
      </c>
      <c r="B5982" s="59">
        <v>409</v>
      </c>
      <c r="C5982" s="59">
        <v>1032</v>
      </c>
      <c r="D5982" s="59" t="s">
        <v>801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2699.4</v>
      </c>
      <c r="J5982" s="60">
        <f t="shared" si="282"/>
        <v>6811.2</v>
      </c>
    </row>
    <row r="5983" ht="15.2" spans="1:10">
      <c r="A5983" s="58" t="s">
        <v>6559</v>
      </c>
      <c r="B5983" s="59">
        <v>1287.76</v>
      </c>
      <c r="C5983" s="59">
        <v>1999</v>
      </c>
      <c r="D5983" s="59" t="s">
        <v>803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ht="15.2" spans="1:10">
      <c r="A5984" s="58" t="s">
        <v>6560</v>
      </c>
      <c r="B5984" s="59">
        <v>377</v>
      </c>
      <c r="C5984" s="59">
        <v>843</v>
      </c>
      <c r="D5984" s="59" t="s">
        <v>801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ht="15.2" spans="1:10">
      <c r="A5985" s="58" t="s">
        <v>6561</v>
      </c>
      <c r="B5985" s="59">
        <v>1092.25</v>
      </c>
      <c r="C5985" s="59">
        <v>1799</v>
      </c>
      <c r="D5985" s="59" t="s">
        <v>803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ht="15.2" spans="1:10">
      <c r="A5986" s="58" t="s">
        <v>325</v>
      </c>
      <c r="B5986" s="59">
        <v>299</v>
      </c>
      <c r="C5986" s="59">
        <v>660</v>
      </c>
      <c r="D5986" s="59" t="s">
        <v>801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ht="15.2" spans="1:10">
      <c r="A5987" s="58" t="s">
        <v>53</v>
      </c>
      <c r="B5987" s="59">
        <v>349</v>
      </c>
      <c r="C5987" s="59">
        <v>770</v>
      </c>
      <c r="D5987" s="59" t="s">
        <v>801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ht="15.2" spans="1:10">
      <c r="A5988" s="58" t="s">
        <v>6562</v>
      </c>
      <c r="B5988" s="59">
        <v>513</v>
      </c>
      <c r="C5988" s="59">
        <v>1133</v>
      </c>
      <c r="D5988" s="59" t="s">
        <v>801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ht="15.2" spans="1:10">
      <c r="A5989" s="58" t="s">
        <v>6563</v>
      </c>
      <c r="B5989" s="59">
        <v>515</v>
      </c>
      <c r="C5989" s="59">
        <v>1061</v>
      </c>
      <c r="D5989" s="59" t="s">
        <v>801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11883.2</v>
      </c>
    </row>
    <row r="5990" ht="15.2" spans="1:10">
      <c r="A5990" s="58" t="s">
        <v>6564</v>
      </c>
      <c r="B5990" s="59">
        <v>4124.41</v>
      </c>
      <c r="C5990" s="59">
        <v>6999</v>
      </c>
      <c r="D5990" s="59" t="s">
        <v>803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ht="15.2" spans="1:10">
      <c r="A5991" s="58" t="s">
        <v>6565</v>
      </c>
      <c r="B5991" s="59">
        <v>525</v>
      </c>
      <c r="C5991" s="59">
        <v>799</v>
      </c>
      <c r="D5991" s="59" t="s">
        <v>803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ht="15.2" spans="1:10">
      <c r="A5992" s="58" t="s">
        <v>6566</v>
      </c>
      <c r="B5992" s="59">
        <v>293</v>
      </c>
      <c r="C5992" s="59">
        <v>650</v>
      </c>
      <c r="D5992" s="59" t="s">
        <v>801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2959.3</v>
      </c>
      <c r="J5992" s="60">
        <f t="shared" si="282"/>
        <v>6565</v>
      </c>
    </row>
    <row r="5993" ht="15.2" spans="1:10">
      <c r="A5993" s="58" t="s">
        <v>6567</v>
      </c>
      <c r="B5993" s="59">
        <v>367</v>
      </c>
      <c r="C5993" s="59">
        <v>830</v>
      </c>
      <c r="D5993" s="59" t="s">
        <v>801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ht="15.2" spans="1:10">
      <c r="A5994" s="58" t="s">
        <v>6568</v>
      </c>
      <c r="B5994" s="59">
        <v>5892.27</v>
      </c>
      <c r="C5994" s="59">
        <v>9999</v>
      </c>
      <c r="D5994" s="59" t="s">
        <v>803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ht="15.2" spans="1:10">
      <c r="A5995" s="58" t="s">
        <v>6569</v>
      </c>
      <c r="B5995" s="59">
        <v>1576.34</v>
      </c>
      <c r="C5995" s="59">
        <v>2399</v>
      </c>
      <c r="D5995" s="59" t="s">
        <v>803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ht="15.2" spans="1:10">
      <c r="A5996" s="58" t="s">
        <v>6570</v>
      </c>
      <c r="B5996" s="59">
        <v>1177.98</v>
      </c>
      <c r="C5996" s="59">
        <v>1999</v>
      </c>
      <c r="D5996" s="59" t="s">
        <v>803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ht="15.2" spans="1:10">
      <c r="A5997" s="58" t="s">
        <v>6571</v>
      </c>
      <c r="B5997" s="59">
        <v>787.84</v>
      </c>
      <c r="C5997" s="59">
        <v>1199</v>
      </c>
      <c r="D5997" s="59" t="s">
        <v>803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ht="15.2" spans="1:10">
      <c r="A5998" s="58" t="s">
        <v>6572</v>
      </c>
      <c r="B5998" s="59">
        <v>306</v>
      </c>
      <c r="C5998" s="59">
        <v>765</v>
      </c>
      <c r="D5998" s="59" t="s">
        <v>801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ht="15.2" spans="1:10">
      <c r="A5999" s="58" t="s">
        <v>6573</v>
      </c>
      <c r="B5999" s="59">
        <v>549.83</v>
      </c>
      <c r="C5999" s="59">
        <v>849</v>
      </c>
      <c r="D5999" s="59" t="s">
        <v>803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</v>
      </c>
      <c r="J5999" s="60">
        <f t="shared" si="282"/>
        <v>1698</v>
      </c>
    </row>
    <row r="6000" ht="15.2" spans="1:10">
      <c r="A6000" s="58" t="s">
        <v>6574</v>
      </c>
      <c r="B6000" s="59">
        <v>1205.65</v>
      </c>
      <c r="C6000" s="59">
        <v>1899</v>
      </c>
      <c r="D6000" s="59" t="s">
        <v>803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</v>
      </c>
      <c r="J6000" s="60">
        <f t="shared" si="282"/>
        <v>5697</v>
      </c>
    </row>
    <row r="6001" ht="15.2" spans="1:10">
      <c r="A6001" s="58" t="s">
        <v>6575</v>
      </c>
      <c r="B6001" s="59">
        <v>722.13</v>
      </c>
      <c r="C6001" s="59">
        <v>1099</v>
      </c>
      <c r="D6001" s="59" t="s">
        <v>803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ht="15.2" spans="1:10">
      <c r="A6002" s="58" t="s">
        <v>85</v>
      </c>
      <c r="B6002" s="59">
        <v>263</v>
      </c>
      <c r="C6002" s="59">
        <v>565</v>
      </c>
      <c r="D6002" s="59" t="s">
        <v>801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ht="15.2" spans="1:10">
      <c r="A6003" s="58" t="s">
        <v>6576</v>
      </c>
      <c r="B6003" s="59">
        <v>1092.25</v>
      </c>
      <c r="C6003" s="59">
        <v>1799</v>
      </c>
      <c r="D6003" s="59" t="s">
        <v>803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ht="15.2" spans="1:10">
      <c r="A6004" s="58" t="s">
        <v>6577</v>
      </c>
      <c r="B6004" s="59">
        <v>1354.77</v>
      </c>
      <c r="C6004" s="59">
        <v>2299</v>
      </c>
      <c r="D6004" s="59" t="s">
        <v>803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ht="15.2" spans="1:10">
      <c r="A6005" s="58" t="s">
        <v>6578</v>
      </c>
      <c r="B6005" s="59">
        <v>1395.82</v>
      </c>
      <c r="C6005" s="59">
        <v>2299</v>
      </c>
      <c r="D6005" s="59" t="s">
        <v>803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ht="15.2" spans="1:10">
      <c r="A6006" s="58" t="s">
        <v>6579</v>
      </c>
      <c r="B6006" s="59">
        <v>938</v>
      </c>
      <c r="C6006" s="59">
        <v>2321</v>
      </c>
      <c r="D6006" s="59" t="s">
        <v>801</v>
      </c>
      <c r="E6006" s="59">
        <v>4.65</v>
      </c>
      <c r="F6006" s="59">
        <v>4.65</v>
      </c>
      <c r="G6006" s="59">
        <v>0</v>
      </c>
      <c r="H6006" s="60">
        <f t="shared" si="283"/>
        <v>4.65</v>
      </c>
      <c r="I6006" s="60">
        <f t="shared" si="281"/>
        <v>4361.7</v>
      </c>
      <c r="J6006" s="60">
        <f t="shared" si="282"/>
        <v>10792.65</v>
      </c>
    </row>
    <row r="6007" ht="15.2" spans="1:10">
      <c r="A6007" s="58" t="s">
        <v>6580</v>
      </c>
      <c r="B6007" s="59">
        <v>259</v>
      </c>
      <c r="C6007" s="59">
        <v>635</v>
      </c>
      <c r="D6007" s="59" t="s">
        <v>801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427.35</v>
      </c>
      <c r="J6007" s="60">
        <f t="shared" si="282"/>
        <v>1047.75</v>
      </c>
    </row>
    <row r="6008" ht="15.2" spans="1:10">
      <c r="A6008" s="58" t="s">
        <v>6581</v>
      </c>
      <c r="B6008" s="59">
        <v>1395.82</v>
      </c>
      <c r="C6008" s="59">
        <v>2299</v>
      </c>
      <c r="D6008" s="59" t="s">
        <v>803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ht="15.2" spans="1:10">
      <c r="A6009" s="58" t="s">
        <v>6582</v>
      </c>
      <c r="B6009" s="59">
        <v>1182.09</v>
      </c>
      <c r="C6009" s="59">
        <v>1799</v>
      </c>
      <c r="D6009" s="59" t="s">
        <v>803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ht="15.2" spans="1:10">
      <c r="A6010" s="58" t="s">
        <v>6583</v>
      </c>
      <c r="B6010" s="59">
        <v>1354.77</v>
      </c>
      <c r="C6010" s="59">
        <v>2299</v>
      </c>
      <c r="D6010" s="59" t="s">
        <v>803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ht="15.2" spans="1:10">
      <c r="A6011" s="58" t="s">
        <v>6584</v>
      </c>
      <c r="B6011" s="59">
        <v>1820.82</v>
      </c>
      <c r="C6011" s="59">
        <v>2999</v>
      </c>
      <c r="D6011" s="59" t="s">
        <v>803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ht="15.2" spans="1:10">
      <c r="A6012" s="58" t="s">
        <v>6585</v>
      </c>
      <c r="B6012" s="59">
        <v>1092.25</v>
      </c>
      <c r="C6012" s="59">
        <v>1799</v>
      </c>
      <c r="D6012" s="59" t="s">
        <v>803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ht="15.2" spans="1:10">
      <c r="A6013" s="58" t="s">
        <v>6586</v>
      </c>
      <c r="B6013" s="59">
        <v>999</v>
      </c>
      <c r="C6013" s="59">
        <v>2840</v>
      </c>
      <c r="D6013" s="59" t="s">
        <v>801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ht="15.2" spans="1:10">
      <c r="A6014" s="58" t="s">
        <v>6587</v>
      </c>
      <c r="B6014" s="59">
        <v>970.78</v>
      </c>
      <c r="C6014" s="59">
        <v>1499</v>
      </c>
      <c r="D6014" s="59" t="s">
        <v>803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ht="15.2" spans="1:10">
      <c r="A6015" s="58" t="s">
        <v>6588</v>
      </c>
      <c r="B6015" s="59">
        <v>439</v>
      </c>
      <c r="C6015" s="59">
        <v>959</v>
      </c>
      <c r="D6015" s="59" t="s">
        <v>801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</v>
      </c>
      <c r="J6015" s="60">
        <f t="shared" si="282"/>
        <v>4507.3</v>
      </c>
    </row>
    <row r="6016" ht="15.2" spans="1:10">
      <c r="A6016" s="58" t="s">
        <v>6589</v>
      </c>
      <c r="B6016" s="59">
        <v>965.66</v>
      </c>
      <c r="C6016" s="59">
        <v>1499</v>
      </c>
      <c r="D6016" s="59" t="s">
        <v>803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ht="15.2" spans="1:10">
      <c r="A6017" s="58" t="s">
        <v>6590</v>
      </c>
      <c r="B6017" s="59">
        <v>4249.39</v>
      </c>
      <c r="C6017" s="59">
        <v>6999</v>
      </c>
      <c r="D6017" s="59" t="s">
        <v>803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</v>
      </c>
      <c r="J6017" s="60">
        <f t="shared" si="282"/>
        <v>6999</v>
      </c>
    </row>
    <row r="6018" ht="15.2" spans="1:10">
      <c r="A6018" s="58" t="s">
        <v>6591</v>
      </c>
      <c r="B6018" s="59">
        <v>292</v>
      </c>
      <c r="C6018" s="59">
        <v>692</v>
      </c>
      <c r="D6018" s="59" t="s">
        <v>801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ht="15.2" spans="1:10">
      <c r="A6019" s="58" t="s">
        <v>6592</v>
      </c>
      <c r="B6019" s="59">
        <v>1213.68</v>
      </c>
      <c r="C6019" s="59">
        <v>1999</v>
      </c>
      <c r="D6019" s="59" t="s">
        <v>803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ht="15.2" spans="1:10">
      <c r="A6020" s="58" t="s">
        <v>6593</v>
      </c>
      <c r="B6020" s="59">
        <v>1517.25</v>
      </c>
      <c r="C6020" s="59">
        <v>2499</v>
      </c>
      <c r="D6020" s="59" t="s">
        <v>803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ht="15.2" spans="1:10">
      <c r="A6021" s="58" t="s">
        <v>6594</v>
      </c>
      <c r="B6021" s="59">
        <v>1444.92</v>
      </c>
      <c r="C6021" s="59">
        <v>2199</v>
      </c>
      <c r="D6021" s="59" t="s">
        <v>803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ht="15.2" spans="1:10">
      <c r="A6022" s="58" t="s">
        <v>6595</v>
      </c>
      <c r="B6022" s="59">
        <v>1313.5</v>
      </c>
      <c r="C6022" s="59">
        <v>1999</v>
      </c>
      <c r="D6022" s="59" t="s">
        <v>803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ht="15.2" spans="1:10">
      <c r="A6023" s="58" t="s">
        <v>6596</v>
      </c>
      <c r="B6023" s="59">
        <v>295</v>
      </c>
      <c r="C6023" s="59">
        <v>720</v>
      </c>
      <c r="D6023" s="59" t="s">
        <v>801</v>
      </c>
      <c r="E6023" s="59">
        <v>1.1</v>
      </c>
      <c r="F6023" s="59">
        <v>1.1</v>
      </c>
      <c r="G6023" s="59">
        <v>0</v>
      </c>
      <c r="H6023" s="60">
        <f t="shared" si="283"/>
        <v>1.1</v>
      </c>
      <c r="I6023" s="60">
        <f t="shared" si="284"/>
        <v>324.5</v>
      </c>
      <c r="J6023" s="60">
        <f t="shared" si="285"/>
        <v>792</v>
      </c>
    </row>
    <row r="6024" ht="15.2" spans="1:10">
      <c r="A6024" s="58" t="s">
        <v>6597</v>
      </c>
      <c r="B6024" s="59">
        <v>901.24</v>
      </c>
      <c r="C6024" s="59">
        <v>1399</v>
      </c>
      <c r="D6024" s="59" t="s">
        <v>803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ht="15.2" spans="1:10">
      <c r="A6025" s="58" t="s">
        <v>6598</v>
      </c>
      <c r="B6025" s="59">
        <v>2002.96</v>
      </c>
      <c r="C6025" s="59">
        <v>3299</v>
      </c>
      <c r="D6025" s="59" t="s">
        <v>803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ht="15.2" spans="1:10">
      <c r="A6026" s="58" t="s">
        <v>6599</v>
      </c>
      <c r="B6026" s="59">
        <v>1517.25</v>
      </c>
      <c r="C6026" s="59">
        <v>2499</v>
      </c>
      <c r="D6026" s="59" t="s">
        <v>803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ht="15.2" spans="1:10">
      <c r="A6027" s="58" t="s">
        <v>6600</v>
      </c>
      <c r="B6027" s="59">
        <v>1247.8</v>
      </c>
      <c r="C6027" s="59">
        <v>1899</v>
      </c>
      <c r="D6027" s="59" t="s">
        <v>803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ht="15.2" spans="1:10">
      <c r="A6028" s="58" t="s">
        <v>6601</v>
      </c>
      <c r="B6028" s="59">
        <v>4124.41</v>
      </c>
      <c r="C6028" s="59">
        <v>6999</v>
      </c>
      <c r="D6028" s="59" t="s">
        <v>803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ht="15.2" spans="1:10">
      <c r="A6029" s="58" t="s">
        <v>6602</v>
      </c>
      <c r="B6029" s="59">
        <v>452.69</v>
      </c>
      <c r="C6029" s="59">
        <v>699</v>
      </c>
      <c r="D6029" s="59" t="s">
        <v>803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ht="15.2" spans="1:10">
      <c r="A6030" s="58" t="s">
        <v>6603</v>
      </c>
      <c r="B6030" s="59">
        <v>525</v>
      </c>
      <c r="C6030" s="59">
        <v>1172</v>
      </c>
      <c r="D6030" s="59" t="s">
        <v>801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ht="15.2" spans="1:10">
      <c r="A6031" s="58" t="s">
        <v>6604</v>
      </c>
      <c r="B6031" s="59">
        <v>4249.39</v>
      </c>
      <c r="C6031" s="59">
        <v>6999</v>
      </c>
      <c r="D6031" s="59" t="s">
        <v>803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</v>
      </c>
      <c r="J6031" s="60">
        <f t="shared" si="285"/>
        <v>6999</v>
      </c>
    </row>
    <row r="6032" ht="15.2" spans="1:10">
      <c r="A6032" s="58" t="s">
        <v>6605</v>
      </c>
      <c r="B6032" s="59">
        <v>4124.41</v>
      </c>
      <c r="C6032" s="59">
        <v>6999</v>
      </c>
      <c r="D6032" s="59" t="s">
        <v>803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ht="15.2" spans="1:10">
      <c r="A6033" s="58" t="s">
        <v>6606</v>
      </c>
      <c r="B6033" s="59">
        <v>517.45</v>
      </c>
      <c r="C6033" s="59">
        <v>799</v>
      </c>
      <c r="D6033" s="59" t="s">
        <v>803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</v>
      </c>
      <c r="J6033" s="60">
        <f t="shared" si="285"/>
        <v>799</v>
      </c>
    </row>
    <row r="6034" ht="15.2" spans="1:10">
      <c r="A6034" s="58" t="s">
        <v>6607</v>
      </c>
      <c r="B6034" s="59">
        <v>245</v>
      </c>
      <c r="C6034" s="59">
        <v>528</v>
      </c>
      <c r="D6034" s="59" t="s">
        <v>801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ht="15.2" spans="1:10">
      <c r="A6035" s="58" t="s">
        <v>6608</v>
      </c>
      <c r="B6035" s="59">
        <v>1642.05</v>
      </c>
      <c r="C6035" s="59">
        <v>2499</v>
      </c>
      <c r="D6035" s="59" t="s">
        <v>803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ht="15.2" spans="1:10">
      <c r="A6036" s="58" t="s">
        <v>6609</v>
      </c>
      <c r="B6036" s="59">
        <v>564</v>
      </c>
      <c r="C6036" s="59">
        <v>1323</v>
      </c>
      <c r="D6036" s="59" t="s">
        <v>801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ht="15.2" spans="1:10">
      <c r="A6037" s="58" t="s">
        <v>6610</v>
      </c>
      <c r="B6037" s="59">
        <v>1456.54</v>
      </c>
      <c r="C6037" s="59">
        <v>2399</v>
      </c>
      <c r="D6037" s="59" t="s">
        <v>803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ht="15.2" spans="1:10">
      <c r="A6038" s="58" t="s">
        <v>6611</v>
      </c>
      <c r="B6038" s="59">
        <v>656.42</v>
      </c>
      <c r="C6038" s="59">
        <v>999</v>
      </c>
      <c r="D6038" s="59" t="s">
        <v>803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ht="15.2" spans="1:10">
      <c r="A6039" s="58" t="s">
        <v>6612</v>
      </c>
      <c r="B6039" s="59">
        <v>661</v>
      </c>
      <c r="C6039" s="59">
        <v>1551</v>
      </c>
      <c r="D6039" s="59" t="s">
        <v>801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ht="15.2" spans="1:10">
      <c r="A6040" s="58" t="s">
        <v>6613</v>
      </c>
      <c r="B6040" s="59">
        <v>243</v>
      </c>
      <c r="C6040" s="59">
        <v>570</v>
      </c>
      <c r="D6040" s="59" t="s">
        <v>801</v>
      </c>
      <c r="E6040" s="59">
        <v>4.9</v>
      </c>
      <c r="F6040" s="59">
        <v>4.9</v>
      </c>
      <c r="G6040" s="59">
        <v>0</v>
      </c>
      <c r="H6040" s="60">
        <f t="shared" si="283"/>
        <v>4.9</v>
      </c>
      <c r="I6040" s="60">
        <f t="shared" si="284"/>
        <v>1190.7</v>
      </c>
      <c r="J6040" s="60">
        <f t="shared" si="285"/>
        <v>2793</v>
      </c>
    </row>
    <row r="6041" ht="15.2" spans="1:10">
      <c r="A6041" s="58" t="s">
        <v>6614</v>
      </c>
      <c r="B6041" s="59">
        <v>1881.54</v>
      </c>
      <c r="C6041" s="59">
        <v>3099</v>
      </c>
      <c r="D6041" s="59" t="s">
        <v>803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ht="15.2" spans="1:10">
      <c r="A6042" s="58" t="s">
        <v>6615</v>
      </c>
      <c r="B6042" s="59">
        <v>1576.34</v>
      </c>
      <c r="C6042" s="59">
        <v>2399</v>
      </c>
      <c r="D6042" s="59" t="s">
        <v>803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ht="15.2" spans="1:10">
      <c r="A6043" s="58" t="s">
        <v>6616</v>
      </c>
      <c r="B6043" s="59">
        <v>259</v>
      </c>
      <c r="C6043" s="59">
        <v>635</v>
      </c>
      <c r="D6043" s="59" t="s">
        <v>801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ht="15.2" spans="1:10">
      <c r="A6044" s="58" t="s">
        <v>6617</v>
      </c>
      <c r="B6044" s="59">
        <v>1545.44</v>
      </c>
      <c r="C6044" s="59">
        <v>2399</v>
      </c>
      <c r="D6044" s="59" t="s">
        <v>803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ht="15.2" spans="1:10">
      <c r="A6045" s="58" t="s">
        <v>6618</v>
      </c>
      <c r="B6045" s="59">
        <v>901.24</v>
      </c>
      <c r="C6045" s="59">
        <v>1399</v>
      </c>
      <c r="D6045" s="59" t="s">
        <v>803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ht="15.2" spans="1:10">
      <c r="A6046" s="58" t="s">
        <v>6619</v>
      </c>
      <c r="B6046" s="59">
        <v>656.42</v>
      </c>
      <c r="C6046" s="59">
        <v>999</v>
      </c>
      <c r="D6046" s="59" t="s">
        <v>803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ht="15.2" spans="1:10">
      <c r="A6047" s="58" t="s">
        <v>6620</v>
      </c>
      <c r="B6047" s="59">
        <v>4124.41</v>
      </c>
      <c r="C6047" s="59">
        <v>6999</v>
      </c>
      <c r="D6047" s="59" t="s">
        <v>803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ht="15.2" spans="1:10">
      <c r="A6048" s="58" t="s">
        <v>318</v>
      </c>
      <c r="B6048" s="59">
        <v>265</v>
      </c>
      <c r="C6048" s="59">
        <v>605</v>
      </c>
      <c r="D6048" s="59" t="s">
        <v>801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ht="15.2" spans="1:10">
      <c r="A6049" s="58" t="s">
        <v>6621</v>
      </c>
      <c r="B6049" s="59">
        <v>1177.98</v>
      </c>
      <c r="C6049" s="59">
        <v>1999</v>
      </c>
      <c r="D6049" s="59" t="s">
        <v>803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ht="15.2" spans="1:10">
      <c r="A6050" s="58" t="s">
        <v>6622</v>
      </c>
      <c r="B6050" s="59">
        <v>1577.96</v>
      </c>
      <c r="C6050" s="59">
        <v>2599</v>
      </c>
      <c r="D6050" s="59" t="s">
        <v>803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ht="15.2" spans="1:10">
      <c r="A6051" s="58" t="s">
        <v>6623</v>
      </c>
      <c r="B6051" s="59">
        <v>399</v>
      </c>
      <c r="C6051" s="59">
        <v>1199</v>
      </c>
      <c r="D6051" s="59" t="s">
        <v>801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</v>
      </c>
    </row>
    <row r="6052" ht="15.2" spans="1:10">
      <c r="A6052" s="58" t="s">
        <v>6624</v>
      </c>
      <c r="B6052" s="59">
        <v>1092.25</v>
      </c>
      <c r="C6052" s="59">
        <v>1799</v>
      </c>
      <c r="D6052" s="59" t="s">
        <v>803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ht="15.2" spans="1:10">
      <c r="A6053" s="58" t="s">
        <v>6625</v>
      </c>
      <c r="B6053" s="59">
        <v>525</v>
      </c>
      <c r="C6053" s="59">
        <v>799</v>
      </c>
      <c r="D6053" s="59" t="s">
        <v>803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ht="15.2" spans="1:10">
      <c r="A6054" s="58" t="s">
        <v>6626</v>
      </c>
      <c r="B6054" s="59">
        <v>511</v>
      </c>
      <c r="C6054" s="59">
        <v>1187</v>
      </c>
      <c r="D6054" s="59" t="s">
        <v>801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ht="15.2" spans="1:10">
      <c r="A6055" s="58" t="s">
        <v>6627</v>
      </c>
      <c r="B6055" s="59">
        <v>273</v>
      </c>
      <c r="C6055" s="59">
        <v>637</v>
      </c>
      <c r="D6055" s="59" t="s">
        <v>801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ht="15.2" spans="1:10">
      <c r="A6056" s="58" t="s">
        <v>6628</v>
      </c>
      <c r="B6056" s="59">
        <v>1182.09</v>
      </c>
      <c r="C6056" s="59">
        <v>1799</v>
      </c>
      <c r="D6056" s="59" t="s">
        <v>803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1182.09</v>
      </c>
      <c r="J6056" s="60">
        <f t="shared" si="285"/>
        <v>1799</v>
      </c>
    </row>
    <row r="6057" ht="15.2" spans="1:10">
      <c r="A6057" s="58" t="s">
        <v>6629</v>
      </c>
      <c r="B6057" s="59">
        <v>1210</v>
      </c>
      <c r="C6057" s="59">
        <v>3029</v>
      </c>
      <c r="D6057" s="59" t="s">
        <v>801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3634.8</v>
      </c>
    </row>
    <row r="6058" ht="15.2" spans="1:10">
      <c r="A6058" s="58" t="s">
        <v>6630</v>
      </c>
      <c r="B6058" s="59">
        <v>1094.5</v>
      </c>
      <c r="C6058" s="59">
        <v>1699</v>
      </c>
      <c r="D6058" s="59" t="s">
        <v>803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ht="15.2" spans="1:10">
      <c r="A6059" s="58" t="s">
        <v>6631</v>
      </c>
      <c r="B6059" s="59">
        <v>1699.4</v>
      </c>
      <c r="C6059" s="59">
        <v>2799</v>
      </c>
      <c r="D6059" s="59" t="s">
        <v>803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ht="15.2" spans="1:10">
      <c r="A6060" s="58" t="s">
        <v>6632</v>
      </c>
      <c r="B6060" s="59">
        <v>323</v>
      </c>
      <c r="C6060" s="59">
        <v>660</v>
      </c>
      <c r="D6060" s="59" t="s">
        <v>801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ht="15.2" spans="1:10">
      <c r="A6061" s="58" t="s">
        <v>6633</v>
      </c>
      <c r="B6061" s="59">
        <v>2102</v>
      </c>
      <c r="C6061" s="59">
        <v>3199</v>
      </c>
      <c r="D6061" s="59" t="s">
        <v>803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ht="15.2" spans="1:10">
      <c r="A6062" s="58" t="s">
        <v>6634</v>
      </c>
      <c r="B6062" s="59">
        <v>1182.09</v>
      </c>
      <c r="C6062" s="59">
        <v>1799</v>
      </c>
      <c r="D6062" s="59" t="s">
        <v>803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ht="15.2" spans="1:10">
      <c r="A6063" s="58" t="s">
        <v>6635</v>
      </c>
      <c r="B6063" s="59">
        <v>1773.46</v>
      </c>
      <c r="C6063" s="59">
        <v>2699</v>
      </c>
      <c r="D6063" s="59" t="s">
        <v>803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ht="15.2" spans="1:10">
      <c r="A6064" s="58" t="s">
        <v>6636</v>
      </c>
      <c r="B6064" s="59">
        <v>380</v>
      </c>
      <c r="C6064" s="59">
        <v>840</v>
      </c>
      <c r="D6064" s="59" t="s">
        <v>801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ht="15.2" spans="1:10">
      <c r="A6065" s="58" t="s">
        <v>6637</v>
      </c>
      <c r="B6065" s="59">
        <v>1904.87</v>
      </c>
      <c r="C6065" s="59">
        <v>2899</v>
      </c>
      <c r="D6065" s="59" t="s">
        <v>803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ht="15.2" spans="1:10">
      <c r="A6066" s="58" t="s">
        <v>6638</v>
      </c>
      <c r="B6066" s="59">
        <v>769</v>
      </c>
      <c r="C6066" s="59">
        <v>1825</v>
      </c>
      <c r="D6066" s="59" t="s">
        <v>801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1076.6</v>
      </c>
      <c r="J6066" s="60">
        <f t="shared" si="285"/>
        <v>2555</v>
      </c>
    </row>
    <row r="6067" ht="15.2" spans="1:10">
      <c r="A6067" s="58" t="s">
        <v>6639</v>
      </c>
      <c r="B6067" s="59">
        <v>4249.39</v>
      </c>
      <c r="C6067" s="59">
        <v>6999</v>
      </c>
      <c r="D6067" s="59" t="s">
        <v>803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</v>
      </c>
      <c r="J6067" s="60">
        <f t="shared" si="285"/>
        <v>13998</v>
      </c>
    </row>
    <row r="6068" ht="15.2" spans="1:10">
      <c r="A6068" s="58" t="s">
        <v>6640</v>
      </c>
      <c r="B6068" s="59">
        <v>1313.5</v>
      </c>
      <c r="C6068" s="59">
        <v>1999</v>
      </c>
      <c r="D6068" s="59" t="s">
        <v>803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ht="15.2" spans="1:10">
      <c r="A6069" s="58" t="s">
        <v>6641</v>
      </c>
      <c r="B6069" s="59">
        <v>0</v>
      </c>
      <c r="C6069" s="59">
        <v>0</v>
      </c>
      <c r="D6069" s="59" t="s">
        <v>815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ht="15.2" spans="1:10">
      <c r="A6070" s="58" t="s">
        <v>6642</v>
      </c>
      <c r="B6070" s="59">
        <v>1182.09</v>
      </c>
      <c r="C6070" s="59">
        <v>1799</v>
      </c>
      <c r="D6070" s="59" t="s">
        <v>803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ht="15.2" spans="1:10">
      <c r="A6071" s="58" t="s">
        <v>6643</v>
      </c>
      <c r="B6071" s="59">
        <v>1576.34</v>
      </c>
      <c r="C6071" s="59">
        <v>2399</v>
      </c>
      <c r="D6071" s="59" t="s">
        <v>803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ht="15.2" spans="1:10">
      <c r="A6072" s="58" t="s">
        <v>6644</v>
      </c>
      <c r="B6072" s="59">
        <v>589</v>
      </c>
      <c r="C6072" s="59">
        <v>1485</v>
      </c>
      <c r="D6072" s="59" t="s">
        <v>801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</v>
      </c>
      <c r="J6072" s="60">
        <f t="shared" si="285"/>
        <v>2747.25</v>
      </c>
    </row>
    <row r="6073" ht="15.2" spans="1:10">
      <c r="A6073" s="58" t="s">
        <v>6645</v>
      </c>
      <c r="B6073" s="59">
        <v>1444.92</v>
      </c>
      <c r="C6073" s="59">
        <v>2199</v>
      </c>
      <c r="D6073" s="59" t="s">
        <v>803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ht="15.2" spans="1:10">
      <c r="A6074" s="58" t="s">
        <v>6646</v>
      </c>
      <c r="B6074" s="59">
        <v>354</v>
      </c>
      <c r="C6074" s="59">
        <v>825</v>
      </c>
      <c r="D6074" s="59" t="s">
        <v>801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ht="15.2" spans="1:10">
      <c r="A6075" s="58" t="s">
        <v>6647</v>
      </c>
      <c r="B6075" s="59">
        <v>656.42</v>
      </c>
      <c r="C6075" s="59">
        <v>999</v>
      </c>
      <c r="D6075" s="59" t="s">
        <v>803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ht="15.2" spans="1:10">
      <c r="A6076" s="58" t="s">
        <v>6648</v>
      </c>
      <c r="B6076" s="59">
        <v>1313.5</v>
      </c>
      <c r="C6076" s="59">
        <v>1999</v>
      </c>
      <c r="D6076" s="59" t="s">
        <v>803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ht="15.2" spans="1:10">
      <c r="A6077" s="58" t="s">
        <v>6649</v>
      </c>
      <c r="B6077" s="59">
        <v>656.42</v>
      </c>
      <c r="C6077" s="59">
        <v>999</v>
      </c>
      <c r="D6077" s="59" t="s">
        <v>803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ht="15.2" spans="1:10">
      <c r="A6078" s="58" t="s">
        <v>6650</v>
      </c>
      <c r="B6078" s="59">
        <v>389</v>
      </c>
      <c r="C6078" s="59">
        <v>817</v>
      </c>
      <c r="D6078" s="59" t="s">
        <v>801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ht="15.2" spans="1:10">
      <c r="A6079" s="58" t="s">
        <v>6651</v>
      </c>
      <c r="B6079" s="59">
        <v>722.13</v>
      </c>
      <c r="C6079" s="59">
        <v>1099</v>
      </c>
      <c r="D6079" s="59" t="s">
        <v>803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ht="15.2" spans="1:10">
      <c r="A6080" s="58" t="s">
        <v>6652</v>
      </c>
      <c r="B6080" s="59">
        <v>3831</v>
      </c>
      <c r="C6080" s="59">
        <v>7661</v>
      </c>
      <c r="D6080" s="59" t="s">
        <v>801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ht="15.2" spans="1:10">
      <c r="A6081" s="58" t="s">
        <v>6653</v>
      </c>
      <c r="B6081" s="59">
        <v>656.42</v>
      </c>
      <c r="C6081" s="59">
        <v>999</v>
      </c>
      <c r="D6081" s="59" t="s">
        <v>803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ht="15.2" spans="1:10">
      <c r="A6082" s="58" t="s">
        <v>6654</v>
      </c>
      <c r="B6082" s="59">
        <v>1738.7</v>
      </c>
      <c r="C6082" s="59">
        <v>2699</v>
      </c>
      <c r="D6082" s="59" t="s">
        <v>803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ht="15.2" spans="1:10">
      <c r="A6083" s="58" t="s">
        <v>6655</v>
      </c>
      <c r="B6083" s="59">
        <v>1577.96</v>
      </c>
      <c r="C6083" s="59">
        <v>2599</v>
      </c>
      <c r="D6083" s="59" t="s">
        <v>803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ht="15.2" spans="1:10">
      <c r="A6084" s="58" t="s">
        <v>6656</v>
      </c>
      <c r="B6084" s="59">
        <v>367</v>
      </c>
      <c r="C6084" s="59">
        <v>830</v>
      </c>
      <c r="D6084" s="59" t="s">
        <v>801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ht="15.2" spans="1:10">
      <c r="A6085" s="58" t="s">
        <v>6657</v>
      </c>
      <c r="B6085" s="59">
        <v>970.82</v>
      </c>
      <c r="C6085" s="59">
        <v>1599</v>
      </c>
      <c r="D6085" s="59" t="s">
        <v>803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ht="15.2" spans="1:10">
      <c r="A6086" s="58" t="s">
        <v>6658</v>
      </c>
      <c r="B6086" s="59">
        <v>1092.25</v>
      </c>
      <c r="C6086" s="59">
        <v>1799</v>
      </c>
      <c r="D6086" s="59" t="s">
        <v>803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ht="15.2" spans="1:10">
      <c r="A6087" s="58" t="s">
        <v>6659</v>
      </c>
      <c r="B6087" s="59">
        <v>517.45</v>
      </c>
      <c r="C6087" s="59">
        <v>799</v>
      </c>
      <c r="D6087" s="59" t="s">
        <v>803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</v>
      </c>
      <c r="J6087" s="60">
        <f t="shared" si="288"/>
        <v>799</v>
      </c>
    </row>
    <row r="6088" ht="15.2" spans="1:10">
      <c r="A6088" s="58" t="s">
        <v>6660</v>
      </c>
      <c r="B6088" s="59">
        <v>1395.82</v>
      </c>
      <c r="C6088" s="59">
        <v>2299</v>
      </c>
      <c r="D6088" s="59" t="s">
        <v>803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ht="15.2" spans="1:10">
      <c r="A6089" s="58" t="s">
        <v>6661</v>
      </c>
      <c r="B6089" s="59">
        <v>2651.2</v>
      </c>
      <c r="C6089" s="59">
        <v>4499</v>
      </c>
      <c r="D6089" s="59" t="s">
        <v>803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ht="15.2" spans="1:10">
      <c r="A6090" s="58" t="s">
        <v>6662</v>
      </c>
      <c r="B6090" s="59">
        <v>1177.98</v>
      </c>
      <c r="C6090" s="59">
        <v>1999</v>
      </c>
      <c r="D6090" s="59" t="s">
        <v>803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ht="15.2" spans="1:10">
      <c r="A6091" s="58" t="s">
        <v>6663</v>
      </c>
      <c r="B6091" s="59">
        <v>1213.68</v>
      </c>
      <c r="C6091" s="59">
        <v>1999</v>
      </c>
      <c r="D6091" s="59" t="s">
        <v>803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ht="15.2" spans="1:10">
      <c r="A6092" s="58" t="s">
        <v>6664</v>
      </c>
      <c r="B6092" s="59">
        <v>1274.4</v>
      </c>
      <c r="C6092" s="59">
        <v>2099</v>
      </c>
      <c r="D6092" s="59" t="s">
        <v>803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</v>
      </c>
      <c r="J6092" s="60">
        <f t="shared" si="288"/>
        <v>2099</v>
      </c>
    </row>
    <row r="6093" ht="15.2" spans="1:10">
      <c r="A6093" s="58" t="s">
        <v>6665</v>
      </c>
      <c r="B6093" s="59">
        <v>1177.98</v>
      </c>
      <c r="C6093" s="59">
        <v>1999</v>
      </c>
      <c r="D6093" s="59" t="s">
        <v>803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ht="15.2" spans="1:10">
      <c r="A6094" s="58" t="s">
        <v>6666</v>
      </c>
      <c r="B6094" s="59">
        <v>419</v>
      </c>
      <c r="C6094" s="59">
        <v>1057</v>
      </c>
      <c r="D6094" s="59" t="s">
        <v>801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586.6</v>
      </c>
      <c r="J6094" s="60">
        <f t="shared" si="288"/>
        <v>1479.8</v>
      </c>
    </row>
    <row r="6095" ht="15.2" spans="1:10">
      <c r="A6095" s="58" t="s">
        <v>6667</v>
      </c>
      <c r="B6095" s="59">
        <v>1456.54</v>
      </c>
      <c r="C6095" s="59">
        <v>2399</v>
      </c>
      <c r="D6095" s="59" t="s">
        <v>803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ht="15.2" spans="1:10">
      <c r="A6096" s="58" t="s">
        <v>19</v>
      </c>
      <c r="B6096" s="59">
        <v>299</v>
      </c>
      <c r="C6096" s="59">
        <v>660</v>
      </c>
      <c r="D6096" s="59" t="s">
        <v>801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</v>
      </c>
      <c r="J6096" s="60">
        <f t="shared" si="288"/>
        <v>7788</v>
      </c>
    </row>
    <row r="6097" ht="15.2" spans="1:10">
      <c r="A6097" s="58" t="s">
        <v>6668</v>
      </c>
      <c r="B6097" s="59">
        <v>290.78</v>
      </c>
      <c r="C6097" s="59">
        <v>449</v>
      </c>
      <c r="D6097" s="59" t="s">
        <v>803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290.78</v>
      </c>
      <c r="J6097" s="60">
        <f t="shared" si="288"/>
        <v>449</v>
      </c>
    </row>
    <row r="6098" ht="15.2" spans="1:10">
      <c r="A6098" s="58" t="s">
        <v>6669</v>
      </c>
      <c r="B6098" s="59">
        <v>441</v>
      </c>
      <c r="C6098" s="59">
        <v>926</v>
      </c>
      <c r="D6098" s="59" t="s">
        <v>801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ht="15.2" spans="1:10">
      <c r="A6099" s="58" t="s">
        <v>6670</v>
      </c>
      <c r="B6099" s="59">
        <v>1481.02</v>
      </c>
      <c r="C6099" s="59">
        <v>2299</v>
      </c>
      <c r="D6099" s="59" t="s">
        <v>803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ht="15.2" spans="1:10">
      <c r="A6100" s="58" t="s">
        <v>6671</v>
      </c>
      <c r="B6100" s="59">
        <v>965.66</v>
      </c>
      <c r="C6100" s="59">
        <v>1499</v>
      </c>
      <c r="D6100" s="59" t="s">
        <v>803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ht="15.2" spans="1:10">
      <c r="A6101" s="58" t="s">
        <v>6672</v>
      </c>
      <c r="B6101" s="59">
        <v>1092.25</v>
      </c>
      <c r="C6101" s="59">
        <v>1799</v>
      </c>
      <c r="D6101" s="59" t="s">
        <v>803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ht="15.2" spans="1:10">
      <c r="A6102" s="58" t="s">
        <v>6673</v>
      </c>
      <c r="B6102" s="59">
        <v>1456.54</v>
      </c>
      <c r="C6102" s="59">
        <v>2399</v>
      </c>
      <c r="D6102" s="59" t="s">
        <v>803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ht="15.2" spans="1:10">
      <c r="A6103" s="58" t="s">
        <v>6674</v>
      </c>
      <c r="B6103" s="59">
        <v>426</v>
      </c>
      <c r="C6103" s="59">
        <v>871</v>
      </c>
      <c r="D6103" s="59" t="s">
        <v>801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ht="15.2" spans="1:10">
      <c r="A6104" s="58" t="s">
        <v>6675</v>
      </c>
      <c r="B6104" s="59">
        <v>1313.5</v>
      </c>
      <c r="C6104" s="59">
        <v>1999</v>
      </c>
      <c r="D6104" s="59" t="s">
        <v>803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ht="15.2" spans="1:10">
      <c r="A6105" s="58" t="s">
        <v>307</v>
      </c>
      <c r="B6105" s="59">
        <v>350</v>
      </c>
      <c r="C6105" s="59">
        <v>825</v>
      </c>
      <c r="D6105" s="59" t="s">
        <v>801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ht="15.2" spans="1:10">
      <c r="A6106" s="58" t="s">
        <v>6676</v>
      </c>
      <c r="B6106" s="59">
        <v>582.21</v>
      </c>
      <c r="C6106" s="59">
        <v>899</v>
      </c>
      <c r="D6106" s="59" t="s">
        <v>803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ht="15.2" spans="1:10">
      <c r="A6107" s="58" t="s">
        <v>6677</v>
      </c>
      <c r="B6107" s="59">
        <v>1649.41</v>
      </c>
      <c r="C6107" s="59">
        <v>2799</v>
      </c>
      <c r="D6107" s="59" t="s">
        <v>803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ht="15.2" spans="1:10">
      <c r="A6108" s="58" t="s">
        <v>6678</v>
      </c>
      <c r="B6108" s="59">
        <v>1313.5</v>
      </c>
      <c r="C6108" s="59">
        <v>1999</v>
      </c>
      <c r="D6108" s="59" t="s">
        <v>803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ht="15.2" spans="1:10">
      <c r="A6109" s="58" t="s">
        <v>6679</v>
      </c>
      <c r="B6109" s="59">
        <v>1699.4</v>
      </c>
      <c r="C6109" s="59">
        <v>2799</v>
      </c>
      <c r="D6109" s="59" t="s">
        <v>803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ht="15.2" spans="1:10">
      <c r="A6110" s="58" t="s">
        <v>6680</v>
      </c>
      <c r="B6110" s="59">
        <v>351</v>
      </c>
      <c r="C6110" s="59">
        <v>775</v>
      </c>
      <c r="D6110" s="59" t="s">
        <v>801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ht="15.2" spans="1:10">
      <c r="A6111" s="58" t="s">
        <v>6681</v>
      </c>
      <c r="B6111" s="59">
        <v>2367.25</v>
      </c>
      <c r="C6111" s="59">
        <v>3899</v>
      </c>
      <c r="D6111" s="59" t="s">
        <v>803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ht="15.2" spans="1:10">
      <c r="A6112" s="58" t="s">
        <v>6682</v>
      </c>
      <c r="B6112" s="59">
        <v>1213.68</v>
      </c>
      <c r="C6112" s="59">
        <v>1999</v>
      </c>
      <c r="D6112" s="59" t="s">
        <v>803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ht="15.2" spans="1:10">
      <c r="A6113" s="58" t="s">
        <v>6683</v>
      </c>
      <c r="B6113" s="59">
        <v>1456.54</v>
      </c>
      <c r="C6113" s="59">
        <v>2399</v>
      </c>
      <c r="D6113" s="59" t="s">
        <v>803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ht="15.2" spans="1:10">
      <c r="A6114" s="58" t="s">
        <v>6684</v>
      </c>
      <c r="B6114" s="59">
        <v>656.42</v>
      </c>
      <c r="C6114" s="59">
        <v>999</v>
      </c>
      <c r="D6114" s="59" t="s">
        <v>803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ht="15.2" spans="1:10">
      <c r="A6115" s="58" t="s">
        <v>703</v>
      </c>
      <c r="B6115" s="59">
        <v>525</v>
      </c>
      <c r="C6115" s="59">
        <v>1172</v>
      </c>
      <c r="D6115" s="59" t="s">
        <v>801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</v>
      </c>
    </row>
    <row r="6116" ht="15.2" spans="1:10">
      <c r="A6116" s="58" t="s">
        <v>6685</v>
      </c>
      <c r="B6116" s="59">
        <v>1061</v>
      </c>
      <c r="C6116" s="59">
        <v>2397</v>
      </c>
      <c r="D6116" s="59" t="s">
        <v>801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ht="15.2" spans="1:10">
      <c r="A6117" s="58" t="s">
        <v>6686</v>
      </c>
      <c r="B6117" s="59">
        <v>901.24</v>
      </c>
      <c r="C6117" s="59">
        <v>1399</v>
      </c>
      <c r="D6117" s="59" t="s">
        <v>803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ht="15.2" spans="1:10">
      <c r="A6118" s="58" t="s">
        <v>6687</v>
      </c>
      <c r="B6118" s="59">
        <v>599</v>
      </c>
      <c r="C6118" s="59">
        <v>1338</v>
      </c>
      <c r="D6118" s="59" t="s">
        <v>801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ht="15.2" spans="1:10">
      <c r="A6119" s="58" t="s">
        <v>6688</v>
      </c>
      <c r="B6119" s="59">
        <v>225.7</v>
      </c>
      <c r="C6119" s="59">
        <v>683</v>
      </c>
      <c r="D6119" s="59" t="s">
        <v>801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56.425</v>
      </c>
      <c r="J6119" s="60">
        <f t="shared" si="288"/>
        <v>170.75</v>
      </c>
    </row>
    <row r="6120" ht="15.2" spans="1:10">
      <c r="A6120" s="58" t="s">
        <v>6689</v>
      </c>
      <c r="B6120" s="59">
        <v>1738.7</v>
      </c>
      <c r="C6120" s="59">
        <v>2699</v>
      </c>
      <c r="D6120" s="59" t="s">
        <v>803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ht="15.2" spans="1:10">
      <c r="A6121" s="58" t="s">
        <v>6690</v>
      </c>
      <c r="B6121" s="59">
        <v>290.78</v>
      </c>
      <c r="C6121" s="59">
        <v>449</v>
      </c>
      <c r="D6121" s="59" t="s">
        <v>803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290.78</v>
      </c>
      <c r="J6121" s="60">
        <f t="shared" si="288"/>
        <v>449</v>
      </c>
    </row>
    <row r="6122" ht="15.2" spans="1:10">
      <c r="A6122" s="58" t="s">
        <v>6691</v>
      </c>
      <c r="B6122" s="59">
        <v>1287.76</v>
      </c>
      <c r="C6122" s="59">
        <v>1999</v>
      </c>
      <c r="D6122" s="59" t="s">
        <v>803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ht="15.2" spans="1:10">
      <c r="A6123" s="58" t="s">
        <v>6692</v>
      </c>
      <c r="B6123" s="59">
        <v>420</v>
      </c>
      <c r="C6123" s="59">
        <v>1064</v>
      </c>
      <c r="D6123" s="59" t="s">
        <v>801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ht="15.2" spans="1:10">
      <c r="A6124" s="58" t="s">
        <v>6693</v>
      </c>
      <c r="B6124" s="59">
        <v>1335.11</v>
      </c>
      <c r="C6124" s="59">
        <v>2199</v>
      </c>
      <c r="D6124" s="59" t="s">
        <v>803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ht="15.2" spans="1:10">
      <c r="A6125" s="58" t="s">
        <v>6694</v>
      </c>
      <c r="B6125" s="59">
        <v>1274.39</v>
      </c>
      <c r="C6125" s="59">
        <v>2099</v>
      </c>
      <c r="D6125" s="59" t="s">
        <v>803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</v>
      </c>
      <c r="J6125" s="60">
        <f t="shared" si="288"/>
        <v>2099</v>
      </c>
    </row>
    <row r="6126" ht="15.2" spans="1:10">
      <c r="A6126" s="55" t="s">
        <v>740</v>
      </c>
      <c r="B6126" s="61">
        <v>1980</v>
      </c>
      <c r="C6126" s="61">
        <v>3000</v>
      </c>
      <c r="D6126" s="61" t="s">
        <v>803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ht="15.2" spans="1:10">
      <c r="A6127" s="55" t="s">
        <v>741</v>
      </c>
      <c r="B6127" s="61">
        <v>2800</v>
      </c>
      <c r="C6127" s="61">
        <v>1848</v>
      </c>
      <c r="D6127" s="61" t="s">
        <v>803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ht="15.2" spans="1:10">
      <c r="A6128" s="55" t="s">
        <v>743</v>
      </c>
      <c r="B6128" s="61">
        <v>2000</v>
      </c>
      <c r="C6128" s="61">
        <v>1320</v>
      </c>
      <c r="D6128" s="61" t="s">
        <v>803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ht="15.2" spans="1:10">
      <c r="A6129" s="62">
        <v>8904290618681</v>
      </c>
      <c r="B6129" s="63">
        <v>1319.34</v>
      </c>
      <c r="C6129" s="62">
        <v>1999</v>
      </c>
      <c r="D6129" s="64" t="s">
        <v>803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ht="15.2" spans="1:10">
      <c r="A6130" s="62">
        <v>8907538122803</v>
      </c>
      <c r="B6130" s="63">
        <v>4619.34</v>
      </c>
      <c r="C6130" s="62">
        <v>6999</v>
      </c>
      <c r="D6130" s="64" t="s">
        <v>803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ht="15.2" spans="1:10">
      <c r="A6131" s="62">
        <v>8907538824738</v>
      </c>
      <c r="B6131" s="63">
        <v>1847.34</v>
      </c>
      <c r="C6131" s="62">
        <v>2799</v>
      </c>
      <c r="D6131" s="64" t="s">
        <v>803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ht="15.2" spans="1:10">
      <c r="A6132" s="62">
        <v>8904290618278</v>
      </c>
      <c r="B6132" s="63">
        <v>1385.34</v>
      </c>
      <c r="C6132" s="62">
        <v>2099</v>
      </c>
      <c r="D6132" s="64" t="s">
        <v>803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ht="15.2" spans="1:10">
      <c r="A6133" s="62">
        <v>8907538819550</v>
      </c>
      <c r="B6133" s="63">
        <v>1583.34</v>
      </c>
      <c r="C6133" s="62">
        <v>2399</v>
      </c>
      <c r="D6133" s="64" t="s">
        <v>803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ht="15.2" spans="1:10">
      <c r="A6134" s="62">
        <v>8907538825797</v>
      </c>
      <c r="B6134" s="63">
        <v>1847.34</v>
      </c>
      <c r="C6134" s="62">
        <v>2799</v>
      </c>
      <c r="D6134" s="64" t="s">
        <v>803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ht="15.2" spans="1:10">
      <c r="A6135" s="62">
        <v>510000000472</v>
      </c>
      <c r="B6135" s="63">
        <v>1177.98</v>
      </c>
      <c r="C6135" s="62">
        <v>1999</v>
      </c>
      <c r="D6135" s="64" t="s">
        <v>803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ht="15.2" spans="1:10">
      <c r="A6136" s="62">
        <v>8904290607074</v>
      </c>
      <c r="B6136" s="63">
        <v>1451.34</v>
      </c>
      <c r="C6136" s="62">
        <v>2199</v>
      </c>
      <c r="D6136" s="64" t="s">
        <v>803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ht="15.2" spans="1:10">
      <c r="A6137" s="62">
        <v>8904290618490</v>
      </c>
      <c r="B6137" s="63">
        <v>1517.34</v>
      </c>
      <c r="C6137" s="62">
        <v>2299</v>
      </c>
      <c r="D6137" s="64" t="s">
        <v>803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ht="15.2" spans="1:10">
      <c r="A6138" s="62">
        <v>8904290610098</v>
      </c>
      <c r="B6138" s="63">
        <v>1517.34</v>
      </c>
      <c r="C6138" s="62">
        <v>2299</v>
      </c>
      <c r="D6138" s="64" t="s">
        <v>803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ht="15.2" spans="1:10">
      <c r="A6139" s="62">
        <v>8907378983435</v>
      </c>
      <c r="B6139" s="63">
        <v>296.34</v>
      </c>
      <c r="C6139" s="62">
        <v>449</v>
      </c>
      <c r="D6139" s="64" t="s">
        <v>803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ht="15.2" spans="1:10">
      <c r="A6140" s="62" t="s">
        <v>136</v>
      </c>
      <c r="B6140" s="63"/>
      <c r="C6140" s="63">
        <v>719.7</v>
      </c>
      <c r="D6140" s="64" t="s">
        <v>803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ht="15.2" spans="1:10">
      <c r="A6141" s="62">
        <v>8907378973320</v>
      </c>
      <c r="B6141" s="63">
        <v>2111.34</v>
      </c>
      <c r="C6141" s="62">
        <v>3199</v>
      </c>
      <c r="D6141" s="64" t="s">
        <v>803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ht="15.2" spans="1:10">
      <c r="A6142" s="62">
        <v>8907538491664</v>
      </c>
      <c r="B6142" s="63">
        <v>1715.34</v>
      </c>
      <c r="C6142" s="62">
        <v>2599</v>
      </c>
      <c r="D6142" s="64" t="s">
        <v>803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ht="15.2" spans="1:10">
      <c r="A6143" s="62">
        <v>8907686379067</v>
      </c>
      <c r="B6143" s="63">
        <v>1517.34</v>
      </c>
      <c r="C6143" s="62">
        <v>2299</v>
      </c>
      <c r="D6143" s="64" t="s">
        <v>803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ht="15.2" spans="1:10">
      <c r="A6144" s="62">
        <v>8903952887557</v>
      </c>
      <c r="B6144" s="63">
        <v>1451.34</v>
      </c>
      <c r="C6144" s="62">
        <v>2199</v>
      </c>
      <c r="D6144" s="64" t="s">
        <v>803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ht="15.2" spans="1:10">
      <c r="A6145" s="62">
        <v>8907378032546</v>
      </c>
      <c r="B6145" s="63">
        <v>296.34</v>
      </c>
      <c r="C6145" s="62">
        <v>449</v>
      </c>
      <c r="D6145" s="64" t="s">
        <v>803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ht="15.2" spans="1:10">
      <c r="A6146" s="62">
        <v>8904290618124</v>
      </c>
      <c r="B6146" s="63">
        <v>1451.34</v>
      </c>
      <c r="C6146" s="62">
        <v>2199</v>
      </c>
      <c r="D6146" s="64" t="s">
        <v>803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ht="15.2" spans="1:10">
      <c r="A6147" s="62">
        <v>8907259480787</v>
      </c>
      <c r="B6147" s="63">
        <v>1319.34</v>
      </c>
      <c r="C6147" s="62">
        <v>1999</v>
      </c>
      <c r="D6147" s="64" t="s">
        <v>803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ht="15.2" spans="1:10">
      <c r="A6148" s="62">
        <v>8904290618902</v>
      </c>
      <c r="B6148" s="63">
        <v>1649.34</v>
      </c>
      <c r="C6148" s="62">
        <v>2499</v>
      </c>
      <c r="D6148" s="64" t="s">
        <v>803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ht="15.2" spans="1:10">
      <c r="A6149" s="62">
        <v>8904290614140</v>
      </c>
      <c r="B6149" s="63">
        <v>1253.34</v>
      </c>
      <c r="C6149" s="62">
        <v>1899</v>
      </c>
      <c r="D6149" s="64" t="s">
        <v>803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ht="15.2" spans="1:10">
      <c r="A6150" s="62">
        <v>8904290618971</v>
      </c>
      <c r="B6150" s="63">
        <v>1649.34</v>
      </c>
      <c r="C6150" s="62">
        <v>2499</v>
      </c>
      <c r="D6150" s="64" t="s">
        <v>803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ht="15.2" spans="1:10">
      <c r="A6151" s="62">
        <v>8907686294506</v>
      </c>
      <c r="B6151" s="63">
        <v>659.34</v>
      </c>
      <c r="C6151" s="62">
        <v>999</v>
      </c>
      <c r="D6151" s="64" t="s">
        <v>803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ht="15.2" spans="1:10">
      <c r="A6152" s="62">
        <v>8907686293875</v>
      </c>
      <c r="B6152" s="63">
        <v>593.34</v>
      </c>
      <c r="C6152" s="62">
        <v>899</v>
      </c>
      <c r="D6152" s="64" t="s">
        <v>803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ht="15.2" spans="1:10">
      <c r="A6153" s="62">
        <v>8907686093412</v>
      </c>
      <c r="B6153" s="63">
        <v>1980</v>
      </c>
      <c r="C6153" s="62">
        <v>3000</v>
      </c>
      <c r="D6153" s="64" t="s">
        <v>803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ht="15.2" spans="1:10">
      <c r="A6154" s="62">
        <v>8907538570536</v>
      </c>
      <c r="B6154" s="63">
        <v>1517.34</v>
      </c>
      <c r="C6154" s="62">
        <v>2299</v>
      </c>
      <c r="D6154" s="64" t="s">
        <v>803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ht="15.2" spans="1:10">
      <c r="A6155" s="62">
        <v>8907686774329</v>
      </c>
      <c r="B6155" s="63">
        <v>1055.34</v>
      </c>
      <c r="C6155" s="62">
        <v>1599</v>
      </c>
      <c r="D6155" s="64" t="s">
        <v>803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ht="15.2" spans="1:10">
      <c r="A6156" s="62">
        <v>8907378928078</v>
      </c>
      <c r="B6156" s="63">
        <v>659.34</v>
      </c>
      <c r="C6156" s="62">
        <v>999</v>
      </c>
      <c r="D6156" s="64" t="s">
        <v>803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ht="15.2" spans="1:10">
      <c r="A6157" s="62">
        <v>8907686263229</v>
      </c>
      <c r="B6157" s="63">
        <v>857.34</v>
      </c>
      <c r="C6157" s="62">
        <v>1299</v>
      </c>
      <c r="D6157" s="64" t="s">
        <v>803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ht="15.2" spans="1:10">
      <c r="A6158" s="62">
        <v>8907538651952</v>
      </c>
      <c r="B6158" s="63">
        <v>231</v>
      </c>
      <c r="C6158" s="62">
        <v>350</v>
      </c>
      <c r="D6158" s="64" t="s">
        <v>803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ht="15.2" spans="1:10">
      <c r="A6159" s="62">
        <v>8907378032478</v>
      </c>
      <c r="B6159" s="63">
        <v>263.34</v>
      </c>
      <c r="C6159" s="62">
        <v>399</v>
      </c>
      <c r="D6159" s="64" t="s">
        <v>803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ht="15.2" spans="1:10">
      <c r="A6160" s="62">
        <v>8904290618667</v>
      </c>
      <c r="B6160" s="63">
        <v>1319.34</v>
      </c>
      <c r="C6160" s="62">
        <v>1999</v>
      </c>
      <c r="D6160" s="64" t="s">
        <v>803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ht="15.2" spans="1:10">
      <c r="A6161" s="62">
        <v>8907686774916</v>
      </c>
      <c r="B6161" s="63">
        <v>989.34</v>
      </c>
      <c r="C6161" s="62">
        <v>1499</v>
      </c>
      <c r="D6161" s="64" t="s">
        <v>803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ht="15.2" spans="1:10">
      <c r="A6162" s="62">
        <v>8907686294513</v>
      </c>
      <c r="B6162" s="63">
        <v>659.34</v>
      </c>
      <c r="C6162" s="62">
        <v>999</v>
      </c>
      <c r="D6162" s="64" t="s">
        <v>803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ht="15.2" spans="1:10">
      <c r="A6163" s="62">
        <v>8904290623715</v>
      </c>
      <c r="B6163" s="63">
        <v>1187.34</v>
      </c>
      <c r="C6163" s="62">
        <v>1799</v>
      </c>
      <c r="D6163" s="64" t="s">
        <v>803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ht="15.2" spans="1:10">
      <c r="A6164" s="62">
        <v>8907538592989</v>
      </c>
      <c r="B6164" s="63">
        <v>1517.34</v>
      </c>
      <c r="C6164" s="62">
        <v>2299</v>
      </c>
      <c r="D6164" s="64" t="s">
        <v>803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ht="15.2" spans="1:10">
      <c r="A6165" s="62">
        <v>8904290606497</v>
      </c>
      <c r="B6165" s="63">
        <v>2309.34</v>
      </c>
      <c r="C6165" s="62">
        <v>3499</v>
      </c>
      <c r="D6165" s="64" t="s">
        <v>803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ht="15.2" spans="1:10">
      <c r="A6166" s="62" t="s">
        <v>170</v>
      </c>
      <c r="B6166" s="63">
        <v>547.4</v>
      </c>
      <c r="C6166" s="62">
        <v>1610</v>
      </c>
      <c r="D6166" s="64" t="s">
        <v>801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ht="15.2" spans="1:10">
      <c r="A6167" s="62">
        <v>8907686837703</v>
      </c>
      <c r="B6167" s="63">
        <v>1517.34</v>
      </c>
      <c r="C6167" s="62">
        <v>2299</v>
      </c>
      <c r="D6167" s="64" t="s">
        <v>803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ht="15.2" spans="1:10">
      <c r="A6168" s="62">
        <v>8907538730930</v>
      </c>
      <c r="B6168" s="63">
        <v>1319.34</v>
      </c>
      <c r="C6168" s="62">
        <v>1999</v>
      </c>
      <c r="D6168" s="64" t="s">
        <v>803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ht="15.2" spans="1:10">
      <c r="A6169" s="62">
        <v>8907259344362</v>
      </c>
      <c r="B6169" s="63">
        <v>2375.34</v>
      </c>
      <c r="C6169" s="62">
        <v>3599</v>
      </c>
      <c r="D6169" s="64" t="s">
        <v>803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ht="15.2" spans="1:10">
      <c r="A6170" s="62">
        <v>8907538637697</v>
      </c>
      <c r="B6170" s="63">
        <v>1121.34</v>
      </c>
      <c r="C6170" s="62">
        <v>1699</v>
      </c>
      <c r="D6170" s="64" t="s">
        <v>803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ht="15.2" spans="1:10">
      <c r="A6171" s="62">
        <v>8907538825636</v>
      </c>
      <c r="B6171" s="63">
        <v>1847.34</v>
      </c>
      <c r="C6171" s="62">
        <v>2799</v>
      </c>
      <c r="D6171" s="64" t="s">
        <v>803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ht="15.2" spans="1:10">
      <c r="A6172" s="62">
        <v>8904290622770</v>
      </c>
      <c r="B6172" s="63">
        <v>6599.34</v>
      </c>
      <c r="C6172" s="62">
        <v>9999</v>
      </c>
      <c r="D6172" s="64" t="s">
        <v>803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ht="15.2" spans="1:10">
      <c r="A6173" s="62">
        <v>8907259790411</v>
      </c>
      <c r="B6173" s="63">
        <v>1517.34</v>
      </c>
      <c r="C6173" s="62">
        <v>2299</v>
      </c>
      <c r="D6173" s="64" t="s">
        <v>803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ht="15.2" spans="1:10">
      <c r="A6174" s="62">
        <v>8904290614805</v>
      </c>
      <c r="B6174" s="63">
        <v>1385.34</v>
      </c>
      <c r="C6174" s="62">
        <v>2099</v>
      </c>
      <c r="D6174" s="64" t="s">
        <v>803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ht="15.2" spans="1:10">
      <c r="A6175" s="62">
        <v>8904290611774</v>
      </c>
      <c r="B6175" s="63">
        <v>1847.34</v>
      </c>
      <c r="C6175" s="62">
        <v>2799</v>
      </c>
      <c r="D6175" s="64" t="s">
        <v>803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ht="15.2" spans="1:10">
      <c r="A6176" s="62" t="s">
        <v>71</v>
      </c>
      <c r="B6176" s="63">
        <v>589</v>
      </c>
      <c r="C6176" s="62">
        <v>1540</v>
      </c>
      <c r="D6176" s="64" t="s">
        <v>801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ht="15.2" spans="1:10">
      <c r="A6177" s="62" t="s">
        <v>198</v>
      </c>
      <c r="B6177" s="63">
        <v>1319.34</v>
      </c>
      <c r="C6177" s="62">
        <v>1999</v>
      </c>
      <c r="D6177" s="64" t="s">
        <v>803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ht="15.2" spans="1:10">
      <c r="A6178" s="62">
        <v>8902036516512</v>
      </c>
      <c r="B6178" s="63">
        <v>1055.34</v>
      </c>
      <c r="C6178" s="62">
        <v>1599</v>
      </c>
      <c r="D6178" s="64" t="s">
        <v>803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ht="15.2" spans="1:10">
      <c r="A6179" s="62">
        <v>8904290618902</v>
      </c>
      <c r="B6179" s="63">
        <v>1649.34</v>
      </c>
      <c r="C6179" s="62">
        <v>2499</v>
      </c>
      <c r="D6179" s="64" t="s">
        <v>803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ht="15.2" spans="1:10">
      <c r="A6180" s="62">
        <v>8907538825544</v>
      </c>
      <c r="B6180" s="63">
        <v>1583.34</v>
      </c>
      <c r="C6180" s="62">
        <v>2399</v>
      </c>
      <c r="D6180" s="64" t="s">
        <v>803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ht="15.2" spans="1:10">
      <c r="A6181" s="62">
        <v>8907538619754</v>
      </c>
      <c r="B6181" s="63">
        <v>1187.34</v>
      </c>
      <c r="C6181" s="62">
        <v>1799</v>
      </c>
      <c r="D6181" s="64" t="s">
        <v>803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ht="15.2" spans="1:10">
      <c r="A6182" s="62">
        <v>8907538620316</v>
      </c>
      <c r="B6182" s="63">
        <v>1187.34</v>
      </c>
      <c r="C6182" s="62">
        <v>1799</v>
      </c>
      <c r="D6182" s="64" t="s">
        <v>803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ht="15.2" spans="1:10">
      <c r="A6183" s="62">
        <v>8904290614041</v>
      </c>
      <c r="B6183" s="63">
        <v>1253.34</v>
      </c>
      <c r="C6183" s="62">
        <v>1899</v>
      </c>
      <c r="D6183" s="64" t="s">
        <v>803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ht="15.2" spans="1:10">
      <c r="A6184" s="62">
        <v>8907686325842</v>
      </c>
      <c r="B6184" s="63">
        <v>1319.34</v>
      </c>
      <c r="C6184" s="62">
        <v>1999</v>
      </c>
      <c r="D6184" s="64" t="s">
        <v>803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ht="15.2" spans="1:10">
      <c r="A6185" s="62">
        <v>8907378981394</v>
      </c>
      <c r="B6185" s="63">
        <v>461.34</v>
      </c>
      <c r="C6185" s="62">
        <v>699</v>
      </c>
      <c r="D6185" s="64" t="s">
        <v>803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ht="15.2" spans="1:10">
      <c r="A6186" s="62">
        <v>8907538651600</v>
      </c>
      <c r="B6186" s="63">
        <v>659.34</v>
      </c>
      <c r="C6186" s="62">
        <v>999</v>
      </c>
      <c r="D6186" s="64" t="s">
        <v>803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ht="15.2" spans="1:10">
      <c r="A6187" s="62">
        <v>8904290615772</v>
      </c>
      <c r="B6187" s="63">
        <v>1319.34</v>
      </c>
      <c r="C6187" s="62">
        <v>1999</v>
      </c>
      <c r="D6187" s="64" t="s">
        <v>803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ht="15.2" spans="1:10">
      <c r="A6188" s="62">
        <v>8904290615956</v>
      </c>
      <c r="B6188" s="63">
        <v>1517.34</v>
      </c>
      <c r="C6188" s="62">
        <v>2299</v>
      </c>
      <c r="D6188" s="64" t="s">
        <v>803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ht="15.2" spans="1:10">
      <c r="A6189" s="62">
        <v>8904290618445</v>
      </c>
      <c r="B6189" s="63">
        <v>1385.34</v>
      </c>
      <c r="C6189" s="62">
        <v>2099</v>
      </c>
      <c r="D6189" s="64" t="s">
        <v>803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ht="15.2" spans="1:10">
      <c r="A6190" s="62">
        <v>8904290618360</v>
      </c>
      <c r="B6190" s="63">
        <v>1385.34</v>
      </c>
      <c r="C6190" s="62">
        <v>2099</v>
      </c>
      <c r="D6190" s="64" t="s">
        <v>803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ht="15.2" spans="1:10">
      <c r="A6191" s="62">
        <v>8907036564648</v>
      </c>
      <c r="B6191" s="63">
        <v>923.34</v>
      </c>
      <c r="C6191" s="62">
        <v>1399</v>
      </c>
      <c r="D6191" s="64" t="s">
        <v>803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ht="15.2" spans="1:10">
      <c r="A6192" s="62">
        <v>8907686312453</v>
      </c>
      <c r="B6192" s="63">
        <v>923.34</v>
      </c>
      <c r="C6192" s="62">
        <v>1399</v>
      </c>
      <c r="D6192" s="64" t="s">
        <v>803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ht="15.2" spans="1:10">
      <c r="A6193" s="62">
        <v>8904290614218</v>
      </c>
      <c r="B6193" s="63">
        <v>1253.34</v>
      </c>
      <c r="C6193" s="62">
        <v>1899</v>
      </c>
      <c r="D6193" s="64" t="s">
        <v>803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ht="15.2" spans="1:10">
      <c r="A6194" s="62">
        <v>8904290606718</v>
      </c>
      <c r="B6194" s="63">
        <v>1253.34</v>
      </c>
      <c r="C6194" s="62">
        <v>1899</v>
      </c>
      <c r="D6194" s="64" t="s">
        <v>803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ht="15.2" spans="1:10">
      <c r="A6195" s="62">
        <v>8904290609603</v>
      </c>
      <c r="B6195" s="63">
        <v>1319.34</v>
      </c>
      <c r="C6195" s="62">
        <v>1999</v>
      </c>
      <c r="D6195" s="64" t="s">
        <v>803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ht="15.2" spans="1:10">
      <c r="A6196" s="62">
        <v>8904290622831</v>
      </c>
      <c r="B6196" s="63">
        <v>6599.34</v>
      </c>
      <c r="C6196" s="62">
        <v>9999</v>
      </c>
      <c r="D6196" s="64" t="s">
        <v>803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ht="15.2" spans="1:10">
      <c r="A6197" s="62">
        <v>8904290601010</v>
      </c>
      <c r="B6197" s="63">
        <v>1319.34</v>
      </c>
      <c r="C6197" s="62">
        <v>1999</v>
      </c>
      <c r="D6197" s="64" t="s">
        <v>803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ht="15.2" spans="1:10">
      <c r="A6198" s="62">
        <v>8907538213792</v>
      </c>
      <c r="B6198" s="63">
        <v>1187.34</v>
      </c>
      <c r="C6198" s="62">
        <v>1799</v>
      </c>
      <c r="D6198" s="64" t="s">
        <v>803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ht="15.2" spans="1:10">
      <c r="A6199" s="62">
        <v>8904290618285</v>
      </c>
      <c r="B6199" s="63">
        <v>1385.34</v>
      </c>
      <c r="C6199" s="62">
        <v>2099</v>
      </c>
      <c r="D6199" s="64" t="s">
        <v>803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ht="15.2" spans="1:10">
      <c r="A6200" s="62">
        <v>2700324</v>
      </c>
      <c r="B6200" s="63">
        <v>340.8</v>
      </c>
      <c r="C6200" s="62">
        <v>570</v>
      </c>
      <c r="D6200" s="64" t="s">
        <v>801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ht="15.2" spans="1:10">
      <c r="A6201" s="62">
        <v>8907036564273</v>
      </c>
      <c r="B6201" s="63">
        <v>923.34</v>
      </c>
      <c r="C6201" s="62">
        <v>1399</v>
      </c>
      <c r="D6201" s="64" t="s">
        <v>803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ht="15.2" spans="1:10">
      <c r="A6202" s="62">
        <v>8907687168783</v>
      </c>
      <c r="B6202" s="63">
        <v>989.34</v>
      </c>
      <c r="C6202" s="62">
        <v>1499</v>
      </c>
      <c r="D6202" s="64" t="s">
        <v>803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ht="15.2" spans="1:10">
      <c r="A6203" s="62">
        <v>8907686809663</v>
      </c>
      <c r="B6203" s="63">
        <v>989.34</v>
      </c>
      <c r="C6203" s="62">
        <v>1499</v>
      </c>
      <c r="D6203" s="64" t="s">
        <v>803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ht="15.2" spans="1:10">
      <c r="A6204" s="62">
        <v>8907686285672</v>
      </c>
      <c r="B6204" s="63">
        <v>857.34</v>
      </c>
      <c r="C6204" s="62">
        <v>1299</v>
      </c>
      <c r="D6204" s="64" t="s">
        <v>803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ht="15.2" spans="1:10">
      <c r="A6205" s="62">
        <v>8904290616434</v>
      </c>
      <c r="B6205" s="63">
        <v>1517.34</v>
      </c>
      <c r="C6205" s="62">
        <v>2299</v>
      </c>
      <c r="D6205" s="64" t="s">
        <v>803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ht="15.2" spans="1:10">
      <c r="A6206" s="62">
        <v>8904290618674</v>
      </c>
      <c r="B6206" s="63">
        <v>1319.34</v>
      </c>
      <c r="C6206" s="62">
        <v>1999</v>
      </c>
      <c r="D6206" s="64" t="s">
        <v>803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ht="15.2" spans="1:10">
      <c r="A6207" s="62">
        <v>8907259333663</v>
      </c>
      <c r="B6207" s="63">
        <v>3959.34</v>
      </c>
      <c r="C6207" s="62">
        <v>5999</v>
      </c>
      <c r="D6207" s="64" t="s">
        <v>803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ht="15.2" spans="1:10">
      <c r="A6208" s="62">
        <v>8904290619008</v>
      </c>
      <c r="B6208" s="63">
        <v>1649.34</v>
      </c>
      <c r="C6208" s="62">
        <v>2499</v>
      </c>
      <c r="D6208" s="64" t="s">
        <v>803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ht="15.2" spans="1:10">
      <c r="A6209" s="62">
        <v>8907036702514</v>
      </c>
      <c r="B6209" s="63">
        <v>1187.34</v>
      </c>
      <c r="C6209" s="62">
        <v>1799</v>
      </c>
      <c r="D6209" s="64" t="s">
        <v>803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ht="15.2" spans="1:10">
      <c r="A6210" s="62">
        <v>8907538495099</v>
      </c>
      <c r="B6210" s="63">
        <v>2045.34</v>
      </c>
      <c r="C6210" s="62">
        <v>3099</v>
      </c>
      <c r="D6210" s="64" t="s">
        <v>803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ht="15.2" spans="1:10">
      <c r="A6211" s="62">
        <v>8904290606749</v>
      </c>
      <c r="B6211" s="63">
        <v>1119.05</v>
      </c>
      <c r="C6211" s="62">
        <v>3798</v>
      </c>
      <c r="D6211" s="64" t="s">
        <v>803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ht="15.2" spans="1:10">
      <c r="A6212" s="62">
        <v>8907538563613</v>
      </c>
      <c r="B6212" s="63">
        <v>2002.96</v>
      </c>
      <c r="C6212" s="62">
        <v>3299</v>
      </c>
      <c r="D6212" s="64" t="s">
        <v>803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ht="15.2" spans="1:10">
      <c r="A6213" s="62">
        <v>8907259475585</v>
      </c>
      <c r="B6213" s="63">
        <v>280.5</v>
      </c>
      <c r="C6213" s="62">
        <v>425</v>
      </c>
      <c r="D6213" s="64" t="s">
        <v>803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ht="15.2" spans="1:10">
      <c r="A6214" s="62">
        <v>8907259613390</v>
      </c>
      <c r="B6214" s="63">
        <v>128.7</v>
      </c>
      <c r="C6214" s="62">
        <v>195</v>
      </c>
      <c r="D6214" s="64" t="s">
        <v>803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ht="15.2" spans="1:10">
      <c r="A6215" s="62">
        <v>8904290611781</v>
      </c>
      <c r="B6215" s="63">
        <v>1847.34</v>
      </c>
      <c r="C6215" s="62">
        <v>2799</v>
      </c>
      <c r="D6215" s="64" t="s">
        <v>803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ht="15.2" spans="1:10">
      <c r="A6216" s="62">
        <v>8907686772844</v>
      </c>
      <c r="B6216" s="63">
        <v>1253.34</v>
      </c>
      <c r="C6216" s="62">
        <v>1899</v>
      </c>
      <c r="D6216" s="64" t="s">
        <v>803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ht="15.2" spans="1:10">
      <c r="A6217" s="62">
        <v>8904290618667</v>
      </c>
      <c r="B6217" s="63">
        <v>1319.34</v>
      </c>
      <c r="C6217" s="62">
        <v>1999</v>
      </c>
      <c r="D6217" s="64" t="s">
        <v>803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ht="15.2" spans="1:10">
      <c r="A6218" s="62">
        <v>8907259475585</v>
      </c>
      <c r="B6218" s="63">
        <v>280.5</v>
      </c>
      <c r="C6218" s="62">
        <v>425</v>
      </c>
      <c r="D6218" s="64" t="s">
        <v>803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ht="15.2" spans="1:10">
      <c r="A6219" s="62">
        <v>8907686179339</v>
      </c>
      <c r="B6219" s="63">
        <v>262.68</v>
      </c>
      <c r="C6219" s="62">
        <v>398</v>
      </c>
      <c r="D6219" s="64" t="s">
        <v>803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ht="15.2" spans="1:10">
      <c r="A6220" s="62">
        <v>8907686694245</v>
      </c>
      <c r="B6220" s="63">
        <v>461.34</v>
      </c>
      <c r="C6220" s="62">
        <v>699</v>
      </c>
      <c r="D6220" s="64" t="s">
        <v>803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ht="15.2" spans="1:10">
      <c r="A6221" s="62">
        <v>8907036515909</v>
      </c>
      <c r="B6221" s="63"/>
      <c r="C6221" s="62"/>
      <c r="D6221" s="64" t="s">
        <v>803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ht="15.2" spans="1:10">
      <c r="A6222" s="62">
        <v>8907259480930</v>
      </c>
      <c r="B6222" s="63">
        <v>1319.34</v>
      </c>
      <c r="C6222" s="62">
        <v>1999</v>
      </c>
      <c r="D6222" s="64" t="s">
        <v>803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ht="15.2" spans="1:10">
      <c r="A6223" s="62">
        <v>8907687169667</v>
      </c>
      <c r="B6223" s="63">
        <v>923.34</v>
      </c>
      <c r="C6223" s="62">
        <v>1399</v>
      </c>
      <c r="D6223" s="64" t="s">
        <v>803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ht="15.2" spans="1:10">
      <c r="A6224" s="62">
        <v>8907686312460</v>
      </c>
      <c r="B6224" s="63">
        <v>923.34</v>
      </c>
      <c r="C6224" s="62">
        <v>1399</v>
      </c>
      <c r="D6224" s="64" t="s">
        <v>803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ht="15.2" spans="1:10">
      <c r="A6225" s="62">
        <v>8907259475585</v>
      </c>
      <c r="B6225" s="63">
        <v>280.5</v>
      </c>
      <c r="C6225" s="62">
        <v>425</v>
      </c>
      <c r="D6225" s="64" t="s">
        <v>803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ht="15.2" spans="1:10">
      <c r="A6226" s="62">
        <v>8907797002335</v>
      </c>
      <c r="B6226" s="63">
        <v>157.74</v>
      </c>
      <c r="C6226" s="62">
        <v>239</v>
      </c>
      <c r="D6226" s="64" t="s">
        <v>803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ht="15.2" spans="1:10">
      <c r="A6227" s="62">
        <v>8907686415352</v>
      </c>
      <c r="B6227" s="63">
        <v>2309.34</v>
      </c>
      <c r="C6227" s="62">
        <v>3499</v>
      </c>
      <c r="D6227" s="64" t="s">
        <v>803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ht="15.2" spans="1:10">
      <c r="A6228" s="62">
        <v>8907686301297</v>
      </c>
      <c r="B6228" s="63">
        <v>1451.34</v>
      </c>
      <c r="C6228" s="62">
        <v>2199</v>
      </c>
      <c r="D6228" s="64" t="s">
        <v>803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ht="15.2" spans="1:10">
      <c r="A6229" s="62">
        <v>8907686779065</v>
      </c>
      <c r="B6229" s="63">
        <v>791.34</v>
      </c>
      <c r="C6229" s="62">
        <v>1199</v>
      </c>
      <c r="D6229" s="64" t="s">
        <v>803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ht="15.2" spans="1:10">
      <c r="A6230" s="62">
        <v>8907686134826</v>
      </c>
      <c r="B6230" s="63">
        <v>560.34</v>
      </c>
      <c r="C6230" s="62">
        <v>849</v>
      </c>
      <c r="D6230" s="64" t="s">
        <v>803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ht="15.2" spans="1:10">
      <c r="A6231" s="62">
        <v>8907538826244</v>
      </c>
      <c r="B6231" s="63">
        <v>1847.34</v>
      </c>
      <c r="C6231" s="62">
        <v>2799</v>
      </c>
      <c r="D6231" s="64" t="s">
        <v>803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ht="15.2" spans="1:10">
      <c r="A6232" s="62">
        <v>8904290618919</v>
      </c>
      <c r="B6232" s="63">
        <v>1649.34</v>
      </c>
      <c r="C6232" s="62">
        <v>2499</v>
      </c>
      <c r="D6232" s="64" t="s">
        <v>803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ht="15.2" spans="1:10">
      <c r="A6233" s="62">
        <v>8907686415352</v>
      </c>
      <c r="B6233" s="63">
        <v>2309.34</v>
      </c>
      <c r="C6233" s="62">
        <v>3499</v>
      </c>
      <c r="D6233" s="64" t="s">
        <v>803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ht="15.2" spans="1:10">
      <c r="A6234" s="62">
        <v>8907259480572</v>
      </c>
      <c r="B6234" s="63">
        <v>1319.34</v>
      </c>
      <c r="C6234" s="62">
        <v>1999</v>
      </c>
      <c r="D6234" s="64" t="s">
        <v>803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ht="15.2" spans="1:10">
      <c r="A6235" s="62">
        <v>8907259517292</v>
      </c>
      <c r="B6235" s="63">
        <v>1253.34</v>
      </c>
      <c r="C6235" s="62">
        <v>1899</v>
      </c>
      <c r="D6235" s="64" t="s">
        <v>803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ht="15.2" spans="1:10">
      <c r="A6236" s="62">
        <v>8907686661834</v>
      </c>
      <c r="B6236" s="63">
        <v>296.34</v>
      </c>
      <c r="C6236" s="62">
        <v>449</v>
      </c>
      <c r="D6236" s="64" t="s">
        <v>803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ht="15.2" spans="1:10">
      <c r="A6237" s="62">
        <v>8907686185446</v>
      </c>
      <c r="B6237" s="63">
        <v>725.34</v>
      </c>
      <c r="C6237" s="62">
        <v>1099</v>
      </c>
      <c r="D6237" s="64" t="s">
        <v>803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ht="15.2" spans="1:10">
      <c r="A6238" s="62">
        <v>510000000484</v>
      </c>
      <c r="B6238" s="63">
        <v>1319.34</v>
      </c>
      <c r="C6238" s="62">
        <v>1999</v>
      </c>
      <c r="D6238" s="64" t="s">
        <v>803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ht="15.2" spans="1:10">
      <c r="A6239" s="62">
        <v>8904290614768</v>
      </c>
      <c r="B6239" s="63">
        <v>1385.34</v>
      </c>
      <c r="C6239" s="62">
        <v>2099</v>
      </c>
      <c r="D6239" s="64" t="s">
        <v>803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ht="15.2" spans="1:10">
      <c r="A6240" s="62">
        <v>8904290618353</v>
      </c>
      <c r="B6240" s="63">
        <v>1385.34</v>
      </c>
      <c r="C6240" s="62">
        <v>2099</v>
      </c>
      <c r="D6240" s="64" t="s">
        <v>803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ht="15.2" spans="1:10">
      <c r="A6241" s="62">
        <v>8907259209753</v>
      </c>
      <c r="B6241" s="63">
        <v>3299.34</v>
      </c>
      <c r="C6241" s="62">
        <v>4999</v>
      </c>
      <c r="D6241" s="64" t="s">
        <v>803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ht="15.2" spans="1:10">
      <c r="A6242" s="62">
        <v>8904290614041</v>
      </c>
      <c r="B6242" s="63">
        <v>1253.34</v>
      </c>
      <c r="C6242" s="62">
        <v>1899</v>
      </c>
      <c r="D6242" s="64" t="s">
        <v>803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ht="15.2" spans="1:10">
      <c r="A6243" s="62">
        <v>8904290623692</v>
      </c>
      <c r="B6243" s="63">
        <v>1187.34</v>
      </c>
      <c r="C6243" s="62">
        <v>1799</v>
      </c>
      <c r="D6243" s="64" t="s">
        <v>803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ht="15.2" spans="1:10">
      <c r="A6244" s="62">
        <v>8904290615772</v>
      </c>
      <c r="B6244" s="63">
        <v>1319.34</v>
      </c>
      <c r="C6244" s="62">
        <v>1999</v>
      </c>
      <c r="D6244" s="64" t="s">
        <v>803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ht="15.2" spans="1:10">
      <c r="A6245" s="62" t="s">
        <v>265</v>
      </c>
      <c r="B6245" s="63">
        <v>554</v>
      </c>
      <c r="C6245" s="62">
        <v>1630</v>
      </c>
      <c r="D6245" s="64" t="s">
        <v>801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ht="15.2" spans="1:10">
      <c r="A6246" s="62">
        <v>8907259947839</v>
      </c>
      <c r="B6246" s="63">
        <v>1187.34</v>
      </c>
      <c r="C6246" s="62">
        <v>1799</v>
      </c>
      <c r="D6246" s="64" t="s">
        <v>803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ht="15.2" spans="1:10">
      <c r="A6247" s="62">
        <v>8904290622824</v>
      </c>
      <c r="B6247" s="63">
        <v>6599.34</v>
      </c>
      <c r="C6247" s="62">
        <v>9999</v>
      </c>
      <c r="D6247" s="64" t="s">
        <v>803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ht="15.2" spans="1:10">
      <c r="A6248" s="62">
        <v>8907686367880</v>
      </c>
      <c r="B6248" s="63">
        <v>1385.34</v>
      </c>
      <c r="C6248" s="62">
        <v>2099</v>
      </c>
      <c r="D6248" s="64" t="s">
        <v>803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ht="15.2" spans="1:10">
      <c r="A6249" s="62">
        <v>8907538495099</v>
      </c>
      <c r="B6249" s="63">
        <v>2045.34</v>
      </c>
      <c r="C6249" s="62">
        <v>3099</v>
      </c>
      <c r="D6249" s="64" t="s">
        <v>803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ht="15.2" spans="1:10">
      <c r="A6250" s="62">
        <v>8907259210247</v>
      </c>
      <c r="B6250" s="63">
        <v>2639.34</v>
      </c>
      <c r="C6250" s="62">
        <v>3999</v>
      </c>
      <c r="D6250" s="64" t="s">
        <v>803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ht="15.2" spans="1:10">
      <c r="A6251" s="62">
        <v>8907259209753</v>
      </c>
      <c r="B6251" s="63">
        <v>3299.34</v>
      </c>
      <c r="C6251" s="62">
        <v>4999</v>
      </c>
      <c r="D6251" s="64" t="s">
        <v>803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ht="15.2" spans="1:10">
      <c r="A6252" s="62">
        <v>8904290613693</v>
      </c>
      <c r="B6252" s="63">
        <v>1979.34</v>
      </c>
      <c r="C6252" s="62">
        <v>2999</v>
      </c>
      <c r="D6252" s="64" t="s">
        <v>803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ht="15.2" spans="1:10">
      <c r="A6253" s="62">
        <v>8907686958071</v>
      </c>
      <c r="B6253" s="63">
        <v>3959.34</v>
      </c>
      <c r="C6253" s="62">
        <v>5999</v>
      </c>
      <c r="D6253" s="64" t="s">
        <v>803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ht="15.2" spans="1:10">
      <c r="A6254" s="62">
        <v>2599625</v>
      </c>
      <c r="B6254" s="63">
        <v>329.34</v>
      </c>
      <c r="C6254" s="62">
        <v>499</v>
      </c>
      <c r="D6254" s="64" t="s">
        <v>803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ht="15.2" spans="1:10">
      <c r="A6255" s="62">
        <v>8907687168882</v>
      </c>
      <c r="B6255" s="63">
        <v>989.34</v>
      </c>
      <c r="C6255" s="62">
        <v>1499</v>
      </c>
      <c r="D6255" s="64" t="s">
        <v>803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ht="15.2" spans="1:10">
      <c r="A6256" s="62" t="s">
        <v>301</v>
      </c>
      <c r="B6256" s="63">
        <v>675</v>
      </c>
      <c r="C6256" s="62">
        <v>2450</v>
      </c>
      <c r="D6256" s="64" t="s">
        <v>801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ht="15.2" spans="1:10">
      <c r="A6257" s="62" t="s">
        <v>4399</v>
      </c>
      <c r="B6257" s="63">
        <v>409</v>
      </c>
      <c r="C6257" s="62">
        <v>1140</v>
      </c>
      <c r="D6257" s="64" t="s">
        <v>801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ht="15.2" spans="1:10">
      <c r="A6258" s="62">
        <v>8904290618360</v>
      </c>
      <c r="B6258" s="63">
        <v>1385.34</v>
      </c>
      <c r="C6258" s="62">
        <v>2099</v>
      </c>
      <c r="D6258" s="64" t="s">
        <v>803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ht="15.2" spans="1:10">
      <c r="A6259" s="62">
        <v>89042960623692</v>
      </c>
      <c r="B6259" s="63">
        <v>1187.34</v>
      </c>
      <c r="C6259" s="62">
        <v>1799</v>
      </c>
      <c r="D6259" s="64" t="s">
        <v>803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ht="15.2" spans="1:10">
      <c r="A6260" s="62">
        <v>890429607210</v>
      </c>
      <c r="B6260" s="63">
        <v>1319.34</v>
      </c>
      <c r="C6260" s="62">
        <v>1999</v>
      </c>
      <c r="D6260" s="64" t="s">
        <v>803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ht="15.2" spans="1:10">
      <c r="A6261" s="62">
        <v>8907538818959</v>
      </c>
      <c r="B6261" s="63">
        <v>1649.34</v>
      </c>
      <c r="C6261" s="62">
        <v>2499</v>
      </c>
      <c r="D6261" s="64" t="s">
        <v>803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ht="15.2" spans="1:10">
      <c r="A6262" s="62">
        <v>8907686947068</v>
      </c>
      <c r="B6262" s="63">
        <v>1781.34</v>
      </c>
      <c r="C6262" s="62">
        <v>2699</v>
      </c>
      <c r="D6262" s="64" t="s">
        <v>803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ht="15.2" spans="1:10">
      <c r="A6263" s="62">
        <v>8904290600914</v>
      </c>
      <c r="B6263" s="63">
        <v>1319.34</v>
      </c>
      <c r="C6263" s="62">
        <v>1999</v>
      </c>
      <c r="D6263" s="64" t="s">
        <v>803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ht="15.2" spans="1:10">
      <c r="A6264" s="62">
        <v>8904290669603</v>
      </c>
      <c r="B6264" s="63">
        <v>1319.34</v>
      </c>
      <c r="C6264" s="62">
        <v>1999</v>
      </c>
      <c r="D6264" s="64" t="s">
        <v>803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ht="15.2" spans="1:10">
      <c r="A6265" s="62">
        <v>8907686819914</v>
      </c>
      <c r="B6265" s="63">
        <v>1649.34</v>
      </c>
      <c r="C6265" s="62">
        <v>2499</v>
      </c>
      <c r="D6265" s="64" t="s">
        <v>803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ht="15.2" spans="1:10">
      <c r="A6266" s="62" t="s">
        <v>311</v>
      </c>
      <c r="B6266" s="63">
        <v>877.8</v>
      </c>
      <c r="C6266" s="62">
        <v>1330</v>
      </c>
      <c r="D6266" s="64" t="s">
        <v>801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ht="15.2" spans="1:10">
      <c r="A6267" s="62">
        <v>8904290611835</v>
      </c>
      <c r="B6267" s="63">
        <v>1319.34</v>
      </c>
      <c r="C6267" s="62">
        <v>1999</v>
      </c>
      <c r="D6267" s="64" t="s">
        <v>803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ht="15.2" spans="1:10">
      <c r="A6268" s="62">
        <v>8907686227641</v>
      </c>
      <c r="B6268" s="63">
        <v>263.34</v>
      </c>
      <c r="C6268" s="62">
        <v>399</v>
      </c>
      <c r="D6268" s="64" t="s">
        <v>803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ht="15.2" spans="1:10">
      <c r="A6269" s="62">
        <v>8907797188978</v>
      </c>
      <c r="B6269" s="63">
        <v>362.34</v>
      </c>
      <c r="C6269" s="62">
        <v>549</v>
      </c>
      <c r="D6269" s="64" t="s">
        <v>803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ht="15.2" spans="1:10">
      <c r="A6270" s="62">
        <v>8907378999078</v>
      </c>
      <c r="B6270" s="63">
        <v>989.34</v>
      </c>
      <c r="C6270" s="62">
        <v>1499</v>
      </c>
      <c r="D6270" s="64" t="s">
        <v>803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ht="15.2" spans="1:10">
      <c r="A6271" s="62" t="s">
        <v>327</v>
      </c>
      <c r="B6271" s="63">
        <v>1319.34</v>
      </c>
      <c r="C6271" s="62">
        <v>1999</v>
      </c>
      <c r="D6271" s="64" t="s">
        <v>803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ht="15.2" spans="1:10">
      <c r="A6272" s="62" t="s">
        <v>329</v>
      </c>
      <c r="B6272" s="63">
        <v>319.2</v>
      </c>
      <c r="C6272" s="62">
        <v>1050</v>
      </c>
      <c r="D6272" s="64" t="s">
        <v>801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ht="15.2" spans="1:10">
      <c r="A6273" s="62">
        <v>8907538711274</v>
      </c>
      <c r="B6273" s="63">
        <v>1715.34</v>
      </c>
      <c r="C6273" s="62">
        <v>2599</v>
      </c>
      <c r="D6273" s="64" t="s">
        <v>803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ht="15.2" spans="1:10">
      <c r="A6274" s="62">
        <v>8904290618681</v>
      </c>
      <c r="B6274" s="63">
        <v>1319.34</v>
      </c>
      <c r="C6274" s="62">
        <v>1999</v>
      </c>
      <c r="D6274" s="64" t="s">
        <v>803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ht="15.2" spans="1:10">
      <c r="A6275" s="62">
        <v>8904290607227</v>
      </c>
      <c r="B6275" s="63">
        <v>1319.34</v>
      </c>
      <c r="C6275" s="62">
        <v>1999</v>
      </c>
      <c r="D6275" s="64" t="s">
        <v>803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ht="15.2" spans="1:10">
      <c r="A6276" s="62">
        <v>8907686814322</v>
      </c>
      <c r="B6276" s="63">
        <v>1649.34</v>
      </c>
      <c r="C6276" s="62">
        <v>2499</v>
      </c>
      <c r="D6276" s="64" t="s">
        <v>803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ht="15.2" spans="1:10">
      <c r="A6277" s="62">
        <v>8907378925923</v>
      </c>
      <c r="B6277" s="63">
        <v>1319.34</v>
      </c>
      <c r="C6277" s="62">
        <v>1999</v>
      </c>
      <c r="D6277" s="64" t="s">
        <v>803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ht="15.2" spans="1:10">
      <c r="A6278" s="62">
        <v>8907378925923</v>
      </c>
      <c r="B6278" s="63">
        <v>1319.34</v>
      </c>
      <c r="C6278" s="62">
        <v>1999</v>
      </c>
      <c r="D6278" s="64" t="s">
        <v>803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ht="15.2" spans="1:10">
      <c r="A6279" s="62">
        <v>8907797002533</v>
      </c>
      <c r="B6279" s="63">
        <v>362.34</v>
      </c>
      <c r="C6279" s="62">
        <v>549</v>
      </c>
      <c r="D6279" s="64" t="s">
        <v>803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ht="15.2" spans="1:10">
      <c r="A6280" s="62">
        <v>8907686227641</v>
      </c>
      <c r="B6280" s="63">
        <v>263.34</v>
      </c>
      <c r="C6280" s="62">
        <v>399</v>
      </c>
      <c r="D6280" s="64" t="s">
        <v>803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ht="15.2" spans="1:10">
      <c r="A6281" s="62">
        <v>8907259937687</v>
      </c>
      <c r="B6281" s="63">
        <v>1451.34</v>
      </c>
      <c r="C6281" s="62">
        <v>2199</v>
      </c>
      <c r="D6281" s="64" t="s">
        <v>803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ht="15.2" spans="1:10">
      <c r="A6282" s="62">
        <v>8903952898652</v>
      </c>
      <c r="B6282" s="63">
        <v>1121.34</v>
      </c>
      <c r="C6282" s="62">
        <v>1699</v>
      </c>
      <c r="D6282" s="64" t="s">
        <v>803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ht="15.2" spans="1:10">
      <c r="A6283" s="62">
        <v>8907378313386</v>
      </c>
      <c r="B6283" s="63">
        <v>1517.34</v>
      </c>
      <c r="C6283" s="62">
        <v>2299</v>
      </c>
      <c r="D6283" s="64" t="s">
        <v>803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ht="15.2" spans="1:10">
      <c r="A6284" s="62">
        <v>8907538213877</v>
      </c>
      <c r="B6284" s="63">
        <v>1187.34</v>
      </c>
      <c r="C6284" s="62">
        <v>1799</v>
      </c>
      <c r="D6284" s="64" t="s">
        <v>803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ht="15.2" spans="1:10">
      <c r="A6285" s="62">
        <v>8907686661742</v>
      </c>
      <c r="B6285" s="63">
        <v>349.14</v>
      </c>
      <c r="C6285" s="62">
        <v>529</v>
      </c>
      <c r="D6285" s="64" t="s">
        <v>803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ht="15.2" spans="1:10">
      <c r="A6286" s="62">
        <v>8907259937687</v>
      </c>
      <c r="B6286" s="63">
        <v>1451.34</v>
      </c>
      <c r="C6286" s="62">
        <v>2199</v>
      </c>
      <c r="D6286" s="64" t="s">
        <v>803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ht="15.2" spans="1:10">
      <c r="A6287" s="62">
        <v>8907259517285</v>
      </c>
      <c r="B6287" s="63">
        <v>1253.34</v>
      </c>
      <c r="C6287" s="62">
        <v>1899</v>
      </c>
      <c r="D6287" s="64" t="s">
        <v>803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ht="15.2" spans="1:10">
      <c r="A6288" s="62">
        <v>8907036564648</v>
      </c>
      <c r="B6288" s="63">
        <v>923.34</v>
      </c>
      <c r="C6288" s="62">
        <v>1399</v>
      </c>
      <c r="D6288" s="64" t="s">
        <v>803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ht="15.2" spans="1:10">
      <c r="A6289" s="62">
        <v>8907686461380</v>
      </c>
      <c r="B6289" s="63">
        <v>989.34</v>
      </c>
      <c r="C6289" s="62">
        <v>1499</v>
      </c>
      <c r="D6289" s="64" t="s">
        <v>803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ht="15.2" spans="1:10">
      <c r="A6290" s="62">
        <v>8904290613709</v>
      </c>
      <c r="B6290" s="63">
        <v>1979.34</v>
      </c>
      <c r="C6290" s="62">
        <v>2999</v>
      </c>
      <c r="D6290" s="64" t="s">
        <v>803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ht="15.2" spans="1:10">
      <c r="A6291" s="62">
        <v>8907378032713</v>
      </c>
      <c r="B6291" s="63">
        <v>263.34</v>
      </c>
      <c r="C6291" s="62">
        <v>399</v>
      </c>
      <c r="D6291" s="64" t="s">
        <v>803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ht="15.2" spans="1:10">
      <c r="A6292" s="62">
        <v>8907797002434</v>
      </c>
      <c r="B6292" s="63">
        <v>177.54</v>
      </c>
      <c r="C6292" s="62">
        <v>269</v>
      </c>
      <c r="D6292" s="64" t="s">
        <v>803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ht="15.2" spans="1:10">
      <c r="A6293" s="62">
        <v>8904290616267</v>
      </c>
      <c r="B6293" s="63">
        <v>1517.34</v>
      </c>
      <c r="C6293" s="62">
        <v>2299</v>
      </c>
      <c r="D6293" s="64" t="s">
        <v>803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ht="15.2" spans="1:10">
      <c r="A6294" s="62">
        <v>8907163977434</v>
      </c>
      <c r="B6294" s="63">
        <v>190.74</v>
      </c>
      <c r="C6294" s="62">
        <v>289</v>
      </c>
      <c r="D6294" s="64" t="s">
        <v>803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ht="15.2" spans="1:10">
      <c r="A6295" s="62" t="s">
        <v>368</v>
      </c>
      <c r="B6295" s="63">
        <v>584.8</v>
      </c>
      <c r="C6295" s="62">
        <v>1720</v>
      </c>
      <c r="D6295" s="64" t="s">
        <v>801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ht="15.2" spans="1:10">
      <c r="A6296" s="62" t="s">
        <v>329</v>
      </c>
      <c r="B6296" s="63">
        <v>319.2</v>
      </c>
      <c r="C6296" s="62">
        <v>1050</v>
      </c>
      <c r="D6296" s="64" t="s">
        <v>801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ht="15.2" spans="1:10">
      <c r="A6297" s="62" t="s">
        <v>374</v>
      </c>
      <c r="B6297" s="63">
        <v>518.1</v>
      </c>
      <c r="C6297" s="62">
        <v>785</v>
      </c>
      <c r="D6297" s="64" t="s">
        <v>801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ht="15.2" spans="1:10">
      <c r="A6298" s="62">
        <v>8907378948984</v>
      </c>
      <c r="B6298" s="63">
        <v>1649.34</v>
      </c>
      <c r="C6298" s="62">
        <v>2499</v>
      </c>
      <c r="D6298" s="64" t="s">
        <v>803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ht="15.2" spans="1:10">
      <c r="A6299" s="62">
        <v>8907378948984</v>
      </c>
      <c r="B6299" s="63">
        <v>1649.34</v>
      </c>
      <c r="C6299" s="62">
        <v>2499</v>
      </c>
      <c r="D6299" s="64" t="s">
        <v>803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ht="15.2" spans="1:10">
      <c r="A6300" s="62">
        <v>8907686774756</v>
      </c>
      <c r="B6300" s="63">
        <v>791.34</v>
      </c>
      <c r="C6300" s="62">
        <v>1199</v>
      </c>
      <c r="D6300" s="64" t="s">
        <v>803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ht="15.2" spans="1:10">
      <c r="A6301" s="62">
        <v>8904290606749</v>
      </c>
      <c r="B6301" s="63">
        <v>1253.34</v>
      </c>
      <c r="C6301" s="62">
        <v>1899</v>
      </c>
      <c r="D6301" s="64" t="s">
        <v>803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ht="15.2" spans="1:10">
      <c r="A6302" s="62">
        <v>8904290600914</v>
      </c>
      <c r="B6302" s="63">
        <v>1319.34</v>
      </c>
      <c r="C6302" s="62">
        <v>1999</v>
      </c>
      <c r="D6302" s="64" t="s">
        <v>803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ht="15.2" spans="1:10">
      <c r="A6303" s="62">
        <v>8907378982520</v>
      </c>
      <c r="B6303" s="63">
        <v>296.34</v>
      </c>
      <c r="C6303" s="62">
        <v>449</v>
      </c>
      <c r="D6303" s="64" t="s">
        <v>803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ht="15.2" spans="1:10">
      <c r="A6304" s="62">
        <v>8907686350837</v>
      </c>
      <c r="B6304" s="63">
        <v>296.34</v>
      </c>
      <c r="C6304" s="62">
        <v>449</v>
      </c>
      <c r="D6304" s="64" t="s">
        <v>803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ht="15.2" spans="1:10">
      <c r="A6305" s="62">
        <v>8907687169537</v>
      </c>
      <c r="B6305" s="63">
        <v>923.34</v>
      </c>
      <c r="C6305" s="62">
        <v>1399</v>
      </c>
      <c r="D6305" s="64" t="s">
        <v>803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ht="15.2" spans="1:10">
      <c r="A6306" s="62">
        <v>8907378981387</v>
      </c>
      <c r="B6306" s="63">
        <v>461.34</v>
      </c>
      <c r="C6306" s="62">
        <v>699</v>
      </c>
      <c r="D6306" s="64" t="s">
        <v>803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ht="15.2" spans="1:10">
      <c r="A6307" s="62">
        <v>8907686786483</v>
      </c>
      <c r="B6307" s="63">
        <v>989.34</v>
      </c>
      <c r="C6307" s="62">
        <v>1499</v>
      </c>
      <c r="D6307" s="64" t="s">
        <v>803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ht="15.2" spans="1:10">
      <c r="A6308" s="62">
        <v>8907686131450</v>
      </c>
      <c r="B6308" s="63">
        <v>626.34</v>
      </c>
      <c r="C6308" s="62">
        <v>949</v>
      </c>
      <c r="D6308" s="64" t="s">
        <v>803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ht="15.2" spans="1:10">
      <c r="A6309" s="62">
        <v>8907686293875</v>
      </c>
      <c r="B6309" s="63">
        <v>593.34</v>
      </c>
      <c r="C6309" s="62">
        <v>899</v>
      </c>
      <c r="D6309" s="64" t="s">
        <v>803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ht="15.2" spans="1:10">
      <c r="A6310" s="62">
        <v>8907538213761</v>
      </c>
      <c r="B6310" s="63">
        <v>1187.34</v>
      </c>
      <c r="C6310" s="62">
        <v>1799</v>
      </c>
      <c r="D6310" s="64" t="s">
        <v>803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ht="15.2" spans="1:10">
      <c r="A6311" s="62">
        <v>8904290618926</v>
      </c>
      <c r="B6311" s="63">
        <v>1649.34</v>
      </c>
      <c r="C6311" s="62">
        <v>2499</v>
      </c>
      <c r="D6311" s="64" t="s">
        <v>803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ht="15.2" spans="1:10">
      <c r="A6312" s="62">
        <v>8904290618766</v>
      </c>
      <c r="B6312" s="63">
        <v>1319.34</v>
      </c>
      <c r="C6312" s="62">
        <v>1999</v>
      </c>
      <c r="D6312" s="64" t="s">
        <v>803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ht="15.2" spans="1:10">
      <c r="A6313" s="62">
        <v>8907290618926</v>
      </c>
      <c r="B6313" s="63">
        <v>1649.34</v>
      </c>
      <c r="C6313" s="62">
        <v>-2499</v>
      </c>
      <c r="D6313" s="64" t="s">
        <v>803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ht="15.2" spans="1:10">
      <c r="A6314" s="62">
        <v>8904290618766</v>
      </c>
      <c r="B6314" s="63">
        <v>1319.34</v>
      </c>
      <c r="C6314" s="62">
        <v>-1999</v>
      </c>
      <c r="D6314" s="64" t="s">
        <v>803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ht="15.2" spans="1:10">
      <c r="A6315" s="62">
        <v>510000000486</v>
      </c>
      <c r="B6315" s="63">
        <v>1319.34</v>
      </c>
      <c r="C6315" s="62">
        <v>1999</v>
      </c>
      <c r="D6315" s="64" t="s">
        <v>803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ht="15.2" spans="1:10">
      <c r="A6316" s="62">
        <v>8904290614621</v>
      </c>
      <c r="B6316" s="63">
        <v>1847.34</v>
      </c>
      <c r="C6316" s="62">
        <v>2799</v>
      </c>
      <c r="D6316" s="64" t="s">
        <v>803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ht="15.2" spans="1:10">
      <c r="A6317" s="62">
        <v>8904290614522</v>
      </c>
      <c r="B6317" s="63">
        <v>1847.34</v>
      </c>
      <c r="C6317" s="62">
        <v>2799</v>
      </c>
      <c r="D6317" s="64" t="s">
        <v>803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ht="15.2" spans="1:10">
      <c r="A6318" s="62">
        <v>8907538619747</v>
      </c>
      <c r="B6318" s="63">
        <v>1187.34</v>
      </c>
      <c r="C6318" s="62">
        <v>1799</v>
      </c>
      <c r="D6318" s="64" t="s">
        <v>803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ht="15.2" spans="1:10">
      <c r="A6319" s="62">
        <v>8907378962072</v>
      </c>
      <c r="B6319" s="63">
        <v>1319.34</v>
      </c>
      <c r="C6319" s="62">
        <v>1999</v>
      </c>
      <c r="D6319" s="64" t="s">
        <v>803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ht="15.2" spans="1:10">
      <c r="A6320" s="62">
        <v>8907538620309</v>
      </c>
      <c r="B6320" s="63">
        <v>1187.34</v>
      </c>
      <c r="C6320" s="62">
        <v>1799</v>
      </c>
      <c r="D6320" s="64" t="s">
        <v>803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ht="15.2" spans="1:10">
      <c r="A6321" s="62">
        <v>8907686950426</v>
      </c>
      <c r="B6321" s="63">
        <v>1451.34</v>
      </c>
      <c r="C6321" s="62">
        <v>2199</v>
      </c>
      <c r="D6321" s="64" t="s">
        <v>803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ht="15.2" spans="1:10">
      <c r="A6322" s="62">
        <v>8907259947846</v>
      </c>
      <c r="B6322" s="63">
        <v>1187.34</v>
      </c>
      <c r="C6322" s="62">
        <v>1799</v>
      </c>
      <c r="D6322" s="64" t="s">
        <v>803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ht="15.2" spans="1:10">
      <c r="A6323" s="62">
        <v>8907538732774</v>
      </c>
      <c r="B6323" s="63">
        <v>1517.25</v>
      </c>
      <c r="C6323" s="62">
        <v>2499</v>
      </c>
      <c r="D6323" s="64" t="s">
        <v>803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ht="15.2" spans="1:10">
      <c r="A6324" s="62">
        <v>8907686438603</v>
      </c>
      <c r="B6324" s="63">
        <v>1517.25</v>
      </c>
      <c r="C6324" s="62">
        <v>2499</v>
      </c>
      <c r="D6324" s="64" t="s">
        <v>803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ht="15.2" spans="1:10">
      <c r="A6325" s="62">
        <v>8907259937687</v>
      </c>
      <c r="B6325" s="63">
        <v>1451.34</v>
      </c>
      <c r="C6325" s="62">
        <v>2199</v>
      </c>
      <c r="D6325" s="64" t="s">
        <v>803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ht="15.2" spans="1:10">
      <c r="A6326" s="62">
        <v>8907797002465</v>
      </c>
      <c r="B6326" s="63">
        <v>190.74</v>
      </c>
      <c r="C6326" s="62">
        <v>289</v>
      </c>
      <c r="D6326" s="64" t="s">
        <v>803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ht="15.2" spans="1:10">
      <c r="A6327" s="62">
        <v>8907686349923</v>
      </c>
      <c r="B6327" s="63">
        <v>290.78</v>
      </c>
      <c r="C6327" s="62">
        <v>449</v>
      </c>
      <c r="D6327" s="64" t="s">
        <v>803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ht="15.2" spans="1:10">
      <c r="A6328" s="62">
        <v>8907378981650</v>
      </c>
      <c r="B6328" s="63">
        <v>290.78</v>
      </c>
      <c r="C6328" s="62">
        <v>449</v>
      </c>
      <c r="D6328" s="64" t="s">
        <v>803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ht="15.2" spans="1:10">
      <c r="A6329" s="62">
        <v>8907036564587</v>
      </c>
      <c r="B6329" s="63">
        <v>908.83</v>
      </c>
      <c r="C6329" s="62">
        <v>1399</v>
      </c>
      <c r="D6329" s="64" t="s">
        <v>803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ht="15.2" spans="1:10">
      <c r="A6330" s="62">
        <v>8907259517230</v>
      </c>
      <c r="B6330" s="63">
        <v>1152.96</v>
      </c>
      <c r="C6330" s="62">
        <v>1899</v>
      </c>
      <c r="D6330" s="64" t="s">
        <v>803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ht="15.2" spans="1:10">
      <c r="A6331" s="62">
        <v>8907686417134</v>
      </c>
      <c r="B6331" s="63">
        <v>1517.25</v>
      </c>
      <c r="C6331" s="62">
        <v>2499</v>
      </c>
      <c r="D6331" s="64" t="s">
        <v>803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ht="15.2" spans="1:10">
      <c r="A6332" s="62">
        <v>8904290615956</v>
      </c>
      <c r="B6332" s="63">
        <v>1354.77</v>
      </c>
      <c r="C6332" s="62">
        <v>2299</v>
      </c>
      <c r="D6332" s="64" t="s">
        <v>803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ht="15.2" spans="1:10">
      <c r="A6333" s="62">
        <v>8907538571670</v>
      </c>
      <c r="B6333" s="63">
        <v>1213.68</v>
      </c>
      <c r="C6333" s="62">
        <v>1999</v>
      </c>
      <c r="D6333" s="64" t="s">
        <v>803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ht="15.2" spans="1:10">
      <c r="A6334" s="62">
        <v>8907686313252</v>
      </c>
      <c r="B6334" s="63">
        <v>970.78</v>
      </c>
      <c r="C6334" s="62">
        <v>1499</v>
      </c>
      <c r="D6334" s="64" t="s">
        <v>803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ht="15.2" spans="1:10">
      <c r="A6335" s="62">
        <v>8907538653017</v>
      </c>
      <c r="B6335" s="63">
        <v>1395.82</v>
      </c>
      <c r="C6335" s="62">
        <v>2299</v>
      </c>
      <c r="D6335" s="64" t="s">
        <v>803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ht="15.2" spans="1:10">
      <c r="A6336" s="62" t="s">
        <v>396</v>
      </c>
      <c r="B6336" s="63">
        <v>425</v>
      </c>
      <c r="C6336" s="62">
        <v>1110</v>
      </c>
      <c r="D6336" s="64" t="s">
        <v>801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ht="15.2" spans="1:10">
      <c r="A6337" s="62">
        <v>8907036565331</v>
      </c>
      <c r="B6337" s="63">
        <v>904.43</v>
      </c>
      <c r="C6337" s="62">
        <v>1399</v>
      </c>
      <c r="D6337" s="64" t="s">
        <v>803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ht="15.2" spans="1:10">
      <c r="A6338" s="62">
        <v>8907259480749</v>
      </c>
      <c r="B6338" s="63">
        <v>1280.23</v>
      </c>
      <c r="C6338" s="62">
        <v>1999</v>
      </c>
      <c r="D6338" s="64" t="s">
        <v>803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ht="15.2" spans="1:10">
      <c r="A6339" s="62">
        <v>8907538619747</v>
      </c>
      <c r="B6339" s="63">
        <v>1092.25</v>
      </c>
      <c r="C6339" s="62">
        <v>1799</v>
      </c>
      <c r="D6339" s="64" t="s">
        <v>803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ht="15.2" spans="1:10">
      <c r="A6340" s="62">
        <v>8907686145945</v>
      </c>
      <c r="B6340" s="63">
        <v>938.4</v>
      </c>
      <c r="C6340" s="62">
        <v>1449</v>
      </c>
      <c r="D6340" s="64" t="s">
        <v>803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ht="15.2" spans="1:10">
      <c r="A6341" s="62">
        <v>8907686779089</v>
      </c>
      <c r="B6341" s="63">
        <v>776.5</v>
      </c>
      <c r="C6341" s="62">
        <v>1199</v>
      </c>
      <c r="D6341" s="64" t="s">
        <v>803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ht="15.2" spans="1:10">
      <c r="A6342" s="62">
        <v>8907378980922</v>
      </c>
      <c r="B6342" s="63">
        <v>295.02</v>
      </c>
      <c r="C6342" s="62">
        <v>449</v>
      </c>
      <c r="D6342" s="64" t="s">
        <v>803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ht="15.2" spans="1:10">
      <c r="A6343" s="62">
        <v>8907686346731</v>
      </c>
      <c r="B6343" s="63">
        <v>290.78</v>
      </c>
      <c r="C6343" s="62">
        <v>449</v>
      </c>
      <c r="D6343" s="64" t="s">
        <v>803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ht="15.2" spans="1:10">
      <c r="A6344" s="62">
        <v>8907259275659</v>
      </c>
      <c r="B6344" s="63">
        <v>1517.34</v>
      </c>
      <c r="C6344" s="62">
        <v>2299</v>
      </c>
      <c r="D6344" s="64" t="s">
        <v>803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ht="15.2" spans="1:10">
      <c r="A6345" s="62">
        <v>8904290625696</v>
      </c>
      <c r="B6345" s="63">
        <v>1295.84</v>
      </c>
      <c r="C6345" s="62">
        <v>2199</v>
      </c>
      <c r="D6345" s="64" t="s">
        <v>803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ht="15.2" spans="1:10">
      <c r="A6346" s="62" t="s">
        <v>404</v>
      </c>
      <c r="B6346" s="63">
        <v>5838.52</v>
      </c>
      <c r="C6346" s="62">
        <v>10110</v>
      </c>
      <c r="D6346" s="64" t="s">
        <v>801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N36"/>
  <sheetViews>
    <sheetView topLeftCell="B1" workbookViewId="0">
      <selection activeCell="K9" sqref="K9"/>
    </sheetView>
  </sheetViews>
  <sheetFormatPr defaultColWidth="9" defaultRowHeight="14"/>
  <cols>
    <col min="1" max="1" width="14" customWidth="1"/>
    <col min="2" max="2" width="14.890625" customWidth="1"/>
    <col min="3" max="3" width="18.5546875" customWidth="1"/>
    <col min="4" max="4" width="18.3359375" customWidth="1"/>
    <col min="6" max="6" width="9.109375" customWidth="1"/>
    <col min="7" max="7" width="12.3359375" customWidth="1"/>
    <col min="8" max="8" width="10.890625" customWidth="1"/>
    <col min="9" max="9" width="10.6640625" customWidth="1"/>
    <col min="13" max="13" width="15.4453125" customWidth="1"/>
  </cols>
  <sheetData>
    <row r="1" ht="18.35" spans="1:13">
      <c r="A1" s="1" t="s">
        <v>0</v>
      </c>
      <c r="B1" s="2" t="s">
        <v>6695</v>
      </c>
      <c r="C1" s="3" t="s">
        <v>6696</v>
      </c>
      <c r="D1" s="4" t="s">
        <v>6697</v>
      </c>
      <c r="E1" s="22" t="s">
        <v>6698</v>
      </c>
      <c r="F1" s="22" t="s">
        <v>6699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45025.455462963</v>
      </c>
    </row>
    <row r="2" ht="18.35" spans="1:13">
      <c r="A2" s="5" t="s">
        <v>6700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ht="18.35" spans="1:14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ht="17.6" spans="1:14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ht="16.8" spans="1:14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ht="16.8" spans="1:14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ht="16.8" spans="1:14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ht="16.8" spans="1:14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ht="16.8" spans="1:14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ht="16.8" spans="1:14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ht="16.8" spans="1:14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ht="16.8" spans="1:14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ht="16.8" spans="1:14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ht="16.8" spans="1:14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ht="17.55" spans="1:14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ht="18.35" spans="1:14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1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1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2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2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2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9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9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9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9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9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9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9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6701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ht="15.95" spans="1:9">
      <c r="A36" s="20" t="s">
        <v>6702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name="Button 2" r:id="rId4">
              <controlPr print="0" defaultSize="0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H164"/>
  <sheetViews>
    <sheetView topLeftCell="A145" workbookViewId="0">
      <selection activeCell="B166" sqref="B166"/>
    </sheetView>
  </sheetViews>
  <sheetFormatPr defaultColWidth="9" defaultRowHeight="14"/>
  <cols>
    <col min="1" max="1" width="5.4453125" customWidth="1"/>
    <col min="2" max="2" width="15.5546875" customWidth="1"/>
    <col min="3" max="3" width="15.335937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53125" customWidth="1"/>
    <col min="15" max="15" width="12.6640625" customWidth="1"/>
    <col min="19" max="19" width="14.890625" customWidth="1"/>
    <col min="20" max="20" width="12.4453125" customWidth="1"/>
    <col min="21" max="21" width="10" customWidth="1"/>
    <col min="22" max="22" width="11.4453125" customWidth="1"/>
    <col min="24" max="24" width="10.3359375" customWidth="1"/>
  </cols>
  <sheetData>
    <row r="1" ht="17.6" spans="2:27">
      <c r="B1" s="32" t="s">
        <v>406</v>
      </c>
      <c r="L1" s="32" t="s">
        <v>417</v>
      </c>
      <c r="Q1" t="s">
        <v>6703</v>
      </c>
      <c r="AA1" t="s">
        <v>6704</v>
      </c>
    </row>
    <row r="2" spans="1:34">
      <c r="A2" s="33" t="s">
        <v>424</v>
      </c>
      <c r="B2" s="33" t="s">
        <v>0</v>
      </c>
      <c r="C2" s="33" t="s">
        <v>6705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6705</v>
      </c>
      <c r="N2" s="33" t="s">
        <v>411</v>
      </c>
      <c r="O2" s="33" t="s">
        <v>428</v>
      </c>
      <c r="Q2" t="s">
        <v>424</v>
      </c>
      <c r="R2" t="s">
        <v>0</v>
      </c>
      <c r="S2" t="s">
        <v>6706</v>
      </c>
      <c r="T2" t="s">
        <v>6707</v>
      </c>
      <c r="U2" t="s">
        <v>6708</v>
      </c>
      <c r="V2" t="s">
        <v>6709</v>
      </c>
      <c r="W2" t="s">
        <v>6710</v>
      </c>
      <c r="X2" t="s">
        <v>428</v>
      </c>
      <c r="AA2" t="s">
        <v>424</v>
      </c>
      <c r="AB2" t="s">
        <v>0</v>
      </c>
      <c r="AC2" t="s">
        <v>6711</v>
      </c>
      <c r="AD2" t="s">
        <v>6712</v>
      </c>
      <c r="AE2" t="s">
        <v>6708</v>
      </c>
      <c r="AF2" t="s">
        <v>6709</v>
      </c>
      <c r="AG2" t="s">
        <v>6710</v>
      </c>
      <c r="AH2" t="s">
        <v>428</v>
      </c>
    </row>
    <row r="3" spans="1:15">
      <c r="A3">
        <v>1</v>
      </c>
      <c r="B3" s="34">
        <v>44979.6852314815</v>
      </c>
      <c r="C3" t="s">
        <v>6713</v>
      </c>
      <c r="E3">
        <v>200</v>
      </c>
      <c r="K3">
        <v>1</v>
      </c>
      <c r="L3" s="34">
        <v>44979.691099537</v>
      </c>
      <c r="M3" t="s">
        <v>6714</v>
      </c>
      <c r="N3" t="s">
        <v>6715</v>
      </c>
      <c r="O3">
        <v>41000</v>
      </c>
    </row>
    <row r="4" spans="1:34">
      <c r="A4">
        <v>2</v>
      </c>
      <c r="B4" s="34">
        <v>44979.8290625</v>
      </c>
      <c r="C4" t="s">
        <v>6716</v>
      </c>
      <c r="E4">
        <v>125</v>
      </c>
      <c r="K4" s="33">
        <v>2</v>
      </c>
      <c r="L4" s="35">
        <v>44982.7790046296</v>
      </c>
      <c r="M4" s="33" t="s">
        <v>6717</v>
      </c>
      <c r="N4" s="33" t="s">
        <v>6714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15">
      <c r="A5">
        <v>3</v>
      </c>
      <c r="B5" s="34">
        <v>44979.829224537</v>
      </c>
      <c r="C5" t="s">
        <v>6718</v>
      </c>
      <c r="E5">
        <v>100</v>
      </c>
      <c r="K5" s="33">
        <v>3</v>
      </c>
      <c r="L5" s="35">
        <v>44982.8235648148</v>
      </c>
      <c r="M5" s="33" t="s">
        <v>6719</v>
      </c>
      <c r="N5" s="33" t="s">
        <v>6720</v>
      </c>
      <c r="O5" s="33">
        <v>6088</v>
      </c>
    </row>
    <row r="6" spans="1:15">
      <c r="A6">
        <v>4</v>
      </c>
      <c r="B6" s="34">
        <v>44981.6416782407</v>
      </c>
      <c r="C6" t="s">
        <v>6721</v>
      </c>
      <c r="E6">
        <v>70</v>
      </c>
      <c r="K6" s="33">
        <v>4</v>
      </c>
      <c r="L6" s="35">
        <v>44982.8238310185</v>
      </c>
      <c r="M6" s="33" t="s">
        <v>6722</v>
      </c>
      <c r="N6" s="33" t="s">
        <v>6720</v>
      </c>
      <c r="O6" s="33">
        <v>2033</v>
      </c>
    </row>
    <row r="7" spans="1:15">
      <c r="A7" s="33">
        <v>5</v>
      </c>
      <c r="B7" s="35">
        <v>44981.78125</v>
      </c>
      <c r="C7" s="33" t="s">
        <v>6718</v>
      </c>
      <c r="D7" s="33"/>
      <c r="E7" s="33">
        <v>80</v>
      </c>
      <c r="K7" s="33">
        <v>5</v>
      </c>
      <c r="L7" s="35">
        <v>44984.5401388889</v>
      </c>
      <c r="M7" s="33" t="s">
        <v>6717</v>
      </c>
      <c r="N7" s="33" t="s">
        <v>6714</v>
      </c>
      <c r="O7" s="33">
        <v>500000</v>
      </c>
    </row>
    <row r="8" spans="1:15">
      <c r="A8" s="33">
        <v>6</v>
      </c>
      <c r="B8" s="35">
        <v>44981.8172106482</v>
      </c>
      <c r="C8" s="33" t="s">
        <v>6717</v>
      </c>
      <c r="D8" s="33" t="s">
        <v>6723</v>
      </c>
      <c r="E8" s="33">
        <v>1500</v>
      </c>
      <c r="K8" s="33">
        <v>6</v>
      </c>
      <c r="L8" s="35">
        <v>44984.7246990741</v>
      </c>
      <c r="M8" s="33" t="s">
        <v>6717</v>
      </c>
      <c r="N8" s="33" t="s">
        <v>6714</v>
      </c>
      <c r="O8" s="33">
        <v>40000</v>
      </c>
    </row>
    <row r="9" spans="1:15">
      <c r="A9" s="33">
        <v>7</v>
      </c>
      <c r="B9" s="35">
        <v>44982.442962963</v>
      </c>
      <c r="C9" s="33" t="s">
        <v>6724</v>
      </c>
      <c r="D9" s="33"/>
      <c r="E9" s="33">
        <v>10</v>
      </c>
      <c r="K9" s="33">
        <v>7</v>
      </c>
      <c r="L9" s="35">
        <v>44992.7379861111</v>
      </c>
      <c r="M9" s="33" t="s">
        <v>6725</v>
      </c>
      <c r="N9" s="33" t="s">
        <v>6726</v>
      </c>
      <c r="O9" s="33">
        <v>20</v>
      </c>
    </row>
    <row r="10" spans="1:15">
      <c r="A10" s="33">
        <v>8</v>
      </c>
      <c r="B10" s="35">
        <v>44982.6320486111</v>
      </c>
      <c r="C10" s="33" t="s">
        <v>6727</v>
      </c>
      <c r="D10" s="33"/>
      <c r="E10" s="33">
        <v>200</v>
      </c>
      <c r="K10" s="33">
        <v>8</v>
      </c>
      <c r="L10" s="35">
        <v>44996.6060763889</v>
      </c>
      <c r="M10" s="33" t="s">
        <v>6728</v>
      </c>
      <c r="N10" s="33" t="s">
        <v>6729</v>
      </c>
      <c r="O10" s="33">
        <v>8288</v>
      </c>
    </row>
    <row r="11" spans="1:15">
      <c r="A11" s="33">
        <v>9</v>
      </c>
      <c r="B11" s="35">
        <v>44982.7794444444</v>
      </c>
      <c r="C11" s="33" t="s">
        <v>6730</v>
      </c>
      <c r="D11" s="33"/>
      <c r="E11" s="33">
        <v>45000</v>
      </c>
      <c r="K11" s="33">
        <v>9</v>
      </c>
      <c r="L11" s="35">
        <v>44996.6918402778</v>
      </c>
      <c r="M11" s="33" t="s">
        <v>537</v>
      </c>
      <c r="N11" s="33" t="s">
        <v>6731</v>
      </c>
      <c r="O11" s="33">
        <v>16000</v>
      </c>
    </row>
    <row r="12" spans="1:15">
      <c r="A12" s="33">
        <v>10</v>
      </c>
      <c r="B12" s="35">
        <v>44982.7980671296</v>
      </c>
      <c r="C12" s="33" t="s">
        <v>6732</v>
      </c>
      <c r="D12" s="33"/>
      <c r="E12" s="33">
        <v>110</v>
      </c>
      <c r="K12" s="33">
        <v>10</v>
      </c>
      <c r="L12" s="35">
        <v>44996.6920023148</v>
      </c>
      <c r="M12" s="33" t="s">
        <v>6717</v>
      </c>
      <c r="N12" s="33" t="s">
        <v>469</v>
      </c>
      <c r="O12" s="33">
        <v>3000</v>
      </c>
    </row>
    <row r="13" spans="1:15">
      <c r="A13" s="33">
        <v>11</v>
      </c>
      <c r="B13" s="35">
        <v>44982.8242824074</v>
      </c>
      <c r="C13" s="33" t="s">
        <v>6733</v>
      </c>
      <c r="D13" s="33"/>
      <c r="E13" s="33">
        <v>10</v>
      </c>
      <c r="K13" s="33">
        <v>11</v>
      </c>
      <c r="L13" s="35">
        <v>44998.7522337963</v>
      </c>
      <c r="M13" s="33" t="s">
        <v>6717</v>
      </c>
      <c r="N13" s="33" t="s">
        <v>6734</v>
      </c>
      <c r="O13" s="33">
        <v>2500</v>
      </c>
    </row>
    <row r="14" spans="1:15">
      <c r="A14" s="33">
        <v>12</v>
      </c>
      <c r="B14" s="35">
        <v>44984.5409722222</v>
      </c>
      <c r="C14" s="33" t="s">
        <v>6735</v>
      </c>
      <c r="D14" s="33" t="s">
        <v>6736</v>
      </c>
      <c r="E14" s="33">
        <v>10000</v>
      </c>
      <c r="K14" s="33">
        <v>12</v>
      </c>
      <c r="L14" s="35">
        <v>45002.4083333333</v>
      </c>
      <c r="M14" s="33" t="s">
        <v>6737</v>
      </c>
      <c r="N14" s="33" t="s">
        <v>6738</v>
      </c>
      <c r="O14" s="33">
        <v>10000</v>
      </c>
    </row>
    <row r="15" spans="1:15">
      <c r="A15" s="33">
        <v>13</v>
      </c>
      <c r="B15" s="35">
        <v>44984.5413541667</v>
      </c>
      <c r="C15" s="33" t="s">
        <v>6739</v>
      </c>
      <c r="D15" s="33" t="s">
        <v>6736</v>
      </c>
      <c r="E15" s="33">
        <v>5000</v>
      </c>
      <c r="K15" s="33">
        <v>13</v>
      </c>
      <c r="L15" s="35">
        <v>45005.7370717593</v>
      </c>
      <c r="M15" s="33" t="s">
        <v>6740</v>
      </c>
      <c r="N15" s="33" t="s">
        <v>6741</v>
      </c>
      <c r="O15" s="33">
        <v>72000</v>
      </c>
    </row>
    <row r="16" spans="1:15">
      <c r="A16" s="33">
        <v>14</v>
      </c>
      <c r="B16" s="35">
        <v>44984.5415509259</v>
      </c>
      <c r="C16" s="33" t="s">
        <v>6742</v>
      </c>
      <c r="D16" s="33" t="s">
        <v>6743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6718</v>
      </c>
      <c r="D17" s="33"/>
      <c r="E17" s="33">
        <v>70</v>
      </c>
    </row>
    <row r="18" spans="1:5">
      <c r="A18" s="33">
        <v>16</v>
      </c>
      <c r="B18" s="35">
        <v>44985.7568634259</v>
      </c>
      <c r="C18" s="33" t="s">
        <v>6744</v>
      </c>
      <c r="D18" s="33" t="s">
        <v>6745</v>
      </c>
      <c r="E18" s="33">
        <v>500</v>
      </c>
    </row>
    <row r="19" spans="1:5">
      <c r="A19" s="33">
        <v>17</v>
      </c>
      <c r="B19" s="35">
        <v>44985.7949884259</v>
      </c>
      <c r="C19" s="33" t="s">
        <v>6718</v>
      </c>
      <c r="D19" s="33"/>
      <c r="E19" s="33">
        <v>70</v>
      </c>
    </row>
    <row r="20" spans="1:5">
      <c r="A20" s="33">
        <v>18</v>
      </c>
      <c r="B20" s="35">
        <v>44985.795150463</v>
      </c>
      <c r="C20" s="33" t="s">
        <v>6733</v>
      </c>
      <c r="D20" s="33"/>
      <c r="E20" s="33">
        <v>1</v>
      </c>
    </row>
    <row r="21" spans="1:5">
      <c r="A21" s="33">
        <v>19</v>
      </c>
      <c r="B21" s="35">
        <v>44986.6450578704</v>
      </c>
      <c r="C21" s="33" t="s">
        <v>6746</v>
      </c>
      <c r="D21" s="33" t="s">
        <v>6747</v>
      </c>
      <c r="E21" s="33">
        <v>120</v>
      </c>
    </row>
    <row r="22" spans="1:5">
      <c r="A22" s="33">
        <v>20</v>
      </c>
      <c r="B22" s="35">
        <v>44986.6881481481</v>
      </c>
      <c r="C22" s="33" t="s">
        <v>6733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6718</v>
      </c>
      <c r="D23" s="33"/>
      <c r="E23" s="33">
        <v>80</v>
      </c>
    </row>
    <row r="24" spans="1:5">
      <c r="A24" s="33">
        <v>22</v>
      </c>
      <c r="B24" s="35">
        <v>44987.5002430556</v>
      </c>
      <c r="C24" s="33" t="s">
        <v>6748</v>
      </c>
      <c r="D24" s="33" t="s">
        <v>6749</v>
      </c>
      <c r="E24" s="33">
        <v>140</v>
      </c>
    </row>
    <row r="25" spans="1:5">
      <c r="A25" s="33">
        <v>23</v>
      </c>
      <c r="B25" s="35">
        <v>44987.6005787037</v>
      </c>
      <c r="C25" s="33" t="s">
        <v>6750</v>
      </c>
      <c r="D25" s="33" t="s">
        <v>6751</v>
      </c>
      <c r="E25" s="33">
        <v>250</v>
      </c>
    </row>
    <row r="26" spans="1:5">
      <c r="A26" s="33">
        <v>24</v>
      </c>
      <c r="B26" s="35">
        <v>44987.6008101852</v>
      </c>
      <c r="C26" s="33" t="s">
        <v>6717</v>
      </c>
      <c r="D26" s="33" t="s">
        <v>6752</v>
      </c>
      <c r="E26" s="33">
        <v>10000</v>
      </c>
    </row>
    <row r="27" spans="1:5">
      <c r="A27" s="33">
        <v>25</v>
      </c>
      <c r="B27" s="35">
        <v>44987.7341550926</v>
      </c>
      <c r="C27" s="33" t="s">
        <v>6753</v>
      </c>
      <c r="D27" s="33"/>
      <c r="E27" s="33">
        <v>530</v>
      </c>
    </row>
    <row r="28" spans="1:5">
      <c r="A28" s="33">
        <v>26</v>
      </c>
      <c r="B28" s="35">
        <v>44987.7366435185</v>
      </c>
      <c r="C28" s="33" t="s">
        <v>6754</v>
      </c>
      <c r="D28" s="33" t="s">
        <v>6755</v>
      </c>
      <c r="E28" s="33">
        <v>40</v>
      </c>
    </row>
    <row r="29" spans="1:5">
      <c r="A29" s="33">
        <v>27</v>
      </c>
      <c r="B29" s="35">
        <v>44987.7890277778</v>
      </c>
      <c r="C29" s="33" t="s">
        <v>6718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6733</v>
      </c>
      <c r="D30" s="33"/>
      <c r="E30" s="33">
        <v>5</v>
      </c>
    </row>
    <row r="31" spans="1:5">
      <c r="A31" s="33">
        <v>29</v>
      </c>
      <c r="B31" s="35">
        <v>44987.8555787037</v>
      </c>
      <c r="C31" s="33" t="s">
        <v>6756</v>
      </c>
      <c r="D31" s="33"/>
      <c r="E31" s="33">
        <v>1100</v>
      </c>
    </row>
    <row r="32" spans="1:5">
      <c r="A32" s="33">
        <v>30</v>
      </c>
      <c r="B32" s="35">
        <v>44987.8555787037</v>
      </c>
      <c r="C32" s="33" t="s">
        <v>6757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6758</v>
      </c>
      <c r="D33" s="33" t="s">
        <v>6759</v>
      </c>
      <c r="E33" s="33">
        <v>101</v>
      </c>
    </row>
    <row r="34" spans="1:5">
      <c r="A34" s="33">
        <v>32</v>
      </c>
      <c r="B34" s="35">
        <v>44988.7115972222</v>
      </c>
      <c r="C34" s="33" t="s">
        <v>6760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6761</v>
      </c>
      <c r="D35" s="33" t="s">
        <v>6762</v>
      </c>
      <c r="E35" s="33">
        <v>50</v>
      </c>
    </row>
    <row r="36" spans="1:5">
      <c r="A36" s="33">
        <v>34</v>
      </c>
      <c r="B36" s="35">
        <v>44988.7124884259</v>
      </c>
      <c r="C36" s="33" t="s">
        <v>6763</v>
      </c>
      <c r="D36" s="33" t="s">
        <v>6764</v>
      </c>
      <c r="E36" s="33">
        <v>1000</v>
      </c>
    </row>
    <row r="37" spans="1:5">
      <c r="A37" s="33">
        <v>35</v>
      </c>
      <c r="B37" s="35">
        <v>44988.7127199074</v>
      </c>
      <c r="C37" s="33" t="s">
        <v>6765</v>
      </c>
      <c r="D37" s="33" t="s">
        <v>6766</v>
      </c>
      <c r="E37" s="33">
        <v>5</v>
      </c>
    </row>
    <row r="38" spans="1:5">
      <c r="A38" s="33">
        <v>36</v>
      </c>
      <c r="B38" s="35">
        <v>44988.7607291667</v>
      </c>
      <c r="C38" s="33" t="s">
        <v>6767</v>
      </c>
      <c r="D38" s="33" t="s">
        <v>6768</v>
      </c>
      <c r="E38" s="33">
        <v>502</v>
      </c>
    </row>
    <row r="39" spans="1:5">
      <c r="A39" s="33">
        <v>37</v>
      </c>
      <c r="B39" s="35">
        <v>44988.8263541667</v>
      </c>
      <c r="C39" s="33" t="s">
        <v>6769</v>
      </c>
      <c r="D39" s="33" t="s">
        <v>6770</v>
      </c>
      <c r="E39" s="33">
        <v>2500</v>
      </c>
    </row>
    <row r="40" spans="1:5">
      <c r="A40" s="33">
        <v>38</v>
      </c>
      <c r="B40" s="35">
        <v>44988.8265046296</v>
      </c>
      <c r="C40" s="33" t="s">
        <v>6718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6771</v>
      </c>
      <c r="D41" s="33" t="s">
        <v>6772</v>
      </c>
      <c r="E41" s="33">
        <v>700</v>
      </c>
    </row>
    <row r="42" spans="1:5">
      <c r="A42" s="33">
        <v>40</v>
      </c>
      <c r="B42" s="35">
        <v>44988.8269675926</v>
      </c>
      <c r="C42" s="33" t="s">
        <v>6733</v>
      </c>
      <c r="D42" s="33"/>
      <c r="E42" s="33">
        <v>5</v>
      </c>
    </row>
    <row r="43" spans="1:5">
      <c r="A43" s="33">
        <v>41</v>
      </c>
      <c r="B43" s="35">
        <v>44989.809525463</v>
      </c>
      <c r="C43" s="33" t="s">
        <v>6724</v>
      </c>
      <c r="D43" s="33"/>
      <c r="E43" s="33">
        <v>10</v>
      </c>
    </row>
    <row r="44" spans="1:5">
      <c r="A44" s="33">
        <v>42</v>
      </c>
      <c r="B44" s="35">
        <v>44989.8097916667</v>
      </c>
      <c r="C44" s="33" t="s">
        <v>6744</v>
      </c>
      <c r="D44" s="33" t="s">
        <v>6773</v>
      </c>
      <c r="E44" s="33">
        <v>5154</v>
      </c>
    </row>
    <row r="45" spans="1:5">
      <c r="A45" s="33">
        <v>43</v>
      </c>
      <c r="B45" s="35">
        <v>44989.8100462963</v>
      </c>
      <c r="C45" s="33" t="s">
        <v>6774</v>
      </c>
      <c r="D45" s="33" t="s">
        <v>6773</v>
      </c>
      <c r="E45" s="33">
        <v>3346</v>
      </c>
    </row>
    <row r="46" spans="1:5">
      <c r="A46" s="33">
        <v>44</v>
      </c>
      <c r="B46" s="35">
        <v>44989.8103125</v>
      </c>
      <c r="C46" s="33" t="s">
        <v>6733</v>
      </c>
      <c r="D46" s="33" t="s">
        <v>6775</v>
      </c>
      <c r="E46" s="33">
        <v>155</v>
      </c>
    </row>
    <row r="47" spans="1:5">
      <c r="A47" s="33">
        <v>45</v>
      </c>
      <c r="B47" s="35">
        <v>44989.8104513889</v>
      </c>
      <c r="C47" s="33" t="s">
        <v>6776</v>
      </c>
      <c r="D47" s="33" t="s">
        <v>6776</v>
      </c>
      <c r="E47" s="33">
        <v>30</v>
      </c>
    </row>
    <row r="48" spans="1:5">
      <c r="A48" s="33">
        <v>46</v>
      </c>
      <c r="B48" s="35">
        <v>44989.8106365741</v>
      </c>
      <c r="C48" s="33" t="s">
        <v>6777</v>
      </c>
      <c r="D48" s="33" t="s">
        <v>6778</v>
      </c>
      <c r="E48" s="33">
        <v>300</v>
      </c>
    </row>
    <row r="49" spans="1:5">
      <c r="A49" s="33">
        <v>47</v>
      </c>
      <c r="B49" s="35">
        <v>44989.8108680556</v>
      </c>
      <c r="C49" s="33" t="s">
        <v>6779</v>
      </c>
      <c r="D49" s="33" t="s">
        <v>6780</v>
      </c>
      <c r="E49" s="33">
        <v>6000</v>
      </c>
    </row>
    <row r="50" spans="1:5">
      <c r="A50" s="33">
        <v>48</v>
      </c>
      <c r="B50" s="35">
        <v>44989.81125</v>
      </c>
      <c r="C50" s="33" t="s">
        <v>6781</v>
      </c>
      <c r="D50" s="33" t="s">
        <v>6782</v>
      </c>
      <c r="E50" s="33">
        <v>500</v>
      </c>
    </row>
    <row r="51" spans="1:5">
      <c r="A51" s="33">
        <v>49</v>
      </c>
      <c r="B51" s="35">
        <v>44989.8170949074</v>
      </c>
      <c r="C51" s="33" t="s">
        <v>6783</v>
      </c>
      <c r="D51" s="33" t="s">
        <v>6784</v>
      </c>
      <c r="E51" s="33">
        <v>28000</v>
      </c>
    </row>
    <row r="52" spans="1:5">
      <c r="A52" s="33">
        <v>50</v>
      </c>
      <c r="B52" s="35">
        <v>44989.8175578704</v>
      </c>
      <c r="C52" s="33" t="s">
        <v>6785</v>
      </c>
      <c r="D52" s="33" t="s">
        <v>6786</v>
      </c>
      <c r="E52" s="33">
        <v>6000</v>
      </c>
    </row>
    <row r="53" spans="1:5">
      <c r="A53" s="33">
        <v>51</v>
      </c>
      <c r="B53" s="35">
        <v>44989.8346643519</v>
      </c>
      <c r="C53" s="33" t="s">
        <v>6718</v>
      </c>
      <c r="D53" s="33"/>
      <c r="E53" s="33">
        <v>70</v>
      </c>
    </row>
    <row r="54" spans="1:5">
      <c r="A54" s="33">
        <v>52</v>
      </c>
      <c r="B54" s="35">
        <v>44991.8243402778</v>
      </c>
      <c r="C54" s="33" t="s">
        <v>6717</v>
      </c>
      <c r="D54" s="33" t="s">
        <v>6787</v>
      </c>
      <c r="E54" s="33">
        <v>5500</v>
      </c>
    </row>
    <row r="55" spans="1:5">
      <c r="A55" s="33">
        <v>53</v>
      </c>
      <c r="B55" s="35">
        <v>44991.8246180556</v>
      </c>
      <c r="C55" s="33" t="s">
        <v>6785</v>
      </c>
      <c r="D55" s="33" t="s">
        <v>6773</v>
      </c>
      <c r="E55" s="33">
        <v>2000</v>
      </c>
    </row>
    <row r="56" spans="1:5">
      <c r="A56" s="33">
        <v>54</v>
      </c>
      <c r="B56" s="35">
        <v>44991.8248148148</v>
      </c>
      <c r="C56" s="33" t="s">
        <v>6788</v>
      </c>
      <c r="D56" s="33"/>
      <c r="E56" s="33">
        <v>850</v>
      </c>
    </row>
    <row r="57" spans="1:5">
      <c r="A57" s="33">
        <v>55</v>
      </c>
      <c r="B57" s="35">
        <v>44991.8250115741</v>
      </c>
      <c r="C57" s="33" t="s">
        <v>6732</v>
      </c>
      <c r="D57" s="33"/>
      <c r="E57" s="33">
        <v>150</v>
      </c>
    </row>
    <row r="58" spans="1:5">
      <c r="A58" s="33">
        <v>56</v>
      </c>
      <c r="B58" s="35">
        <v>44991.8256134259</v>
      </c>
      <c r="C58" s="33" t="s">
        <v>6789</v>
      </c>
      <c r="D58" s="33" t="s">
        <v>6790</v>
      </c>
      <c r="E58" s="33">
        <v>700</v>
      </c>
    </row>
    <row r="59" spans="1:5">
      <c r="A59" s="33">
        <v>57</v>
      </c>
      <c r="B59" s="35">
        <v>44991.8260648148</v>
      </c>
      <c r="C59" s="33" t="s">
        <v>6791</v>
      </c>
      <c r="D59" s="33" t="s">
        <v>6792</v>
      </c>
      <c r="E59" s="33">
        <v>500</v>
      </c>
    </row>
    <row r="60" spans="1:5">
      <c r="A60" s="33">
        <v>58</v>
      </c>
      <c r="B60" s="35">
        <v>44991.8261342593</v>
      </c>
      <c r="C60" s="33" t="s">
        <v>6733</v>
      </c>
      <c r="D60" s="33"/>
      <c r="E60" s="33">
        <v>5</v>
      </c>
    </row>
    <row r="61" spans="1:5">
      <c r="A61" s="33">
        <v>59</v>
      </c>
      <c r="B61" s="35">
        <v>44992.6615856482</v>
      </c>
      <c r="C61" s="33" t="s">
        <v>6791</v>
      </c>
      <c r="D61" s="33" t="s">
        <v>6751</v>
      </c>
      <c r="E61" s="33">
        <v>2500</v>
      </c>
    </row>
    <row r="62" spans="1:5">
      <c r="A62" s="33">
        <v>60</v>
      </c>
      <c r="B62" s="35">
        <v>44992.6625462963</v>
      </c>
      <c r="C62" s="33" t="s">
        <v>6793</v>
      </c>
      <c r="D62" s="33" t="s">
        <v>6794</v>
      </c>
      <c r="E62" s="33">
        <v>152</v>
      </c>
    </row>
    <row r="63" spans="1:5">
      <c r="A63" s="33">
        <v>61</v>
      </c>
      <c r="B63" s="35">
        <v>44992.7584259259</v>
      </c>
      <c r="C63" s="33" t="s">
        <v>6718</v>
      </c>
      <c r="D63" s="33"/>
      <c r="E63" s="33">
        <v>60</v>
      </c>
    </row>
    <row r="64" spans="1:5">
      <c r="A64" s="33">
        <v>62</v>
      </c>
      <c r="B64" s="35">
        <v>44995.5594560185</v>
      </c>
      <c r="C64" s="33" t="s">
        <v>6795</v>
      </c>
      <c r="D64" s="33" t="s">
        <v>6796</v>
      </c>
      <c r="E64" s="33">
        <v>500</v>
      </c>
    </row>
    <row r="65" spans="1:5">
      <c r="A65" s="33">
        <v>63</v>
      </c>
      <c r="B65" s="35">
        <v>44995.6940740741</v>
      </c>
      <c r="C65" s="33" t="s">
        <v>6797</v>
      </c>
      <c r="D65" s="33" t="s">
        <v>6798</v>
      </c>
      <c r="E65" s="33">
        <v>1200</v>
      </c>
    </row>
    <row r="66" spans="1:5">
      <c r="A66" s="33">
        <v>64</v>
      </c>
      <c r="B66" s="35">
        <v>44995.6956365741</v>
      </c>
      <c r="C66" s="33" t="s">
        <v>6799</v>
      </c>
      <c r="D66" s="33"/>
      <c r="E66" s="33">
        <v>20</v>
      </c>
    </row>
    <row r="67" spans="1:5">
      <c r="A67" s="33">
        <v>65</v>
      </c>
      <c r="B67" s="35">
        <v>44995.7675925926</v>
      </c>
      <c r="C67" s="33" t="s">
        <v>6718</v>
      </c>
      <c r="D67" s="33"/>
      <c r="E67" s="33">
        <v>150</v>
      </c>
    </row>
    <row r="68" spans="1:5">
      <c r="A68" s="33">
        <v>66</v>
      </c>
      <c r="B68" s="35">
        <v>44995.7677662037</v>
      </c>
      <c r="C68" s="33" t="s">
        <v>6788</v>
      </c>
      <c r="D68" s="33" t="s">
        <v>6778</v>
      </c>
      <c r="E68" s="33">
        <v>545</v>
      </c>
    </row>
    <row r="69" spans="1:5">
      <c r="A69" s="33">
        <v>67</v>
      </c>
      <c r="B69" s="35">
        <v>44995.7880324074</v>
      </c>
      <c r="C69" s="33" t="s">
        <v>6777</v>
      </c>
      <c r="D69" s="33"/>
      <c r="E69" s="33">
        <v>180</v>
      </c>
    </row>
    <row r="70" spans="1:5">
      <c r="A70" s="33">
        <v>68</v>
      </c>
      <c r="B70" s="35">
        <v>44996.5276736111</v>
      </c>
      <c r="C70" s="33" t="s">
        <v>6724</v>
      </c>
      <c r="D70" s="33"/>
      <c r="E70" s="33">
        <v>10</v>
      </c>
    </row>
    <row r="71" spans="1:5">
      <c r="A71" s="33">
        <v>69</v>
      </c>
      <c r="B71" s="35">
        <v>44996.5977199074</v>
      </c>
      <c r="C71" s="33" t="s">
        <v>6800</v>
      </c>
      <c r="D71" s="33" t="s">
        <v>6801</v>
      </c>
      <c r="E71" s="33">
        <v>500</v>
      </c>
    </row>
    <row r="72" spans="1:5">
      <c r="A72" s="33">
        <v>70</v>
      </c>
      <c r="B72" s="35">
        <v>44996.5980208333</v>
      </c>
      <c r="C72" s="33" t="s">
        <v>6802</v>
      </c>
      <c r="D72" s="33" t="s">
        <v>6803</v>
      </c>
      <c r="E72" s="33">
        <v>13000</v>
      </c>
    </row>
    <row r="73" spans="1:5">
      <c r="A73" s="33">
        <v>71</v>
      </c>
      <c r="B73" s="35">
        <v>44996.598287037</v>
      </c>
      <c r="C73" s="33" t="s">
        <v>6804</v>
      </c>
      <c r="D73" s="33"/>
      <c r="E73" s="33">
        <v>1200</v>
      </c>
    </row>
    <row r="74" spans="1:5">
      <c r="A74" s="33">
        <v>72</v>
      </c>
      <c r="B74" s="35">
        <v>44996.7706018519</v>
      </c>
      <c r="C74" s="33" t="s">
        <v>6805</v>
      </c>
      <c r="D74" s="33" t="s">
        <v>6778</v>
      </c>
      <c r="E74" s="33">
        <v>320</v>
      </c>
    </row>
    <row r="75" spans="1:5">
      <c r="A75" s="33">
        <v>73</v>
      </c>
      <c r="B75" s="35">
        <v>44996.7706828704</v>
      </c>
      <c r="C75" s="33" t="s">
        <v>6718</v>
      </c>
      <c r="D75" s="33"/>
      <c r="E75" s="33">
        <v>90</v>
      </c>
    </row>
    <row r="76" spans="1:5">
      <c r="A76" s="33">
        <v>74</v>
      </c>
      <c r="B76" s="35">
        <v>44996.7709722222</v>
      </c>
      <c r="C76" s="33" t="s">
        <v>6791</v>
      </c>
      <c r="D76" s="33" t="s">
        <v>6751</v>
      </c>
      <c r="E76" s="33">
        <v>500</v>
      </c>
    </row>
    <row r="77" spans="1:5">
      <c r="A77" s="33">
        <v>75</v>
      </c>
      <c r="B77" s="35">
        <v>44996.7711574074</v>
      </c>
      <c r="C77" s="33" t="s">
        <v>6737</v>
      </c>
      <c r="D77" s="33" t="s">
        <v>6806</v>
      </c>
      <c r="E77" s="33">
        <v>10000</v>
      </c>
    </row>
    <row r="78" spans="1:5">
      <c r="A78" s="33">
        <v>76</v>
      </c>
      <c r="B78" s="35">
        <v>44996.797337963</v>
      </c>
      <c r="C78" s="33" t="s">
        <v>6807</v>
      </c>
      <c r="D78" s="33" t="s">
        <v>6778</v>
      </c>
      <c r="E78" s="33">
        <v>230</v>
      </c>
    </row>
    <row r="79" spans="1:5">
      <c r="A79" s="33">
        <v>77</v>
      </c>
      <c r="B79" s="35">
        <v>44997.5845949074</v>
      </c>
      <c r="C79" s="33" t="s">
        <v>6808</v>
      </c>
      <c r="D79" s="33" t="s">
        <v>6803</v>
      </c>
      <c r="E79" s="33">
        <v>17000</v>
      </c>
    </row>
    <row r="80" spans="1:5">
      <c r="A80" s="33">
        <v>78</v>
      </c>
      <c r="B80" s="35">
        <v>44998.506712963</v>
      </c>
      <c r="C80" s="33" t="s">
        <v>6768</v>
      </c>
      <c r="D80" s="33" t="s">
        <v>6809</v>
      </c>
      <c r="E80" s="33">
        <v>600</v>
      </c>
    </row>
    <row r="81" spans="1:5">
      <c r="A81" s="33">
        <v>79</v>
      </c>
      <c r="B81" s="35">
        <v>44998.7524884259</v>
      </c>
      <c r="C81" s="33" t="s">
        <v>6774</v>
      </c>
      <c r="D81" s="33" t="s">
        <v>6810</v>
      </c>
      <c r="E81" s="33">
        <v>2500</v>
      </c>
    </row>
    <row r="82" spans="1:5">
      <c r="A82" s="33">
        <v>80</v>
      </c>
      <c r="B82" s="35">
        <v>44998.8210300926</v>
      </c>
      <c r="C82" s="33" t="s">
        <v>6718</v>
      </c>
      <c r="D82" s="33"/>
      <c r="E82" s="33">
        <v>60</v>
      </c>
    </row>
    <row r="83" spans="1:5">
      <c r="A83" s="33">
        <v>81</v>
      </c>
      <c r="B83" s="35">
        <v>44999.7714814815</v>
      </c>
      <c r="C83" s="33" t="s">
        <v>6811</v>
      </c>
      <c r="D83" s="33"/>
      <c r="E83" s="33">
        <v>102</v>
      </c>
    </row>
    <row r="84" spans="1:5">
      <c r="A84" s="33">
        <v>82</v>
      </c>
      <c r="B84" s="35">
        <v>44999.7717361111</v>
      </c>
      <c r="C84" s="33" t="s">
        <v>6812</v>
      </c>
      <c r="D84" s="33" t="s">
        <v>6813</v>
      </c>
      <c r="E84" s="33">
        <v>3500</v>
      </c>
    </row>
    <row r="85" spans="1:5">
      <c r="A85" s="33">
        <v>83</v>
      </c>
      <c r="B85" s="35">
        <v>44999.7721180556</v>
      </c>
      <c r="C85" s="33" t="s">
        <v>6814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6815</v>
      </c>
      <c r="D86" s="33" t="s">
        <v>6813</v>
      </c>
      <c r="E86" s="33">
        <v>160</v>
      </c>
    </row>
    <row r="87" spans="1:5">
      <c r="A87" s="33">
        <v>85</v>
      </c>
      <c r="B87" s="35">
        <v>45000.8109143519</v>
      </c>
      <c r="C87" s="33" t="s">
        <v>6791</v>
      </c>
      <c r="D87" s="33" t="s">
        <v>6751</v>
      </c>
      <c r="E87" s="33">
        <v>1000</v>
      </c>
    </row>
    <row r="88" spans="1:5">
      <c r="A88" s="33">
        <v>86</v>
      </c>
      <c r="B88" s="35">
        <v>45000.8110763889</v>
      </c>
      <c r="C88" s="33" t="s">
        <v>6718</v>
      </c>
      <c r="D88" s="33"/>
      <c r="E88" s="33">
        <v>110</v>
      </c>
    </row>
    <row r="89" spans="1:5">
      <c r="A89" s="33">
        <v>87</v>
      </c>
      <c r="B89" s="35">
        <v>45000.8111574074</v>
      </c>
      <c r="C89" s="33" t="s">
        <v>6733</v>
      </c>
      <c r="D89" s="33"/>
      <c r="E89" s="33">
        <v>2</v>
      </c>
    </row>
    <row r="90" spans="1:5">
      <c r="A90" s="33">
        <v>88</v>
      </c>
      <c r="B90" s="35">
        <v>45001.43875</v>
      </c>
      <c r="C90" s="33" t="s">
        <v>6816</v>
      </c>
      <c r="D90" s="33" t="s">
        <v>6813</v>
      </c>
      <c r="E90" s="33">
        <v>3760</v>
      </c>
    </row>
    <row r="91" spans="1:5">
      <c r="A91" s="33">
        <v>89</v>
      </c>
      <c r="B91" s="35">
        <v>45001.8366898148</v>
      </c>
      <c r="C91" s="33" t="s">
        <v>6754</v>
      </c>
      <c r="D91" s="33" t="s">
        <v>6751</v>
      </c>
      <c r="E91" s="33">
        <v>80</v>
      </c>
    </row>
    <row r="92" spans="1:5">
      <c r="A92" s="33">
        <v>90</v>
      </c>
      <c r="B92" s="35">
        <v>45001.836875</v>
      </c>
      <c r="C92" s="33" t="s">
        <v>6817</v>
      </c>
      <c r="D92" s="33" t="s">
        <v>6751</v>
      </c>
      <c r="E92" s="33">
        <v>380</v>
      </c>
    </row>
    <row r="93" spans="1:5">
      <c r="A93" s="33">
        <v>91</v>
      </c>
      <c r="B93" s="35">
        <v>45001.8370601852</v>
      </c>
      <c r="C93" s="33" t="s">
        <v>6818</v>
      </c>
      <c r="D93" s="33" t="s">
        <v>6751</v>
      </c>
      <c r="E93" s="33">
        <v>2000</v>
      </c>
    </row>
    <row r="94" spans="1:5">
      <c r="A94" s="33">
        <v>92</v>
      </c>
      <c r="B94" s="35">
        <v>45001.8371875</v>
      </c>
      <c r="C94" s="33" t="s">
        <v>6718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6733</v>
      </c>
      <c r="D95" s="33"/>
      <c r="E95" s="33">
        <v>2</v>
      </c>
    </row>
    <row r="96" spans="1:5">
      <c r="A96" s="33">
        <v>94</v>
      </c>
      <c r="B96" s="35">
        <v>45002.5216666667</v>
      </c>
      <c r="C96" s="33" t="s">
        <v>6819</v>
      </c>
      <c r="D96" s="33" t="s">
        <v>6820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6821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6733</v>
      </c>
      <c r="D98" s="33"/>
      <c r="E98" s="33">
        <v>5</v>
      </c>
    </row>
    <row r="99" spans="1:5">
      <c r="A99" s="33">
        <v>97</v>
      </c>
      <c r="B99" s="35">
        <v>45002.8029282407</v>
      </c>
      <c r="C99" s="33" t="s">
        <v>6788</v>
      </c>
      <c r="D99" s="33"/>
      <c r="E99" s="33">
        <v>850</v>
      </c>
    </row>
    <row r="100" spans="1:5">
      <c r="A100" s="33">
        <v>98</v>
      </c>
      <c r="B100" s="35">
        <v>45003.4185532407</v>
      </c>
      <c r="C100" s="33" t="s">
        <v>6822</v>
      </c>
      <c r="D100" s="33" t="s">
        <v>6751</v>
      </c>
      <c r="E100" s="33">
        <v>240</v>
      </c>
    </row>
    <row r="101" spans="1:5">
      <c r="A101" s="33">
        <v>99</v>
      </c>
      <c r="B101" s="35">
        <v>45003.4468981481</v>
      </c>
      <c r="C101" s="33" t="s">
        <v>6724</v>
      </c>
      <c r="D101" s="33"/>
      <c r="E101" s="33">
        <v>10</v>
      </c>
    </row>
    <row r="102" spans="1:5">
      <c r="A102" s="33">
        <v>100</v>
      </c>
      <c r="B102" s="35">
        <v>45003.5190162037</v>
      </c>
      <c r="C102" s="33" t="s">
        <v>6818</v>
      </c>
      <c r="D102" s="33" t="s">
        <v>6751</v>
      </c>
      <c r="E102" s="33">
        <v>100</v>
      </c>
    </row>
    <row r="103" spans="1:5">
      <c r="A103" s="33">
        <v>101</v>
      </c>
      <c r="B103" s="35">
        <v>45003.779212963</v>
      </c>
      <c r="C103" s="33" t="s">
        <v>6823</v>
      </c>
      <c r="D103" s="33"/>
      <c r="E103" s="33">
        <v>186</v>
      </c>
    </row>
    <row r="104" spans="1:5">
      <c r="A104" s="33">
        <v>102</v>
      </c>
      <c r="B104" s="35">
        <v>45003.7794328704</v>
      </c>
      <c r="C104" s="33" t="s">
        <v>6717</v>
      </c>
      <c r="D104" s="33" t="s">
        <v>6824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6733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6825</v>
      </c>
      <c r="D106" s="33" t="s">
        <v>6826</v>
      </c>
      <c r="E106" s="33">
        <v>775</v>
      </c>
    </row>
    <row r="107" spans="1:5">
      <c r="A107" s="33">
        <v>105</v>
      </c>
      <c r="B107" s="35">
        <v>45005.7378125</v>
      </c>
      <c r="C107" s="33" t="s">
        <v>6809</v>
      </c>
      <c r="D107" s="33" t="s">
        <v>6751</v>
      </c>
      <c r="E107" s="33">
        <v>400</v>
      </c>
    </row>
    <row r="108" spans="1:5">
      <c r="A108" s="33">
        <v>106</v>
      </c>
      <c r="B108" s="35">
        <v>45005.7385300926</v>
      </c>
      <c r="C108" s="33" t="s">
        <v>6827</v>
      </c>
      <c r="D108" s="33" t="s">
        <v>6751</v>
      </c>
      <c r="E108" s="33">
        <v>60</v>
      </c>
    </row>
    <row r="109" spans="1:5">
      <c r="A109" s="33">
        <v>107</v>
      </c>
      <c r="B109" s="35">
        <v>45005.7388194444</v>
      </c>
      <c r="C109" s="33" t="s">
        <v>6828</v>
      </c>
      <c r="D109" s="33" t="s">
        <v>6751</v>
      </c>
      <c r="E109" s="33">
        <v>200</v>
      </c>
    </row>
    <row r="110" spans="1:5">
      <c r="A110" s="33">
        <v>108</v>
      </c>
      <c r="B110" s="35">
        <v>45005.7588541667</v>
      </c>
      <c r="C110" s="33" t="s">
        <v>6718</v>
      </c>
      <c r="D110" s="33"/>
      <c r="E110" s="33">
        <v>90</v>
      </c>
    </row>
    <row r="111" spans="1:5">
      <c r="A111" s="33">
        <v>109</v>
      </c>
      <c r="B111" s="35">
        <v>45005.7589930556</v>
      </c>
      <c r="C111" s="33" t="s">
        <v>6717</v>
      </c>
      <c r="D111" s="33" t="s">
        <v>6723</v>
      </c>
      <c r="E111" s="33">
        <v>5000</v>
      </c>
    </row>
    <row r="112" spans="1:5">
      <c r="A112" s="33">
        <v>110</v>
      </c>
      <c r="B112" s="35">
        <v>45005.7592361111</v>
      </c>
      <c r="C112" s="33" t="s">
        <v>6829</v>
      </c>
      <c r="D112" s="33" t="s">
        <v>6751</v>
      </c>
      <c r="E112" s="33">
        <v>2500</v>
      </c>
    </row>
    <row r="113" spans="1:5">
      <c r="A113" s="33">
        <v>111</v>
      </c>
      <c r="B113" s="35">
        <v>45005.7731597222</v>
      </c>
      <c r="C113" s="33" t="s">
        <v>6791</v>
      </c>
      <c r="D113" s="33" t="s">
        <v>6751</v>
      </c>
      <c r="E113" s="33">
        <v>4000</v>
      </c>
    </row>
    <row r="114" spans="1:5">
      <c r="A114" s="33">
        <v>112</v>
      </c>
      <c r="B114" s="35">
        <v>45005.8091435185</v>
      </c>
      <c r="C114" s="33" t="s">
        <v>6733</v>
      </c>
      <c r="D114" s="33"/>
      <c r="E114" s="33">
        <v>2</v>
      </c>
    </row>
    <row r="115" spans="1:5">
      <c r="A115" s="33">
        <v>113</v>
      </c>
      <c r="B115" s="35">
        <v>45005.8240509259</v>
      </c>
      <c r="C115" s="33" t="s">
        <v>6830</v>
      </c>
      <c r="D115" s="33" t="s">
        <v>6751</v>
      </c>
      <c r="E115" s="33">
        <v>5000</v>
      </c>
    </row>
    <row r="116" spans="1:5">
      <c r="A116" s="33">
        <v>114</v>
      </c>
      <c r="B116" s="35">
        <v>45006.4474537037</v>
      </c>
      <c r="C116" s="33" t="s">
        <v>6819</v>
      </c>
      <c r="D116" s="33" t="s">
        <v>6778</v>
      </c>
      <c r="E116" s="33">
        <v>3000</v>
      </c>
    </row>
    <row r="117" spans="1:5">
      <c r="A117" s="33">
        <v>115</v>
      </c>
      <c r="B117" s="35">
        <v>45006.4548611111</v>
      </c>
      <c r="C117" s="33" t="s">
        <v>6831</v>
      </c>
      <c r="D117" s="33" t="s">
        <v>6832</v>
      </c>
      <c r="E117" s="33">
        <v>1000</v>
      </c>
    </row>
    <row r="118" spans="1:5">
      <c r="A118" s="33">
        <v>116</v>
      </c>
      <c r="B118" s="35">
        <v>45006.545150463</v>
      </c>
      <c r="C118" s="33" t="s">
        <v>526</v>
      </c>
      <c r="D118" s="33" t="s">
        <v>6833</v>
      </c>
      <c r="E118" s="33">
        <v>1000</v>
      </c>
    </row>
    <row r="119" spans="1:5">
      <c r="A119" s="33">
        <v>117</v>
      </c>
      <c r="B119" s="35">
        <v>45006.8084837963</v>
      </c>
      <c r="C119" s="33" t="s">
        <v>6834</v>
      </c>
      <c r="D119" s="33"/>
      <c r="E119" s="33">
        <v>90</v>
      </c>
    </row>
    <row r="120" spans="1:5">
      <c r="A120" s="33">
        <v>118</v>
      </c>
      <c r="B120" s="35">
        <v>45006.8085532407</v>
      </c>
      <c r="C120" s="33" t="s">
        <v>6733</v>
      </c>
      <c r="D120" s="33"/>
      <c r="E120" s="33">
        <v>5</v>
      </c>
    </row>
    <row r="121" spans="1:5">
      <c r="A121" s="33">
        <v>119</v>
      </c>
      <c r="B121" s="35">
        <v>45006.8268287037</v>
      </c>
      <c r="C121" s="33" t="s">
        <v>6779</v>
      </c>
      <c r="D121" s="33" t="s">
        <v>6780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6835</v>
      </c>
      <c r="D122" s="33" t="s">
        <v>6836</v>
      </c>
      <c r="E122" s="33">
        <v>300</v>
      </c>
    </row>
    <row r="123" spans="1:5">
      <c r="A123" s="33">
        <v>121</v>
      </c>
      <c r="B123" s="35">
        <v>45007.5655092593</v>
      </c>
      <c r="C123" s="33" t="s">
        <v>6837</v>
      </c>
      <c r="D123" s="33" t="s">
        <v>6751</v>
      </c>
      <c r="E123" s="33">
        <v>40</v>
      </c>
    </row>
    <row r="124" spans="1:5">
      <c r="A124" s="33">
        <v>122</v>
      </c>
      <c r="B124" s="35">
        <v>45007.5656365741</v>
      </c>
      <c r="C124" s="33" t="s">
        <v>6742</v>
      </c>
      <c r="D124" s="33" t="s">
        <v>6743</v>
      </c>
      <c r="E124" s="33">
        <v>110</v>
      </c>
    </row>
    <row r="125" spans="1:5">
      <c r="A125" s="33">
        <v>123</v>
      </c>
      <c r="B125" s="35">
        <v>45007.8421875</v>
      </c>
      <c r="C125" s="33" t="s">
        <v>6718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6733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6838</v>
      </c>
      <c r="D127" s="33" t="s">
        <v>6751</v>
      </c>
      <c r="E127" s="33">
        <v>1100</v>
      </c>
    </row>
    <row r="128" spans="1:5">
      <c r="A128" s="33">
        <v>126</v>
      </c>
      <c r="B128" s="35">
        <v>45008.5639467593</v>
      </c>
      <c r="C128" s="33" t="s">
        <v>6839</v>
      </c>
      <c r="D128" s="33" t="s">
        <v>6826</v>
      </c>
      <c r="E128" s="33">
        <v>400</v>
      </c>
    </row>
    <row r="129" spans="1:5">
      <c r="A129" s="33">
        <v>127</v>
      </c>
      <c r="B129" s="35">
        <v>45008.5640625</v>
      </c>
      <c r="C129" s="33" t="s">
        <v>6788</v>
      </c>
      <c r="D129" s="33"/>
      <c r="E129" s="33">
        <v>430</v>
      </c>
    </row>
    <row r="130" spans="1:5">
      <c r="A130" s="33">
        <v>128</v>
      </c>
      <c r="B130" s="35">
        <v>45008.8397800926</v>
      </c>
      <c r="C130" s="33" t="s">
        <v>6718</v>
      </c>
      <c r="D130" s="33"/>
      <c r="E130" s="33">
        <v>100</v>
      </c>
    </row>
    <row r="131" spans="1:5">
      <c r="A131" s="33">
        <v>129</v>
      </c>
      <c r="B131" s="35">
        <v>45008.8399305556</v>
      </c>
      <c r="C131" s="33" t="s">
        <v>6768</v>
      </c>
      <c r="D131" s="33" t="s">
        <v>6840</v>
      </c>
      <c r="E131" s="33">
        <v>978</v>
      </c>
    </row>
    <row r="132" spans="1:5">
      <c r="A132" s="33">
        <v>130</v>
      </c>
      <c r="B132" s="35">
        <v>45008.8400115741</v>
      </c>
      <c r="C132" s="33" t="s">
        <v>6733</v>
      </c>
      <c r="D132" s="33"/>
      <c r="E132" s="33">
        <v>5</v>
      </c>
    </row>
    <row r="133" spans="1:5">
      <c r="A133" s="33">
        <v>131</v>
      </c>
      <c r="B133" s="35">
        <v>45009.770625</v>
      </c>
      <c r="C133" s="33" t="s">
        <v>6841</v>
      </c>
      <c r="D133" s="33" t="s">
        <v>6826</v>
      </c>
      <c r="E133" s="33">
        <v>440</v>
      </c>
    </row>
    <row r="134" spans="1:5">
      <c r="A134" s="33">
        <v>132</v>
      </c>
      <c r="B134" s="35">
        <v>45009.7708796296</v>
      </c>
      <c r="C134" s="33" t="s">
        <v>6842</v>
      </c>
      <c r="D134" s="33" t="s">
        <v>6751</v>
      </c>
      <c r="E134" s="33">
        <v>200</v>
      </c>
    </row>
    <row r="135" spans="1:5">
      <c r="A135" s="33">
        <v>133</v>
      </c>
      <c r="B135" s="35">
        <v>45009.7709837963</v>
      </c>
      <c r="C135" s="33" t="s">
        <v>6718</v>
      </c>
      <c r="D135" s="33"/>
      <c r="E135" s="33">
        <v>70</v>
      </c>
    </row>
    <row r="136" spans="1:5">
      <c r="A136" s="33">
        <v>134</v>
      </c>
      <c r="B136" s="35">
        <v>45009.8058796296</v>
      </c>
      <c r="C136" s="33" t="s">
        <v>6733</v>
      </c>
      <c r="D136" s="33"/>
      <c r="E136" s="33">
        <v>5</v>
      </c>
    </row>
    <row r="137" spans="1:5">
      <c r="A137" s="33">
        <v>135</v>
      </c>
      <c r="B137" s="35">
        <v>45010.5919097222</v>
      </c>
      <c r="C137" s="33" t="s">
        <v>6843</v>
      </c>
      <c r="D137" s="33"/>
      <c r="E137" s="33">
        <v>10</v>
      </c>
    </row>
    <row r="138" spans="1:5">
      <c r="A138" s="33">
        <v>136</v>
      </c>
      <c r="B138" s="35">
        <v>45010.5919791667</v>
      </c>
      <c r="C138" s="33" t="s">
        <v>6754</v>
      </c>
      <c r="D138" s="33"/>
      <c r="E138" s="33">
        <v>30</v>
      </c>
    </row>
    <row r="139" spans="1:5">
      <c r="A139" s="33">
        <v>137</v>
      </c>
      <c r="B139" s="35">
        <v>45010.5923148148</v>
      </c>
      <c r="C139" s="33" t="s">
        <v>6844</v>
      </c>
      <c r="D139" s="33" t="s">
        <v>6845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6768</v>
      </c>
      <c r="D140" s="33" t="s">
        <v>6809</v>
      </c>
      <c r="E140" s="33">
        <v>742</v>
      </c>
    </row>
    <row r="141" spans="1:5">
      <c r="A141" s="33">
        <v>139</v>
      </c>
      <c r="B141" s="35">
        <v>45010.7911226852</v>
      </c>
      <c r="C141" s="33" t="s">
        <v>6777</v>
      </c>
      <c r="D141" s="33" t="s">
        <v>6826</v>
      </c>
      <c r="E141" s="33">
        <v>523</v>
      </c>
    </row>
    <row r="142" spans="1:5">
      <c r="A142" s="33">
        <v>140</v>
      </c>
      <c r="B142" s="35">
        <v>45010.7912384259</v>
      </c>
      <c r="C142" s="33" t="s">
        <v>6718</v>
      </c>
      <c r="D142" s="33"/>
      <c r="E142" s="33">
        <v>70</v>
      </c>
    </row>
    <row r="143" spans="1:5">
      <c r="A143" s="33">
        <v>141</v>
      </c>
      <c r="B143" s="35">
        <v>45010.8102199074</v>
      </c>
      <c r="C143" s="33" t="s">
        <v>6733</v>
      </c>
      <c r="D143" s="33"/>
      <c r="E143" s="33">
        <v>10</v>
      </c>
    </row>
    <row r="144" spans="1:5">
      <c r="A144" s="33">
        <v>142</v>
      </c>
      <c r="B144" s="35">
        <v>45016.7328240741</v>
      </c>
      <c r="C144" s="33" t="s">
        <v>6846</v>
      </c>
      <c r="D144" s="33" t="s">
        <v>6847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6760</v>
      </c>
      <c r="D145" s="33" t="s">
        <v>6836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6848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6849</v>
      </c>
      <c r="D147" s="33"/>
      <c r="E147" s="33">
        <v>150</v>
      </c>
    </row>
    <row r="148" spans="1:5">
      <c r="A148" s="33">
        <v>146</v>
      </c>
      <c r="B148" s="35">
        <v>45016.8153240741</v>
      </c>
      <c r="C148" s="33" t="s">
        <v>6733</v>
      </c>
      <c r="D148" s="33"/>
      <c r="E148" s="33">
        <v>5</v>
      </c>
    </row>
    <row r="149" spans="1:5">
      <c r="A149" s="33">
        <v>147</v>
      </c>
      <c r="B149" s="35">
        <v>45017.4446180556</v>
      </c>
      <c r="C149" s="33" t="s">
        <v>6724</v>
      </c>
      <c r="D149" s="33"/>
      <c r="E149" s="33">
        <v>10</v>
      </c>
    </row>
    <row r="150" spans="1:5">
      <c r="A150" s="33">
        <v>148</v>
      </c>
      <c r="B150" s="35">
        <v>45019.5188078704</v>
      </c>
      <c r="C150" s="33" t="s">
        <v>6754</v>
      </c>
      <c r="D150" s="33"/>
      <c r="E150" s="33">
        <v>20</v>
      </c>
    </row>
    <row r="151" spans="1:5">
      <c r="A151" s="33">
        <v>149</v>
      </c>
      <c r="B151" s="35">
        <v>45019.5191550926</v>
      </c>
      <c r="C151" s="33" t="s">
        <v>6850</v>
      </c>
      <c r="D151" s="33"/>
      <c r="E151" s="33">
        <v>100</v>
      </c>
    </row>
    <row r="152" spans="1:5">
      <c r="A152" s="33">
        <v>150</v>
      </c>
      <c r="B152" s="35">
        <v>45019.8034837963</v>
      </c>
      <c r="C152" s="33" t="s">
        <v>6718</v>
      </c>
      <c r="D152" s="33"/>
      <c r="E152" s="33">
        <v>60</v>
      </c>
    </row>
    <row r="153" spans="1:5">
      <c r="A153" s="33">
        <v>151</v>
      </c>
      <c r="B153" s="35">
        <v>45020.450162037</v>
      </c>
      <c r="C153" s="33" t="s">
        <v>6851</v>
      </c>
      <c r="D153" s="33"/>
      <c r="E153" s="33">
        <v>108</v>
      </c>
    </row>
    <row r="154" spans="1:5">
      <c r="A154" s="33">
        <v>152</v>
      </c>
      <c r="B154" s="35">
        <v>45020.4996990741</v>
      </c>
      <c r="C154" s="33" t="s">
        <v>6852</v>
      </c>
      <c r="D154" s="33" t="s">
        <v>6853</v>
      </c>
      <c r="E154" s="33">
        <v>120</v>
      </c>
    </row>
    <row r="155" spans="1:5">
      <c r="A155" s="33">
        <v>153</v>
      </c>
      <c r="B155" s="35">
        <v>45020.5870833333</v>
      </c>
      <c r="C155" s="33" t="s">
        <v>6825</v>
      </c>
      <c r="D155" s="33" t="s">
        <v>6778</v>
      </c>
      <c r="E155" s="33">
        <v>1310</v>
      </c>
    </row>
    <row r="156" spans="1:5">
      <c r="A156" s="33">
        <v>154</v>
      </c>
      <c r="B156" s="35">
        <v>45020.8098726852</v>
      </c>
      <c r="C156" s="33" t="s">
        <v>6854</v>
      </c>
      <c r="D156" s="33" t="s">
        <v>6803</v>
      </c>
      <c r="E156" s="33">
        <v>450</v>
      </c>
    </row>
    <row r="157" spans="1:5">
      <c r="A157" s="33">
        <v>155</v>
      </c>
      <c r="B157" s="35">
        <v>45020.8099884259</v>
      </c>
      <c r="C157" s="33" t="s">
        <v>6718</v>
      </c>
      <c r="D157" s="33"/>
      <c r="E157" s="33">
        <v>62</v>
      </c>
    </row>
    <row r="158" spans="1:5">
      <c r="A158" s="33">
        <v>156</v>
      </c>
      <c r="B158" s="35">
        <v>45021.7134722222</v>
      </c>
      <c r="C158" s="33" t="s">
        <v>6855</v>
      </c>
      <c r="D158" s="33" t="s">
        <v>6778</v>
      </c>
      <c r="E158" s="33">
        <v>470</v>
      </c>
    </row>
    <row r="159" spans="1:5">
      <c r="A159" s="33">
        <v>157</v>
      </c>
      <c r="B159" s="35">
        <v>45021.8173842593</v>
      </c>
      <c r="C159" s="33" t="s">
        <v>6718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6788</v>
      </c>
      <c r="D160" s="33"/>
      <c r="E160" s="33">
        <v>110</v>
      </c>
    </row>
    <row r="161" spans="1:5">
      <c r="A161" s="33">
        <v>159</v>
      </c>
      <c r="B161" s="35">
        <v>45022.5401041667</v>
      </c>
      <c r="C161" s="33" t="s">
        <v>6856</v>
      </c>
      <c r="D161" s="33" t="s">
        <v>6762</v>
      </c>
      <c r="E161" s="33">
        <v>4600</v>
      </c>
    </row>
    <row r="162" spans="1:5">
      <c r="A162" s="33">
        <v>160</v>
      </c>
      <c r="B162" s="35">
        <v>45022.7818981481</v>
      </c>
      <c r="C162" s="33" t="s">
        <v>6717</v>
      </c>
      <c r="D162" s="33" t="s">
        <v>6752</v>
      </c>
      <c r="E162" s="33">
        <v>500</v>
      </c>
    </row>
    <row r="163" spans="1:5">
      <c r="A163" s="33">
        <v>161</v>
      </c>
      <c r="B163" s="35">
        <v>45022.782349537</v>
      </c>
      <c r="C163" s="33" t="s">
        <v>6718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headerFooter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K36"/>
  <sheetViews>
    <sheetView workbookViewId="0">
      <selection activeCell="K2" sqref="K2"/>
    </sheetView>
  </sheetViews>
  <sheetFormatPr defaultColWidth="9" defaultRowHeight="14"/>
  <cols>
    <col min="2" max="2" width="13.6640625" customWidth="1"/>
    <col min="8" max="8" width="15.890625" customWidth="1"/>
  </cols>
  <sheetData>
    <row r="1" ht="18.35" spans="1:11">
      <c r="A1" s="1" t="s">
        <v>6857</v>
      </c>
      <c r="B1" s="2" t="s">
        <v>6695</v>
      </c>
      <c r="C1" s="3" t="s">
        <v>6696</v>
      </c>
      <c r="D1" s="4" t="s">
        <v>6697</v>
      </c>
      <c r="E1" s="22" t="s">
        <v>6698</v>
      </c>
      <c r="F1" s="22" t="s">
        <v>6699</v>
      </c>
      <c r="G1" s="22" t="s">
        <v>446</v>
      </c>
      <c r="H1" s="22" t="s">
        <v>564</v>
      </c>
      <c r="I1" s="25" t="s">
        <v>406</v>
      </c>
      <c r="K1" s="26">
        <v>44958</v>
      </c>
    </row>
    <row r="2" ht="17.6" spans="1:9">
      <c r="A2" s="5" t="s">
        <v>6700</v>
      </c>
      <c r="B2" s="6">
        <v>1622</v>
      </c>
      <c r="C2" s="7"/>
      <c r="D2" s="8" t="s">
        <v>6858</v>
      </c>
      <c r="E2" s="23"/>
      <c r="F2" s="23"/>
      <c r="G2" s="23"/>
      <c r="H2" s="23"/>
      <c r="I2" s="27"/>
    </row>
    <row r="3" spans="1:9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9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9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9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9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9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9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9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9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9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9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9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9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9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ht="14.75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ht="20" spans="1:9">
      <c r="A35" s="17" t="s">
        <v>6701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ht="15.95" spans="1:9">
      <c r="A36" s="20" t="s">
        <v>6702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amitkumar</cp:lastModifiedBy>
  <dcterms:created xsi:type="dcterms:W3CDTF">2023-02-17T23:17:00Z</dcterms:created>
  <cp:lastPrinted>2023-04-05T20:10:00Z</cp:lastPrinted>
  <dcterms:modified xsi:type="dcterms:W3CDTF">2023-04-10T10:30:14Z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